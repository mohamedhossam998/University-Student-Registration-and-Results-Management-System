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New Database\"/>
    </mc:Choice>
  </mc:AlternateContent>
  <xr:revisionPtr revIDLastSave="0" documentId="13_ncr:1_{24E093A5-8263-43F7-838C-D141988A0FB3}" xr6:coauthVersionLast="47" xr6:coauthVersionMax="47" xr10:uidLastSave="{00000000-0000-0000-0000-000000000000}"/>
  <bookViews>
    <workbookView xWindow="-120" yWindow="-120" windowWidth="29040" windowHeight="15720" xr2:uid="{F34D9A9A-9081-4210-B257-25C86F58C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34" i="1"/>
  <c r="F41" i="1"/>
  <c r="F121" i="1"/>
  <c r="F147" i="1"/>
  <c r="F185" i="1"/>
  <c r="F195" i="1"/>
  <c r="F207" i="1"/>
  <c r="F216" i="1"/>
  <c r="F220" i="1"/>
  <c r="F228" i="1"/>
  <c r="F233" i="1"/>
  <c r="F288" i="1"/>
  <c r="F297" i="1"/>
  <c r="F320" i="1"/>
  <c r="F360" i="1"/>
  <c r="F375" i="1"/>
  <c r="F383" i="1"/>
  <c r="F388" i="1"/>
  <c r="F432" i="1"/>
  <c r="F441" i="1"/>
  <c r="F448" i="1"/>
  <c r="F467" i="1"/>
  <c r="F472" i="1"/>
  <c r="F476" i="1"/>
  <c r="F534" i="1"/>
  <c r="F537" i="1"/>
  <c r="F552" i="1"/>
  <c r="F577" i="1"/>
  <c r="F591" i="1"/>
  <c r="F596" i="1"/>
  <c r="F600" i="1"/>
  <c r="F603" i="1"/>
  <c r="F619" i="1"/>
  <c r="F625" i="1"/>
  <c r="F691" i="1"/>
  <c r="F702" i="1"/>
  <c r="F704" i="1"/>
  <c r="F713" i="1"/>
  <c r="F722" i="1"/>
  <c r="F725" i="1"/>
  <c r="F773" i="1"/>
  <c r="F797" i="1"/>
  <c r="F804" i="1"/>
  <c r="F865" i="1"/>
  <c r="F919" i="1"/>
</calcChain>
</file>

<file path=xl/sharedStrings.xml><?xml version="1.0" encoding="utf-8"?>
<sst xmlns="http://schemas.openxmlformats.org/spreadsheetml/2006/main" count="14946" uniqueCount="3810">
  <si>
    <t>StudentID</t>
  </si>
  <si>
    <t>StudentFullName</t>
  </si>
  <si>
    <t>FirstName</t>
  </si>
  <si>
    <t>LastName</t>
  </si>
  <si>
    <t>StudentEmail</t>
  </si>
  <si>
    <t>StudentPhone</t>
  </si>
  <si>
    <t>Gender</t>
  </si>
  <si>
    <t>DateOfBirth</t>
  </si>
  <si>
    <t>CurrentAge</t>
  </si>
  <si>
    <t>BirthYear</t>
  </si>
  <si>
    <t>UniversityStartDate</t>
  </si>
  <si>
    <t>EnrollmentYear</t>
  </si>
  <si>
    <t>CurrentStudentStatus</t>
  </si>
  <si>
    <t>ProgramID</t>
  </si>
  <si>
    <t>ProgramName</t>
  </si>
  <si>
    <t>DegreeLevel</t>
  </si>
  <si>
    <t>TotalCreditsRequired</t>
  </si>
  <si>
    <t>DepartmentID</t>
  </si>
  <si>
    <t>DepartmentName</t>
  </si>
  <si>
    <t>HeadOfDepartment</t>
  </si>
  <si>
    <t>NumberOfUniqueCoursesTaken</t>
  </si>
  <si>
    <t>TotalEnrollmentAttempts</t>
  </si>
  <si>
    <t>TotalSectionsAttended</t>
  </si>
  <si>
    <t>TotalInstructors</t>
  </si>
  <si>
    <t>TotalSemestersAttended</t>
  </si>
  <si>
    <t>NumberOfGradedCourses</t>
  </si>
  <si>
    <t>GPA</t>
  </si>
  <si>
    <t>TotalGradePoints</t>
  </si>
  <si>
    <t>HighestGradeLetter</t>
  </si>
  <si>
    <t>LowestGradeLetter</t>
  </si>
  <si>
    <t>Count_A</t>
  </si>
  <si>
    <t>Count_A_minus</t>
  </si>
  <si>
    <t>Count_B_plus</t>
  </si>
  <si>
    <t>Count_B</t>
  </si>
  <si>
    <t>Count_B_minus</t>
  </si>
  <si>
    <t>Count_C_plus</t>
  </si>
  <si>
    <t>Count_C</t>
  </si>
  <si>
    <t>Count_C_minus</t>
  </si>
  <si>
    <t>Count_D</t>
  </si>
  <si>
    <t>Count_F</t>
  </si>
  <si>
    <t>NumberOfPassedCourses</t>
  </si>
  <si>
    <t>NumberOfFailedCourses</t>
  </si>
  <si>
    <t>SuccessRatePercentage</t>
  </si>
  <si>
    <t>FirstCourseEnrollmentDate</t>
  </si>
  <si>
    <t>LastCourseEnrollmentDate</t>
  </si>
  <si>
    <t>FirstSemesterAttended</t>
  </si>
  <si>
    <t>LastSemesterAttended</t>
  </si>
  <si>
    <t>AcademicActiveDays</t>
  </si>
  <si>
    <t>Brooke Lewis</t>
  </si>
  <si>
    <t>Brooke</t>
  </si>
  <si>
    <t>Lewis</t>
  </si>
  <si>
    <t>brooke.lewis972@student.university.edu</t>
  </si>
  <si>
    <t>+1-682-213-7455x611</t>
  </si>
  <si>
    <t>Female</t>
  </si>
  <si>
    <t>Active</t>
  </si>
  <si>
    <t>Master in Computer Science</t>
  </si>
  <si>
    <t>Master</t>
  </si>
  <si>
    <t>Computer Science</t>
  </si>
  <si>
    <t>Allison Hill</t>
  </si>
  <si>
    <t>D</t>
  </si>
  <si>
    <t>A</t>
  </si>
  <si>
    <t>Fall 2023</t>
  </si>
  <si>
    <t>Spring 2024</t>
  </si>
  <si>
    <t>Stephanie Trevino</t>
  </si>
  <si>
    <t>Stephanie</t>
  </si>
  <si>
    <t>Trevino</t>
  </si>
  <si>
    <t>stephanie.trevino655@student.university.edu</t>
  </si>
  <si>
    <t>245.784.3845x881</t>
  </si>
  <si>
    <t>PhD in Computer Science</t>
  </si>
  <si>
    <t>PhD</t>
  </si>
  <si>
    <t>F</t>
  </si>
  <si>
    <t>Monica Jimenez</t>
  </si>
  <si>
    <t>Monica</t>
  </si>
  <si>
    <t>Jimenez</t>
  </si>
  <si>
    <t>monica.jimenez319@student.university.edu</t>
  </si>
  <si>
    <t>(393)543-0107</t>
  </si>
  <si>
    <t>PhD in Biology</t>
  </si>
  <si>
    <t>Biology</t>
  </si>
  <si>
    <t>Cristian Santos</t>
  </si>
  <si>
    <t>Pam Frederick</t>
  </si>
  <si>
    <t>Pam</t>
  </si>
  <si>
    <t>Frederick</t>
  </si>
  <si>
    <t>pam.frederick519@student.university.edu</t>
  </si>
  <si>
    <t>259.765.5553x5669</t>
  </si>
  <si>
    <t>Master in Mathematics</t>
  </si>
  <si>
    <t>Mathematics</t>
  </si>
  <si>
    <t>Megan Mcclain</t>
  </si>
  <si>
    <t>Shannon Matthews</t>
  </si>
  <si>
    <t>Shannon</t>
  </si>
  <si>
    <t>Matthews</t>
  </si>
  <si>
    <t>shannon.matthews36@student.university.edu</t>
  </si>
  <si>
    <t>PhD in Business Administration</t>
  </si>
  <si>
    <t>Business Administration</t>
  </si>
  <si>
    <t>Kevin Pacheco</t>
  </si>
  <si>
    <t>Maria Miranda</t>
  </si>
  <si>
    <t>Maria</t>
  </si>
  <si>
    <t>Miranda</t>
  </si>
  <si>
    <t>maria.miranda330@student.university.edu</t>
  </si>
  <si>
    <t>233.329.4562x5577</t>
  </si>
  <si>
    <t>Evan York</t>
  </si>
  <si>
    <t>Evan</t>
  </si>
  <si>
    <t>York</t>
  </si>
  <si>
    <t>evan.york505@student.university.edu</t>
  </si>
  <si>
    <t>515.209.9768x3890</t>
  </si>
  <si>
    <t>Male</t>
  </si>
  <si>
    <t>Master in Business Administration</t>
  </si>
  <si>
    <t>Tracy Douglas</t>
  </si>
  <si>
    <t>Tracy</t>
  </si>
  <si>
    <t>Douglas</t>
  </si>
  <si>
    <t>tracy.douglas428@student.university.edu</t>
  </si>
  <si>
    <t>859.323.0450x189</t>
  </si>
  <si>
    <t>Graduated</t>
  </si>
  <si>
    <t>B</t>
  </si>
  <si>
    <t>Julie Kim</t>
  </si>
  <si>
    <t>Julie</t>
  </si>
  <si>
    <t>Kim</t>
  </si>
  <si>
    <t>julie.kim440@student.university.edu</t>
  </si>
  <si>
    <t>539.659.7246x65729</t>
  </si>
  <si>
    <t>Bachelor in Biology</t>
  </si>
  <si>
    <t>Bachelor</t>
  </si>
  <si>
    <t>Joanne Ryan</t>
  </si>
  <si>
    <t>Joanne</t>
  </si>
  <si>
    <t>Ryan</t>
  </si>
  <si>
    <t>joanne.ryan860@student.university.edu</t>
  </si>
  <si>
    <t>+1-320-858-2958x2923</t>
  </si>
  <si>
    <t>Master in Physics</t>
  </si>
  <si>
    <t>Physics</t>
  </si>
  <si>
    <t>Allen Robinson</t>
  </si>
  <si>
    <t>Sarah Osborne</t>
  </si>
  <si>
    <t>Sarah</t>
  </si>
  <si>
    <t>Osborne</t>
  </si>
  <si>
    <t>sarah.osborne574@student.university.edu</t>
  </si>
  <si>
    <t>(247)428-6333</t>
  </si>
  <si>
    <t>PhD in Mathematics</t>
  </si>
  <si>
    <t>Elizabeth Bauer</t>
  </si>
  <si>
    <t>Elizabeth</t>
  </si>
  <si>
    <t>Bauer</t>
  </si>
  <si>
    <t>elizabeth.bauer335@student.university.edu</t>
  </si>
  <si>
    <t>+1-246-251-9098x6240</t>
  </si>
  <si>
    <t>PhD in Engineering</t>
  </si>
  <si>
    <t>Engineering</t>
  </si>
  <si>
    <t>Melissa Peterson</t>
  </si>
  <si>
    <t>Julia Johnson</t>
  </si>
  <si>
    <t>Julia</t>
  </si>
  <si>
    <t>Johnson</t>
  </si>
  <si>
    <t>julia.johnson400@student.university.edu</t>
  </si>
  <si>
    <t>Bachelor in Business Administration</t>
  </si>
  <si>
    <t>Jennifer Carroll</t>
  </si>
  <si>
    <t>Jennifer</t>
  </si>
  <si>
    <t>Carroll</t>
  </si>
  <si>
    <t>jennifer.carroll321@student.university.edu</t>
  </si>
  <si>
    <t>PhD in Physics</t>
  </si>
  <si>
    <t>David Hayes</t>
  </si>
  <si>
    <t>David</t>
  </si>
  <si>
    <t>Hayes</t>
  </si>
  <si>
    <t>david.hayes324@student.university.edu</t>
  </si>
  <si>
    <t>938-442-1503x1780</t>
  </si>
  <si>
    <t>Bachelor in Computer Science</t>
  </si>
  <si>
    <t>David Nguyen</t>
  </si>
  <si>
    <t>Nguyen</t>
  </si>
  <si>
    <t>david.nguyen753@student.university.edu</t>
  </si>
  <si>
    <t>297.706.7349x9601</t>
  </si>
  <si>
    <t>Bachelor in Psychology</t>
  </si>
  <si>
    <t>Psychology</t>
  </si>
  <si>
    <t>Gabrielle Davis</t>
  </si>
  <si>
    <t>Luke Reynolds</t>
  </si>
  <si>
    <t>Luke</t>
  </si>
  <si>
    <t>Reynolds</t>
  </si>
  <si>
    <t>luke.reynolds217@student.university.edu</t>
  </si>
  <si>
    <t>001-937-456-2890x028</t>
  </si>
  <si>
    <t>Erik James</t>
  </si>
  <si>
    <t>Erik</t>
  </si>
  <si>
    <t>James</t>
  </si>
  <si>
    <t>erik.james525@student.university.edu</t>
  </si>
  <si>
    <t>001-504-309-8366x552</t>
  </si>
  <si>
    <t>Marie Thomas</t>
  </si>
  <si>
    <t>Marie</t>
  </si>
  <si>
    <t>Thomas</t>
  </si>
  <si>
    <t>marie.thomas695@student.university.edu</t>
  </si>
  <si>
    <t>939.258.9477x35228</t>
  </si>
  <si>
    <t>Master in Psychology</t>
  </si>
  <si>
    <t>Derek Hopkins</t>
  </si>
  <si>
    <t>Derek</t>
  </si>
  <si>
    <t>Hopkins</t>
  </si>
  <si>
    <t>derek.hopkins597@student.university.edu</t>
  </si>
  <si>
    <t>763-406-0002x5895</t>
  </si>
  <si>
    <t>Jeffrey Keller</t>
  </si>
  <si>
    <t>Jeffrey</t>
  </si>
  <si>
    <t>Keller</t>
  </si>
  <si>
    <t>jeffrey.keller629@student.university.edu</t>
  </si>
  <si>
    <t>Diana Vasquez</t>
  </si>
  <si>
    <t>Diana</t>
  </si>
  <si>
    <t>Vasquez</t>
  </si>
  <si>
    <t>diana.vasquez195@student.university.edu</t>
  </si>
  <si>
    <t>001-913-524-7546x913</t>
  </si>
  <si>
    <t>Elaine Clements</t>
  </si>
  <si>
    <t>Elaine</t>
  </si>
  <si>
    <t>Clements</t>
  </si>
  <si>
    <t>elaine.clements231@student.university.edu</t>
  </si>
  <si>
    <t>+1-287-780-1573x993</t>
  </si>
  <si>
    <t>Laura Novak</t>
  </si>
  <si>
    <t>Laura</t>
  </si>
  <si>
    <t>Novak</t>
  </si>
  <si>
    <t>laura.novak999@student.university.edu</t>
  </si>
  <si>
    <t>001-290-489-8436x998</t>
  </si>
  <si>
    <t>Randy Moore</t>
  </si>
  <si>
    <t>Randy</t>
  </si>
  <si>
    <t>Moore</t>
  </si>
  <si>
    <t>randy.moore460@student.university.edu</t>
  </si>
  <si>
    <t>(720)695-2004x61526</t>
  </si>
  <si>
    <t>Emily Wise</t>
  </si>
  <si>
    <t>Emily</t>
  </si>
  <si>
    <t>Wise</t>
  </si>
  <si>
    <t>emily.wise833@student.university.edu</t>
  </si>
  <si>
    <t>(991)794-5757x574</t>
  </si>
  <si>
    <t>Bachelor in Mathematics</t>
  </si>
  <si>
    <t>Isaac Turner</t>
  </si>
  <si>
    <t>Isaac</t>
  </si>
  <si>
    <t>Turner</t>
  </si>
  <si>
    <t>isaac.turner30@student.university.edu</t>
  </si>
  <si>
    <t>001-682-940-0842x710</t>
  </si>
  <si>
    <t>David Simpson</t>
  </si>
  <si>
    <t>Simpson</t>
  </si>
  <si>
    <t>david.simpson781@student.university.edu</t>
  </si>
  <si>
    <t>001-864-217-8996</t>
  </si>
  <si>
    <t>Suspended</t>
  </si>
  <si>
    <t>Donna Jackson</t>
  </si>
  <si>
    <t>Donna</t>
  </si>
  <si>
    <t>Jackson</t>
  </si>
  <si>
    <t>donna.jackson445@student.university.edu</t>
  </si>
  <si>
    <t>856-953-2863x266</t>
  </si>
  <si>
    <t>Bachelor in Physics</t>
  </si>
  <si>
    <t>Ernest Sullivan</t>
  </si>
  <si>
    <t>Ernest</t>
  </si>
  <si>
    <t>Sullivan</t>
  </si>
  <si>
    <t>ernest.sullivan888@student.university.edu</t>
  </si>
  <si>
    <t>343.969.7093</t>
  </si>
  <si>
    <t>John Hernandez</t>
  </si>
  <si>
    <t>John</t>
  </si>
  <si>
    <t>Hernandez</t>
  </si>
  <si>
    <t>john.hernandez628@student.university.edu</t>
  </si>
  <si>
    <t>698-324-7414x0703</t>
  </si>
  <si>
    <t>Keith Dyer</t>
  </si>
  <si>
    <t>Keith</t>
  </si>
  <si>
    <t>Dyer</t>
  </si>
  <si>
    <t>keith.dyer941@student.university.edu</t>
  </si>
  <si>
    <t>944.238.9982</t>
  </si>
  <si>
    <t>Daniel Gallegos</t>
  </si>
  <si>
    <t>Daniel</t>
  </si>
  <si>
    <t>Gallegos</t>
  </si>
  <si>
    <t>daniel.gallegos55@student.university.edu</t>
  </si>
  <si>
    <t>Amy Wilson</t>
  </si>
  <si>
    <t>Amy</t>
  </si>
  <si>
    <t>Wilson</t>
  </si>
  <si>
    <t>amy.wilson112@student.university.edu</t>
  </si>
  <si>
    <t>426-984-1459x3327</t>
  </si>
  <si>
    <t>Bruce Ramirez</t>
  </si>
  <si>
    <t>Bruce</t>
  </si>
  <si>
    <t>Ramirez</t>
  </si>
  <si>
    <t>bruce.ramirez772@student.university.edu</t>
  </si>
  <si>
    <t>001-385-752-4578x715</t>
  </si>
  <si>
    <t>Shelly Hayes</t>
  </si>
  <si>
    <t>Shelly</t>
  </si>
  <si>
    <t>shelly.hayes590@student.university.edu</t>
  </si>
  <si>
    <t>(983)942-0165x42356</t>
  </si>
  <si>
    <t>Amber Cox</t>
  </si>
  <si>
    <t>Amber</t>
  </si>
  <si>
    <t>Cox</t>
  </si>
  <si>
    <t>amber.cox166@student.university.edu</t>
  </si>
  <si>
    <t>(720)686-3536</t>
  </si>
  <si>
    <t>Renee Contreras</t>
  </si>
  <si>
    <t>Renee</t>
  </si>
  <si>
    <t>Contreras</t>
  </si>
  <si>
    <t>renee.contreras596@student.university.edu</t>
  </si>
  <si>
    <t>(233)778-6137x15766</t>
  </si>
  <si>
    <t>Alejandra Kelly</t>
  </si>
  <si>
    <t>Alejandra</t>
  </si>
  <si>
    <t>Kelly</t>
  </si>
  <si>
    <t>alejandra.kelly581@student.university.edu</t>
  </si>
  <si>
    <t>468-235-6521x5681</t>
  </si>
  <si>
    <t>Bachelor in Engineering</t>
  </si>
  <si>
    <t>B+</t>
  </si>
  <si>
    <t>Albert Barrett</t>
  </si>
  <si>
    <t>Albert</t>
  </si>
  <si>
    <t>Barrett</t>
  </si>
  <si>
    <t>albert.barrett458@student.university.edu</t>
  </si>
  <si>
    <t>Julia Wilson</t>
  </si>
  <si>
    <t>julia.wilson40@student.university.edu</t>
  </si>
  <si>
    <t>(974)484-6773</t>
  </si>
  <si>
    <t>Brittany Ward</t>
  </si>
  <si>
    <t>Brittany</t>
  </si>
  <si>
    <t>Ward</t>
  </si>
  <si>
    <t>brittany.ward188@student.university.edu</t>
  </si>
  <si>
    <t>(614)897-3103x24171</t>
  </si>
  <si>
    <t>Jeremiah Huber</t>
  </si>
  <si>
    <t>Jeremiah</t>
  </si>
  <si>
    <t>Huber</t>
  </si>
  <si>
    <t>jeremiah.huber85@student.university.edu</t>
  </si>
  <si>
    <t>627-775-8416x16928</t>
  </si>
  <si>
    <t>Steven Hoffman</t>
  </si>
  <si>
    <t>Steven</t>
  </si>
  <si>
    <t>Hoffman</t>
  </si>
  <si>
    <t>steven.hoffman609@student.university.edu</t>
  </si>
  <si>
    <t>(849)738-3184x9196</t>
  </si>
  <si>
    <t>Katherine Mcguire</t>
  </si>
  <si>
    <t>Katherine</t>
  </si>
  <si>
    <t>Mcguire</t>
  </si>
  <si>
    <t>katherine.mcguire28@student.university.edu</t>
  </si>
  <si>
    <t>743-863-4957</t>
  </si>
  <si>
    <t>Caroline Williams</t>
  </si>
  <si>
    <t>Caroline</t>
  </si>
  <si>
    <t>Williams</t>
  </si>
  <si>
    <t>caroline.williams342@student.university.edu</t>
  </si>
  <si>
    <t>690-647-1281x4429</t>
  </si>
  <si>
    <t>Brian Perez</t>
  </si>
  <si>
    <t>Brian</t>
  </si>
  <si>
    <t>Perez</t>
  </si>
  <si>
    <t>brian.perez950@student.university.edu</t>
  </si>
  <si>
    <t>(448)588-9957</t>
  </si>
  <si>
    <t>David Davis</t>
  </si>
  <si>
    <t>Davis</t>
  </si>
  <si>
    <t>david.davis916@student.university.edu</t>
  </si>
  <si>
    <t>720-723-8974x32600</t>
  </si>
  <si>
    <t>David Trevino</t>
  </si>
  <si>
    <t>david.trevino252@student.university.edu</t>
  </si>
  <si>
    <t>898-564-3009x8180</t>
  </si>
  <si>
    <t>Stanley Johnson</t>
  </si>
  <si>
    <t>Stanley</t>
  </si>
  <si>
    <t>stanley.johnson577@student.university.edu</t>
  </si>
  <si>
    <t>001-828-420-6678x498</t>
  </si>
  <si>
    <t>Timothy Mathews</t>
  </si>
  <si>
    <t>Timothy</t>
  </si>
  <si>
    <t>Mathews</t>
  </si>
  <si>
    <t>timothy.mathews744@student.university.edu</t>
  </si>
  <si>
    <t>572.309.4841</t>
  </si>
  <si>
    <t>Eric James</t>
  </si>
  <si>
    <t>Eric</t>
  </si>
  <si>
    <t>eric.james854@student.university.edu</t>
  </si>
  <si>
    <t>001-321-605-3365</t>
  </si>
  <si>
    <t>PhD in Psychology</t>
  </si>
  <si>
    <t>Anita Brown</t>
  </si>
  <si>
    <t>Anita</t>
  </si>
  <si>
    <t>Brown</t>
  </si>
  <si>
    <t>anita.brown234@student.university.edu</t>
  </si>
  <si>
    <t>281-893-4667x665</t>
  </si>
  <si>
    <t>Roberto Jones</t>
  </si>
  <si>
    <t>Roberto</t>
  </si>
  <si>
    <t>Jones</t>
  </si>
  <si>
    <t>roberto.jones261@student.university.edu</t>
  </si>
  <si>
    <t>(975)553-9423</t>
  </si>
  <si>
    <t>Master in Engineering</t>
  </si>
  <si>
    <t>Eric Ward</t>
  </si>
  <si>
    <t>eric.ward134@student.university.edu</t>
  </si>
  <si>
    <t>212-312-6788x861</t>
  </si>
  <si>
    <t>Kyle Williams</t>
  </si>
  <si>
    <t>Kyle</t>
  </si>
  <si>
    <t>kyle.williams501@student.university.edu</t>
  </si>
  <si>
    <t>(333)553-3106x0053</t>
  </si>
  <si>
    <t>Margaret White</t>
  </si>
  <si>
    <t>Margaret</t>
  </si>
  <si>
    <t>White</t>
  </si>
  <si>
    <t>margaret.white416@student.university.edu</t>
  </si>
  <si>
    <t>420.863.4591x123</t>
  </si>
  <si>
    <t>Isabella Gray</t>
  </si>
  <si>
    <t>Isabella</t>
  </si>
  <si>
    <t>Gray</t>
  </si>
  <si>
    <t>isabella.gray317@student.university.edu</t>
  </si>
  <si>
    <t>768-814-7214</t>
  </si>
  <si>
    <t>Victoria Parker</t>
  </si>
  <si>
    <t>Victoria</t>
  </si>
  <si>
    <t>Parker</t>
  </si>
  <si>
    <t>victoria.parker913@student.university.edu</t>
  </si>
  <si>
    <t>433-472-2010x91217</t>
  </si>
  <si>
    <t>Barbara Brooks</t>
  </si>
  <si>
    <t>Barbara</t>
  </si>
  <si>
    <t>Brooks</t>
  </si>
  <si>
    <t>barbara.brooks613@student.university.edu</t>
  </si>
  <si>
    <t>+1-310-530-0215x632</t>
  </si>
  <si>
    <t>Master in Biology</t>
  </si>
  <si>
    <t>Jesse Rivers</t>
  </si>
  <si>
    <t>Jesse</t>
  </si>
  <si>
    <t>Rivers</t>
  </si>
  <si>
    <t>jesse.rivers623@student.university.edu</t>
  </si>
  <si>
    <t>+1-276-950-2412x0957</t>
  </si>
  <si>
    <t>Mary Bates</t>
  </si>
  <si>
    <t>Mary</t>
  </si>
  <si>
    <t>Bates</t>
  </si>
  <si>
    <t>mary.bates73@student.university.edu</t>
  </si>
  <si>
    <t>(391)848-6528</t>
  </si>
  <si>
    <t>Linda Montgomery</t>
  </si>
  <si>
    <t>Linda</t>
  </si>
  <si>
    <t>Montgomery</t>
  </si>
  <si>
    <t>linda.montgomery32@student.university.edu</t>
  </si>
  <si>
    <t>001-586-577-4964x990</t>
  </si>
  <si>
    <t>Donald Brown</t>
  </si>
  <si>
    <t>Donald</t>
  </si>
  <si>
    <t>donald.brown350@student.university.edu</t>
  </si>
  <si>
    <t>(950)344-2717x3962</t>
  </si>
  <si>
    <t>Anthony Reyes</t>
  </si>
  <si>
    <t>Anthony</t>
  </si>
  <si>
    <t>Reyes</t>
  </si>
  <si>
    <t>anthony.reyes620@student.university.edu</t>
  </si>
  <si>
    <t>(234)536-2948x97861</t>
  </si>
  <si>
    <t>Jordan Suarez</t>
  </si>
  <si>
    <t>Jordan</t>
  </si>
  <si>
    <t>Suarez</t>
  </si>
  <si>
    <t>jordan.suarez41@student.university.edu</t>
  </si>
  <si>
    <t>946-458-4044</t>
  </si>
  <si>
    <t>Shawna Anderson</t>
  </si>
  <si>
    <t>Shawna</t>
  </si>
  <si>
    <t>Anderson</t>
  </si>
  <si>
    <t>shawna.anderson819@student.university.edu</t>
  </si>
  <si>
    <t>359.798.0111x0005</t>
  </si>
  <si>
    <t>Craig Clark</t>
  </si>
  <si>
    <t>Craig</t>
  </si>
  <si>
    <t>Clark</t>
  </si>
  <si>
    <t>craig.clark948@student.university.edu</t>
  </si>
  <si>
    <t>(347)507-3920</t>
  </si>
  <si>
    <t>Christian Martinez</t>
  </si>
  <si>
    <t>Christian</t>
  </si>
  <si>
    <t>Martinez</t>
  </si>
  <si>
    <t>christian.martinez23@student.university.edu</t>
  </si>
  <si>
    <t>+1-219-637-4529x9124</t>
  </si>
  <si>
    <t>Debra Sellers</t>
  </si>
  <si>
    <t>Debra</t>
  </si>
  <si>
    <t>Sellers</t>
  </si>
  <si>
    <t>debra.sellers542@student.university.edu</t>
  </si>
  <si>
    <t>+1-853-596-7275x7844</t>
  </si>
  <si>
    <t>Matthew Long</t>
  </si>
  <si>
    <t>Matthew</t>
  </si>
  <si>
    <t>Long</t>
  </si>
  <si>
    <t>matthew.long862@student.university.edu</t>
  </si>
  <si>
    <t>001-356-913-7230</t>
  </si>
  <si>
    <t>Julie Hughes</t>
  </si>
  <si>
    <t>Hughes</t>
  </si>
  <si>
    <t>julie.hughes899@student.university.edu</t>
  </si>
  <si>
    <t>+1-761-594-5887x0715</t>
  </si>
  <si>
    <t>Kristi Moreno</t>
  </si>
  <si>
    <t>Kristi</t>
  </si>
  <si>
    <t>Moreno</t>
  </si>
  <si>
    <t>kristi.moreno961@student.university.edu</t>
  </si>
  <si>
    <t>Debra Bowers</t>
  </si>
  <si>
    <t>Bowers</t>
  </si>
  <si>
    <t>debra.bowers883@student.university.edu</t>
  </si>
  <si>
    <t>001-563-509-0015x944</t>
  </si>
  <si>
    <t>Vincent Vincent</t>
  </si>
  <si>
    <t>Vincent</t>
  </si>
  <si>
    <t>vincent.vincent199@student.university.edu</t>
  </si>
  <si>
    <t>+1-533-646-8007x2290</t>
  </si>
  <si>
    <t>Donna Mitchell</t>
  </si>
  <si>
    <t>Mitchell</t>
  </si>
  <si>
    <t>donna.mitchell108@student.university.edu</t>
  </si>
  <si>
    <t>Rhonda Pitts</t>
  </si>
  <si>
    <t>Rhonda</t>
  </si>
  <si>
    <t>Pitts</t>
  </si>
  <si>
    <t>rhonda.pitts971@student.university.edu</t>
  </si>
  <si>
    <t>+1-494-818-4336x8750</t>
  </si>
  <si>
    <t>Jeffery Taylor</t>
  </si>
  <si>
    <t>Jeffery</t>
  </si>
  <si>
    <t>Taylor</t>
  </si>
  <si>
    <t>jeffery.taylor652@student.university.edu</t>
  </si>
  <si>
    <t>219.555.3560x331</t>
  </si>
  <si>
    <t>Alexandra Jackson</t>
  </si>
  <si>
    <t>Alexandra</t>
  </si>
  <si>
    <t>alexandra.jackson130@student.university.edu</t>
  </si>
  <si>
    <t>365.691.8033x9740</t>
  </si>
  <si>
    <t>Michaela Boyd</t>
  </si>
  <si>
    <t>Michaela</t>
  </si>
  <si>
    <t>Boyd</t>
  </si>
  <si>
    <t>michaela.boyd801@student.university.edu</t>
  </si>
  <si>
    <t>001-983-245-2734x666</t>
  </si>
  <si>
    <t>Jessica Moore</t>
  </si>
  <si>
    <t>Jessica</t>
  </si>
  <si>
    <t>jessica.moore938@student.university.edu</t>
  </si>
  <si>
    <t>Megan Davis</t>
  </si>
  <si>
    <t>Megan</t>
  </si>
  <si>
    <t>megan.davis531@student.university.edu</t>
  </si>
  <si>
    <t>564.275.0111x178</t>
  </si>
  <si>
    <t>Robin Davis</t>
  </si>
  <si>
    <t>Robin</t>
  </si>
  <si>
    <t>robin.davis762@student.university.edu</t>
  </si>
  <si>
    <t>(789)781-2317</t>
  </si>
  <si>
    <t>Nathaniel Brown</t>
  </si>
  <si>
    <t>Nathaniel</t>
  </si>
  <si>
    <t>nathaniel.brown978@student.university.edu</t>
  </si>
  <si>
    <t>+1-457-209-0859x9144</t>
  </si>
  <si>
    <t>Roberto Walsh</t>
  </si>
  <si>
    <t>Walsh</t>
  </si>
  <si>
    <t>roberto.walsh306@student.university.edu</t>
  </si>
  <si>
    <t>001-542-531-2209x949</t>
  </si>
  <si>
    <t>Crystal Shepherd</t>
  </si>
  <si>
    <t>Crystal</t>
  </si>
  <si>
    <t>Shepherd</t>
  </si>
  <si>
    <t>crystal.shepherd293@student.university.edu</t>
  </si>
  <si>
    <t>996-393-1572</t>
  </si>
  <si>
    <t>Cynthia Mercado</t>
  </si>
  <si>
    <t>Cynthia</t>
  </si>
  <si>
    <t>Mercado</t>
  </si>
  <si>
    <t>cynthia.mercado462@student.university.edu</t>
  </si>
  <si>
    <t>589-413-8249x671</t>
  </si>
  <si>
    <t>Sharon Foster</t>
  </si>
  <si>
    <t>Sharon</t>
  </si>
  <si>
    <t>Foster</t>
  </si>
  <si>
    <t>sharon.foster485@student.university.edu</t>
  </si>
  <si>
    <t>766-592-5481x2147</t>
  </si>
  <si>
    <t>Christian Beard</t>
  </si>
  <si>
    <t>Beard</t>
  </si>
  <si>
    <t>christian.beard779@student.university.edu</t>
  </si>
  <si>
    <t>001-354-306-4176x927</t>
  </si>
  <si>
    <t>Barbara Harris</t>
  </si>
  <si>
    <t>Harris</t>
  </si>
  <si>
    <t>barbara.harris461@student.university.edu</t>
  </si>
  <si>
    <t>001-899-337-8861x405</t>
  </si>
  <si>
    <t>Kelly Barnes</t>
  </si>
  <si>
    <t>Barnes</t>
  </si>
  <si>
    <t>kelly.barnes193@student.university.edu</t>
  </si>
  <si>
    <t>(622)899-9119x14856</t>
  </si>
  <si>
    <t>Leslie Nelson</t>
  </si>
  <si>
    <t>Leslie</t>
  </si>
  <si>
    <t>Nelson</t>
  </si>
  <si>
    <t>leslie.nelson406@student.university.edu</t>
  </si>
  <si>
    <t>001-687-863-5148</t>
  </si>
  <si>
    <t>Tracie Kim</t>
  </si>
  <si>
    <t>Tracie</t>
  </si>
  <si>
    <t>tracie.kim591@student.university.edu</t>
  </si>
  <si>
    <t>001-796-208-9319x925</t>
  </si>
  <si>
    <t>Jessica Joyce</t>
  </si>
  <si>
    <t>Joyce</t>
  </si>
  <si>
    <t>jessica.joyce13@student.university.edu</t>
  </si>
  <si>
    <t>569-734-0608</t>
  </si>
  <si>
    <t>Patrick Green</t>
  </si>
  <si>
    <t>Patrick</t>
  </si>
  <si>
    <t>Green</t>
  </si>
  <si>
    <t>patrick.green268@student.university.edu</t>
  </si>
  <si>
    <t>(488)645-0615x939</t>
  </si>
  <si>
    <t>Jackie Carter</t>
  </si>
  <si>
    <t>Jackie</t>
  </si>
  <si>
    <t>Carter</t>
  </si>
  <si>
    <t>jackie.carter168@student.university.edu</t>
  </si>
  <si>
    <t>293-575-9738x3206</t>
  </si>
  <si>
    <t>C+</t>
  </si>
  <si>
    <t>Jacob Gonzalez</t>
  </si>
  <si>
    <t>Jacob</t>
  </si>
  <si>
    <t>Gonzalez</t>
  </si>
  <si>
    <t>jacob.gonzalez145@student.university.edu</t>
  </si>
  <si>
    <t>347-785-9696</t>
  </si>
  <si>
    <t>Sean Stevenson</t>
  </si>
  <si>
    <t>Sean</t>
  </si>
  <si>
    <t>Stevenson</t>
  </si>
  <si>
    <t>sean.stevenson227@student.university.edu</t>
  </si>
  <si>
    <t>886.738.4066</t>
  </si>
  <si>
    <t>Linda Underwood</t>
  </si>
  <si>
    <t>Underwood</t>
  </si>
  <si>
    <t>linda.underwood344@student.university.edu</t>
  </si>
  <si>
    <t>466.937.2395x0410</t>
  </si>
  <si>
    <t>William Ramsey</t>
  </si>
  <si>
    <t>William</t>
  </si>
  <si>
    <t>Ramsey</t>
  </si>
  <si>
    <t>william.ramsey132@student.university.edu</t>
  </si>
  <si>
    <t>650.916.3159x99650</t>
  </si>
  <si>
    <t>Nicole Smith</t>
  </si>
  <si>
    <t>Nicole</t>
  </si>
  <si>
    <t>Smith</t>
  </si>
  <si>
    <t>nicole.smith393@student.university.edu</t>
  </si>
  <si>
    <t>001-813-587-5927x125</t>
  </si>
  <si>
    <t>Savannah Grant</t>
  </si>
  <si>
    <t>Savannah</t>
  </si>
  <si>
    <t>Grant</t>
  </si>
  <si>
    <t>savannah.grant960@student.university.edu</t>
  </si>
  <si>
    <t>+1-850-698-2210x401</t>
  </si>
  <si>
    <t>Timothy Little</t>
  </si>
  <si>
    <t>Little</t>
  </si>
  <si>
    <t>timothy.little90@student.university.edu</t>
  </si>
  <si>
    <t>(783)913-2370x589</t>
  </si>
  <si>
    <t>Karen Thompson</t>
  </si>
  <si>
    <t>Karen</t>
  </si>
  <si>
    <t>Thompson</t>
  </si>
  <si>
    <t>karen.thompson441@student.university.edu</t>
  </si>
  <si>
    <t>(297)216-7433</t>
  </si>
  <si>
    <t>Patrick Patrick</t>
  </si>
  <si>
    <t>patrick.patrick766@student.university.edu</t>
  </si>
  <si>
    <t>(751)620-7346</t>
  </si>
  <si>
    <t>James Smith</t>
  </si>
  <si>
    <t>james.smith383@student.university.edu</t>
  </si>
  <si>
    <t>+1-946-228-7923x2648</t>
  </si>
  <si>
    <t>Samantha Smith</t>
  </si>
  <si>
    <t>Samantha</t>
  </si>
  <si>
    <t>samantha.smith413@student.university.edu</t>
  </si>
  <si>
    <t>+1-900-834-8645x183</t>
  </si>
  <si>
    <t>Blake Pennington</t>
  </si>
  <si>
    <t>Blake</t>
  </si>
  <si>
    <t>Pennington</t>
  </si>
  <si>
    <t>blake.pennington725@student.university.edu</t>
  </si>
  <si>
    <t>001-646-560-2416x139</t>
  </si>
  <si>
    <t>Charles Stewart</t>
  </si>
  <si>
    <t>Charles</t>
  </si>
  <si>
    <t>Stewart</t>
  </si>
  <si>
    <t>charles.stewart708@student.university.edu</t>
  </si>
  <si>
    <t>334.932.4474</t>
  </si>
  <si>
    <t>Leslie Harrison</t>
  </si>
  <si>
    <t>Harrison</t>
  </si>
  <si>
    <t>leslie.harrison391@student.university.edu</t>
  </si>
  <si>
    <t>701-240-1193x932</t>
  </si>
  <si>
    <t>Mary Olsen</t>
  </si>
  <si>
    <t>Olsen</t>
  </si>
  <si>
    <t>mary.olsen987@student.university.edu</t>
  </si>
  <si>
    <t>200-916-8094x14915</t>
  </si>
  <si>
    <t>Sean White</t>
  </si>
  <si>
    <t>sean.white426@student.university.edu</t>
  </si>
  <si>
    <t>(484)899-3908</t>
  </si>
  <si>
    <t>Scott Jones</t>
  </si>
  <si>
    <t>Scott</t>
  </si>
  <si>
    <t>scott.jones688@student.university.edu</t>
  </si>
  <si>
    <t>860.208.9219x63945</t>
  </si>
  <si>
    <t>Karen Cortez</t>
  </si>
  <si>
    <t>Cortez</t>
  </si>
  <si>
    <t>karen.cortez456@student.university.edu</t>
  </si>
  <si>
    <t>+1-822-887-7725x199</t>
  </si>
  <si>
    <t>Jessica Owens</t>
  </si>
  <si>
    <t>Owens</t>
  </si>
  <si>
    <t>jessica.owens1@student.university.edu</t>
  </si>
  <si>
    <t>001-801-406-5133x387</t>
  </si>
  <si>
    <t>Pamela Smith</t>
  </si>
  <si>
    <t>Pamela</t>
  </si>
  <si>
    <t>pamela.smith308@student.university.edu</t>
  </si>
  <si>
    <t>563-833-1279x757</t>
  </si>
  <si>
    <t>Michael Mitchell</t>
  </si>
  <si>
    <t>Michael</t>
  </si>
  <si>
    <t>michael.mitchell808@student.university.edu</t>
  </si>
  <si>
    <t>249-941-1631x8732</t>
  </si>
  <si>
    <t>Vickie Price</t>
  </si>
  <si>
    <t>Vickie</t>
  </si>
  <si>
    <t>Price</t>
  </si>
  <si>
    <t>vickie.price964@student.university.edu</t>
  </si>
  <si>
    <t>(554)202-6355x824</t>
  </si>
  <si>
    <t>Alexandra Garcia</t>
  </si>
  <si>
    <t>Garcia</t>
  </si>
  <si>
    <t>alexandra.garcia900@student.university.edu</t>
  </si>
  <si>
    <t>001-984-700-8385x076</t>
  </si>
  <si>
    <t>David Levy</t>
  </si>
  <si>
    <t>Levy</t>
  </si>
  <si>
    <t>david.levy881@student.university.edu</t>
  </si>
  <si>
    <t>Ellen Bean</t>
  </si>
  <si>
    <t>Ellen</t>
  </si>
  <si>
    <t>Bean</t>
  </si>
  <si>
    <t>ellen.bean74@student.university.edu</t>
  </si>
  <si>
    <t>473-832-2141x88805</t>
  </si>
  <si>
    <t>Gary Wells</t>
  </si>
  <si>
    <t>Gary</t>
  </si>
  <si>
    <t>Wells</t>
  </si>
  <si>
    <t>gary.wells101@student.university.edu</t>
  </si>
  <si>
    <t>729.982.5952x694</t>
  </si>
  <si>
    <t>Sabrina Mclean</t>
  </si>
  <si>
    <t>Sabrina</t>
  </si>
  <si>
    <t>Mclean</t>
  </si>
  <si>
    <t>sabrina.mclean389@student.university.edu</t>
  </si>
  <si>
    <t>554.452.7985x2401</t>
  </si>
  <si>
    <t>Raven Hill</t>
  </si>
  <si>
    <t>Raven</t>
  </si>
  <si>
    <t>Hill</t>
  </si>
  <si>
    <t>raven.hill841@student.university.edu</t>
  </si>
  <si>
    <t>(950)473-3055</t>
  </si>
  <si>
    <t>Adam Benson</t>
  </si>
  <si>
    <t>Adam</t>
  </si>
  <si>
    <t>Benson</t>
  </si>
  <si>
    <t>adam.benson299@student.university.edu</t>
  </si>
  <si>
    <t>547-670-5383</t>
  </si>
  <si>
    <t>Brendan Rose</t>
  </si>
  <si>
    <t>Brendan</t>
  </si>
  <si>
    <t>Rose</t>
  </si>
  <si>
    <t>brendan.rose632@student.university.edu</t>
  </si>
  <si>
    <t>001-258-857-5676x670</t>
  </si>
  <si>
    <t>Laura Morrison</t>
  </si>
  <si>
    <t>Morrison</t>
  </si>
  <si>
    <t>laura.morrison316@student.university.edu</t>
  </si>
  <si>
    <t>710-216-2249x99827</t>
  </si>
  <si>
    <t>Gerald Barnes</t>
  </si>
  <si>
    <t>Gerald</t>
  </si>
  <si>
    <t>gerald.barnes491@student.university.edu</t>
  </si>
  <si>
    <t>+1-868-845-9090x2259</t>
  </si>
  <si>
    <t>Carrie Morales</t>
  </si>
  <si>
    <t>Carrie</t>
  </si>
  <si>
    <t>Morales</t>
  </si>
  <si>
    <t>carrie.morales859@student.university.edu</t>
  </si>
  <si>
    <t>454.727.8656x194</t>
  </si>
  <si>
    <t>Heather Jones</t>
  </si>
  <si>
    <t>Heather</t>
  </si>
  <si>
    <t>heather.jones70@student.university.edu</t>
  </si>
  <si>
    <t>970.205.4119x986</t>
  </si>
  <si>
    <t>Joshua Kramer</t>
  </si>
  <si>
    <t>Joshua</t>
  </si>
  <si>
    <t>Kramer</t>
  </si>
  <si>
    <t>joshua.kramer448@student.university.edu</t>
  </si>
  <si>
    <t>+1-675-563-4108x5628</t>
  </si>
  <si>
    <t>Michelle Chambers</t>
  </si>
  <si>
    <t>Michelle</t>
  </si>
  <si>
    <t>Chambers</t>
  </si>
  <si>
    <t>michelle.chambers451@student.university.edu</t>
  </si>
  <si>
    <t>001-468-831-5893x571</t>
  </si>
  <si>
    <t>Tiffany Guzman</t>
  </si>
  <si>
    <t>Tiffany</t>
  </si>
  <si>
    <t>Guzman</t>
  </si>
  <si>
    <t>tiffany.guzman454@student.university.edu</t>
  </si>
  <si>
    <t>(611)959-4082x15454</t>
  </si>
  <si>
    <t>James Jordan</t>
  </si>
  <si>
    <t>james.jordan920@student.university.edu</t>
  </si>
  <si>
    <t>248-986-0849</t>
  </si>
  <si>
    <t>Patricia Marshall</t>
  </si>
  <si>
    <t>Patricia</t>
  </si>
  <si>
    <t>Marshall</t>
  </si>
  <si>
    <t>patricia.marshall26@student.university.edu</t>
  </si>
  <si>
    <t>001-794-253-1473x799</t>
  </si>
  <si>
    <t>Crystal Gillespie</t>
  </si>
  <si>
    <t>Gillespie</t>
  </si>
  <si>
    <t>crystal.gillespie761@student.university.edu</t>
  </si>
  <si>
    <t>001-850-527-1607x360</t>
  </si>
  <si>
    <t>Erica Garcia</t>
  </si>
  <si>
    <t>Erica</t>
  </si>
  <si>
    <t>erica.garcia711@student.university.edu</t>
  </si>
  <si>
    <t>(902)467-5512x542</t>
  </si>
  <si>
    <t>Jessica Miles</t>
  </si>
  <si>
    <t>Miles</t>
  </si>
  <si>
    <t>jessica.miles871@student.university.edu</t>
  </si>
  <si>
    <t>411-345-7683</t>
  </si>
  <si>
    <t>Lisa Lopez</t>
  </si>
  <si>
    <t>Lisa</t>
  </si>
  <si>
    <t>Lopez</t>
  </si>
  <si>
    <t>lisa.lopez476@student.university.edu</t>
  </si>
  <si>
    <t>(600)424-9685</t>
  </si>
  <si>
    <t>Mary Smith</t>
  </si>
  <si>
    <t>mary.smith17@student.university.edu</t>
  </si>
  <si>
    <t>001-716-932-8708x317</t>
  </si>
  <si>
    <t>Teresa Rush</t>
  </si>
  <si>
    <t>Teresa</t>
  </si>
  <si>
    <t>Rush</t>
  </si>
  <si>
    <t>teresa.rush392@student.university.edu</t>
  </si>
  <si>
    <t>(552)589-3891x190</t>
  </si>
  <si>
    <t>Laura Martinez</t>
  </si>
  <si>
    <t>laura.martinez769@student.university.edu</t>
  </si>
  <si>
    <t>622.731.1649x13342</t>
  </si>
  <si>
    <t>Kevin Dickerson</t>
  </si>
  <si>
    <t>Kevin</t>
  </si>
  <si>
    <t>Dickerson</t>
  </si>
  <si>
    <t>kevin.dickerson483@student.university.edu</t>
  </si>
  <si>
    <t>325-430-4289x7317</t>
  </si>
  <si>
    <t>Grace Mcdaniel</t>
  </si>
  <si>
    <t>Grace</t>
  </si>
  <si>
    <t>Mcdaniel</t>
  </si>
  <si>
    <t>grace.mcdaniel749@student.university.edu</t>
  </si>
  <si>
    <t>(931)333-4845</t>
  </si>
  <si>
    <t>Jeffrey Cohen</t>
  </si>
  <si>
    <t>Cohen</t>
  </si>
  <si>
    <t>jeffrey.cohen297@student.university.edu</t>
  </si>
  <si>
    <t>001-711-266-5535</t>
  </si>
  <si>
    <t>Jay Tucker</t>
  </si>
  <si>
    <t>Jay</t>
  </si>
  <si>
    <t>Tucker</t>
  </si>
  <si>
    <t>jay.tucker147@student.university.edu</t>
  </si>
  <si>
    <t>Maria Nielsen</t>
  </si>
  <si>
    <t>Nielsen</t>
  </si>
  <si>
    <t>maria.nielsen122@student.university.edu</t>
  </si>
  <si>
    <t>(518)930-4699x013</t>
  </si>
  <si>
    <t>Paul Miranda</t>
  </si>
  <si>
    <t>Paul</t>
  </si>
  <si>
    <t>paul.miranda289@student.university.edu</t>
  </si>
  <si>
    <t>001-757-461-2286</t>
  </si>
  <si>
    <t>John Williams</t>
  </si>
  <si>
    <t>john.williams848@student.university.edu</t>
  </si>
  <si>
    <t>001-832-328-5566x084</t>
  </si>
  <si>
    <t>Melanie Acevedo</t>
  </si>
  <si>
    <t>Melanie</t>
  </si>
  <si>
    <t>Acevedo</t>
  </si>
  <si>
    <t>melanie.acevedo446@student.university.edu</t>
  </si>
  <si>
    <t>820.281.1556x260</t>
  </si>
  <si>
    <t>Megan Wilson</t>
  </si>
  <si>
    <t>megan.wilson396@student.university.edu</t>
  </si>
  <si>
    <t>(569)812-1535x3961</t>
  </si>
  <si>
    <t>Dustin Nelson</t>
  </si>
  <si>
    <t>Dustin</t>
  </si>
  <si>
    <t>dustin.nelson19@student.university.edu</t>
  </si>
  <si>
    <t>981-822-3623x16658</t>
  </si>
  <si>
    <t>William Armstrong</t>
  </si>
  <si>
    <t>Armstrong</t>
  </si>
  <si>
    <t>william.armstrong600@student.university.edu</t>
  </si>
  <si>
    <t>Douglas Mejia</t>
  </si>
  <si>
    <t>Mejia</t>
  </si>
  <si>
    <t>douglas.mejia674@student.university.edu</t>
  </si>
  <si>
    <t>847.650.9889</t>
  </si>
  <si>
    <t>Dana Novak</t>
  </si>
  <si>
    <t>Dana</t>
  </si>
  <si>
    <t>dana.novak281@student.university.edu</t>
  </si>
  <si>
    <t>001-379-725-1327</t>
  </si>
  <si>
    <t>Todd Lewis</t>
  </si>
  <si>
    <t>Todd</t>
  </si>
  <si>
    <t>todd.lewis975@student.university.edu</t>
  </si>
  <si>
    <t>(434)855-0688</t>
  </si>
  <si>
    <t>Terry Glover</t>
  </si>
  <si>
    <t>Terry</t>
  </si>
  <si>
    <t>Glover</t>
  </si>
  <si>
    <t>terry.glover478@student.university.edu</t>
  </si>
  <si>
    <t>337-979-5995x94652</t>
  </si>
  <si>
    <t>Ivan Sanchez</t>
  </si>
  <si>
    <t>Ivan</t>
  </si>
  <si>
    <t>Sanchez</t>
  </si>
  <si>
    <t>ivan.sanchez983@student.university.edu</t>
  </si>
  <si>
    <t>228.404.0561x29965</t>
  </si>
  <si>
    <t>Joseph Blackburn</t>
  </si>
  <si>
    <t>Joseph</t>
  </si>
  <si>
    <t>Blackburn</t>
  </si>
  <si>
    <t>joseph.blackburn760@student.university.edu</t>
  </si>
  <si>
    <t>Emily Cherry</t>
  </si>
  <si>
    <t>Cherry</t>
  </si>
  <si>
    <t>emily.cherry395@student.university.edu</t>
  </si>
  <si>
    <t>938.364.6317x520</t>
  </si>
  <si>
    <t>John Holt</t>
  </si>
  <si>
    <t>Holt</t>
  </si>
  <si>
    <t>john.holt435@student.university.edu</t>
  </si>
  <si>
    <t>+1-397-249-9564x1220</t>
  </si>
  <si>
    <t>Jamie Robinson</t>
  </si>
  <si>
    <t>Jamie</t>
  </si>
  <si>
    <t>Robinson</t>
  </si>
  <si>
    <t>jamie.robinson992@student.university.edu</t>
  </si>
  <si>
    <t>(938)352-7789x56133</t>
  </si>
  <si>
    <t>Jeffrey Bradley</t>
  </si>
  <si>
    <t>Bradley</t>
  </si>
  <si>
    <t>jeffrey.bradley607@student.university.edu</t>
  </si>
  <si>
    <t>(717)820-8496x498</t>
  </si>
  <si>
    <t>Jessica Ortega</t>
  </si>
  <si>
    <t>Ortega</t>
  </si>
  <si>
    <t>jessica.ortega60@student.university.edu</t>
  </si>
  <si>
    <t>(227)711-1161x528</t>
  </si>
  <si>
    <t>George Clayton</t>
  </si>
  <si>
    <t>George</t>
  </si>
  <si>
    <t>Clayton</t>
  </si>
  <si>
    <t>george.clayton659@student.university.edu</t>
  </si>
  <si>
    <t>693-905-9660x186</t>
  </si>
  <si>
    <t>Andrew Mcfarland</t>
  </si>
  <si>
    <t>Andrew</t>
  </si>
  <si>
    <t>Mcfarland</t>
  </si>
  <si>
    <t>andrew.mcfarland131@student.university.edu</t>
  </si>
  <si>
    <t>703-892-6142x93968</t>
  </si>
  <si>
    <t>Dylan Roberts</t>
  </si>
  <si>
    <t>Dylan</t>
  </si>
  <si>
    <t>Roberts</t>
  </si>
  <si>
    <t>dylan.roberts106@student.university.edu</t>
  </si>
  <si>
    <t>001-415-374-7338x484</t>
  </si>
  <si>
    <t>Michael Anderson</t>
  </si>
  <si>
    <t>michael.anderson551@student.university.edu</t>
  </si>
  <si>
    <t>001-268-762-1102x258</t>
  </si>
  <si>
    <t>William Gibson</t>
  </si>
  <si>
    <t>Gibson</t>
  </si>
  <si>
    <t>william.gibson814@student.university.edu</t>
  </si>
  <si>
    <t>(678)453-2426</t>
  </si>
  <si>
    <t>Richard Fisher</t>
  </si>
  <si>
    <t>Richard</t>
  </si>
  <si>
    <t>Fisher</t>
  </si>
  <si>
    <t>richard.fisher455@student.university.edu</t>
  </si>
  <si>
    <t>643-927-0185x1067</t>
  </si>
  <si>
    <t>Arthur Hamilton</t>
  </si>
  <si>
    <t>Arthur</t>
  </si>
  <si>
    <t>Hamilton</t>
  </si>
  <si>
    <t>arthur.hamilton136@student.university.edu</t>
  </si>
  <si>
    <t>(647)215-4379x93712</t>
  </si>
  <si>
    <t>Maria Jones</t>
  </si>
  <si>
    <t>maria.jones738@student.university.edu</t>
  </si>
  <si>
    <t>001-273-445-4757x494</t>
  </si>
  <si>
    <t>Angela Brown</t>
  </si>
  <si>
    <t>Angela</t>
  </si>
  <si>
    <t>angela.brown473@student.university.edu</t>
  </si>
  <si>
    <t>Heather Callahan</t>
  </si>
  <si>
    <t>Callahan</t>
  </si>
  <si>
    <t>heather.callahan336@student.university.edu</t>
  </si>
  <si>
    <t>Kayla Hendrix</t>
  </si>
  <si>
    <t>Kayla</t>
  </si>
  <si>
    <t>Hendrix</t>
  </si>
  <si>
    <t>kayla.hendrix824@student.university.edu</t>
  </si>
  <si>
    <t>Kenneth Alvarez</t>
  </si>
  <si>
    <t>Kenneth</t>
  </si>
  <si>
    <t>Alvarez</t>
  </si>
  <si>
    <t>kenneth.alvarez401@student.university.edu</t>
  </si>
  <si>
    <t>(780)664-7969</t>
  </si>
  <si>
    <t>Stephanie Marshall</t>
  </si>
  <si>
    <t>stephanie.marshall47@student.university.edu</t>
  </si>
  <si>
    <t>882-917-5946x4743</t>
  </si>
  <si>
    <t>Elizabeth Clark</t>
  </si>
  <si>
    <t>elizabeth.clark15@student.university.edu</t>
  </si>
  <si>
    <t>001-495-377-7387</t>
  </si>
  <si>
    <t>Christina Walters</t>
  </si>
  <si>
    <t>Christina</t>
  </si>
  <si>
    <t>Walters</t>
  </si>
  <si>
    <t>christina.walters8@student.university.edu</t>
  </si>
  <si>
    <t>687-440-1640x052</t>
  </si>
  <si>
    <t>Derek Alvarez</t>
  </si>
  <si>
    <t>derek.alvarez619@student.university.edu</t>
  </si>
  <si>
    <t>775.241.8156x32686</t>
  </si>
  <si>
    <t>Jill Davies</t>
  </si>
  <si>
    <t>Jill</t>
  </si>
  <si>
    <t>Davies</t>
  </si>
  <si>
    <t>jill.davies89@student.university.edu</t>
  </si>
  <si>
    <t>673-612-1727x1551</t>
  </si>
  <si>
    <t>Lisa Smith</t>
  </si>
  <si>
    <t>lisa.smith705@student.university.edu</t>
  </si>
  <si>
    <t>+1-652-395-8066x0138</t>
  </si>
  <si>
    <t>Jenny Sellers</t>
  </si>
  <si>
    <t>Jenny</t>
  </si>
  <si>
    <t>jenny.sellers415@student.university.edu</t>
  </si>
  <si>
    <t>724-981-5698</t>
  </si>
  <si>
    <t>Troy Bailey</t>
  </si>
  <si>
    <t>Troy</t>
  </si>
  <si>
    <t>Bailey</t>
  </si>
  <si>
    <t>troy.bailey605@student.university.edu</t>
  </si>
  <si>
    <t>Jennifer Stewart</t>
  </si>
  <si>
    <t>jennifer.stewart439@student.university.edu</t>
  </si>
  <si>
    <t>846-271-7957</t>
  </si>
  <si>
    <t>Jessica Clark</t>
  </si>
  <si>
    <t>jessica.clark626@student.university.edu</t>
  </si>
  <si>
    <t>636-714-8782</t>
  </si>
  <si>
    <t>Chad Murray</t>
  </si>
  <si>
    <t>Chad</t>
  </si>
  <si>
    <t>Murray</t>
  </si>
  <si>
    <t>chad.murray615@student.university.edu</t>
  </si>
  <si>
    <t>(552)996-7188</t>
  </si>
  <si>
    <t>Marc Simmons</t>
  </si>
  <si>
    <t>Marc</t>
  </si>
  <si>
    <t>Simmons</t>
  </si>
  <si>
    <t>marc.simmons486@student.university.edu</t>
  </si>
  <si>
    <t>666.357.5460x273</t>
  </si>
  <si>
    <t>Katherine Jackson</t>
  </si>
  <si>
    <t>katherine.jackson126@student.university.edu</t>
  </si>
  <si>
    <t>(222)887-2808x010</t>
  </si>
  <si>
    <t>Roger Henry</t>
  </si>
  <si>
    <t>Roger</t>
  </si>
  <si>
    <t>Henry</t>
  </si>
  <si>
    <t>roger.henry911@student.university.edu</t>
  </si>
  <si>
    <t>694-498-1942x179</t>
  </si>
  <si>
    <t>Christina Watkins</t>
  </si>
  <si>
    <t>Watkins</t>
  </si>
  <si>
    <t>christina.watkins968@student.university.edu</t>
  </si>
  <si>
    <t>+1-937-732-6530x6011</t>
  </si>
  <si>
    <t>Nicole Wang</t>
  </si>
  <si>
    <t>Wang</t>
  </si>
  <si>
    <t>nicole.wang758@student.university.edu</t>
  </si>
  <si>
    <t>(847)672-5129x57860</t>
  </si>
  <si>
    <t>Denise Donovan</t>
  </si>
  <si>
    <t>Denise</t>
  </si>
  <si>
    <t>Donovan</t>
  </si>
  <si>
    <t>denise.donovan601@student.university.edu</t>
  </si>
  <si>
    <t>+1-309-311-7911x2442</t>
  </si>
  <si>
    <t>Richard Jennings</t>
  </si>
  <si>
    <t>Jennings</t>
  </si>
  <si>
    <t>richard.jennings701@student.university.edu</t>
  </si>
  <si>
    <t>Paul Wells</t>
  </si>
  <si>
    <t>paul.wells121@student.university.edu</t>
  </si>
  <si>
    <t>442.870.8668</t>
  </si>
  <si>
    <t>Dennis Snow</t>
  </si>
  <si>
    <t>Dennis</t>
  </si>
  <si>
    <t>Snow</t>
  </si>
  <si>
    <t>dennis.snow919@student.university.edu</t>
  </si>
  <si>
    <t>Julie Decker</t>
  </si>
  <si>
    <t>Decker</t>
  </si>
  <si>
    <t>julie.decker966@student.university.edu</t>
  </si>
  <si>
    <t>Tracy Chavez</t>
  </si>
  <si>
    <t>Chavez</t>
  </si>
  <si>
    <t>tracy.chavez224@student.university.edu</t>
  </si>
  <si>
    <t>(526)598-4858</t>
  </si>
  <si>
    <t>Angela Watts</t>
  </si>
  <si>
    <t>Watts</t>
  </si>
  <si>
    <t>angela.watts403@student.university.edu</t>
  </si>
  <si>
    <t>615-220-8507x6986</t>
  </si>
  <si>
    <t>Melissa Smith</t>
  </si>
  <si>
    <t>Melissa</t>
  </si>
  <si>
    <t>melissa.smith211@student.university.edu</t>
  </si>
  <si>
    <t>(318)949-9261x89141</t>
  </si>
  <si>
    <t>Erica Simon</t>
  </si>
  <si>
    <t>Simon</t>
  </si>
  <si>
    <t>erica.simon616@student.university.edu</t>
  </si>
  <si>
    <t>314.341.5833</t>
  </si>
  <si>
    <t>Justin Cooper</t>
  </si>
  <si>
    <t>Justin</t>
  </si>
  <si>
    <t>Cooper</t>
  </si>
  <si>
    <t>justin.cooper728@student.university.edu</t>
  </si>
  <si>
    <t>357-927-7382x64609</t>
  </si>
  <si>
    <t>Miranda Hill</t>
  </si>
  <si>
    <t>miranda.hill640@student.university.edu</t>
  </si>
  <si>
    <t>(358)483-5868</t>
  </si>
  <si>
    <t>Dana Moore</t>
  </si>
  <si>
    <t>dana.moore332@student.university.edu</t>
  </si>
  <si>
    <t>361.953.9669x5832</t>
  </si>
  <si>
    <t>Kayla Brown</t>
  </si>
  <si>
    <t>kayla.brown381@student.university.edu</t>
  </si>
  <si>
    <t>+1-356-526-5650x4554</t>
  </si>
  <si>
    <t>Alice Bowen</t>
  </si>
  <si>
    <t>Alice</t>
  </si>
  <si>
    <t>Bowen</t>
  </si>
  <si>
    <t>alice.bowen128@student.university.edu</t>
  </si>
  <si>
    <t>Michael Mooney</t>
  </si>
  <si>
    <t>Mooney</t>
  </si>
  <si>
    <t>michael.mooney528@student.university.edu</t>
  </si>
  <si>
    <t>001-266-618-4438x612</t>
  </si>
  <si>
    <t>Anthony Vargas</t>
  </si>
  <si>
    <t>Vargas</t>
  </si>
  <si>
    <t>anthony.vargas906@student.university.edu</t>
  </si>
  <si>
    <t>712-883-3372x188</t>
  </si>
  <si>
    <t>James Tapia</t>
  </si>
  <si>
    <t>Tapia</t>
  </si>
  <si>
    <t>james.tapia578@student.university.edu</t>
  </si>
  <si>
    <t>001-736-890-3628x917</t>
  </si>
  <si>
    <t>Katherine Arellano</t>
  </si>
  <si>
    <t>Arellano</t>
  </si>
  <si>
    <t>katherine.arellano385@student.university.edu</t>
  </si>
  <si>
    <t>+1-259-679-6471x589</t>
  </si>
  <si>
    <t>Michael Smith</t>
  </si>
  <si>
    <t>michael.smith169@student.university.edu</t>
  </si>
  <si>
    <t>206-541-3836x70241</t>
  </si>
  <si>
    <t>Rachel Williams</t>
  </si>
  <si>
    <t>Rachel</t>
  </si>
  <si>
    <t>rachel.williams356@student.university.edu</t>
  </si>
  <si>
    <t>238-478-2931</t>
  </si>
  <si>
    <t>Kimberly Thomas</t>
  </si>
  <si>
    <t>Kimberly</t>
  </si>
  <si>
    <t>kimberly.thomas984@student.university.edu</t>
  </si>
  <si>
    <t>+1-841-386-9656x1308</t>
  </si>
  <si>
    <t>Tammy Rodriguez</t>
  </si>
  <si>
    <t>Tammy</t>
  </si>
  <si>
    <t>Rodriguez</t>
  </si>
  <si>
    <t>tammy.rodriguez754@student.university.edu</t>
  </si>
  <si>
    <t>(515)362-2949</t>
  </si>
  <si>
    <t>Thomas Ortiz</t>
  </si>
  <si>
    <t>Ortiz</t>
  </si>
  <si>
    <t>thomas.ortiz821@student.university.edu</t>
  </si>
  <si>
    <t>Charles Lee</t>
  </si>
  <si>
    <t>Lee</t>
  </si>
  <si>
    <t>charles.lee985@student.university.edu</t>
  </si>
  <si>
    <t>659.251.4346x82394</t>
  </si>
  <si>
    <t>Nicole Lawrence</t>
  </si>
  <si>
    <t>Lawrence</t>
  </si>
  <si>
    <t>nicole.lawrence159@student.university.edu</t>
  </si>
  <si>
    <t>(656)252-3413x8999</t>
  </si>
  <si>
    <t>Brian Thompson</t>
  </si>
  <si>
    <t>brian.thompson343@student.university.edu</t>
  </si>
  <si>
    <t>001-227-752-4372</t>
  </si>
  <si>
    <t>Christopher Vasquez</t>
  </si>
  <si>
    <t>Christopher</t>
  </si>
  <si>
    <t>christopher.vasquez853@student.university.edu</t>
  </si>
  <si>
    <t>Karen Willis</t>
  </si>
  <si>
    <t>Willis</t>
  </si>
  <si>
    <t>karen.willis926@student.university.edu</t>
  </si>
  <si>
    <t>001-913-578-7655x300</t>
  </si>
  <si>
    <t>Bryan Nunez</t>
  </si>
  <si>
    <t>Bryan</t>
  </si>
  <si>
    <t>Nunez</t>
  </si>
  <si>
    <t>bryan.nunez167@student.university.edu</t>
  </si>
  <si>
    <t>Edward Robinson</t>
  </si>
  <si>
    <t>Edward</t>
  </si>
  <si>
    <t>edward.robinson682@student.university.edu</t>
  </si>
  <si>
    <t>001-446-975-3612x751</t>
  </si>
  <si>
    <t>Anna Wright</t>
  </si>
  <si>
    <t>Anna</t>
  </si>
  <si>
    <t>Wright</t>
  </si>
  <si>
    <t>anna.wright173@student.university.edu</t>
  </si>
  <si>
    <t>(568)304-4206x788</t>
  </si>
  <si>
    <t>C</t>
  </si>
  <si>
    <t>Janice Carpenter</t>
  </si>
  <si>
    <t>Janice</t>
  </si>
  <si>
    <t>Carpenter</t>
  </si>
  <si>
    <t>janice.carpenter573@student.university.edu</t>
  </si>
  <si>
    <t>(389)231-3503x05872</t>
  </si>
  <si>
    <t>Margaret Gonzales</t>
  </si>
  <si>
    <t>Gonzales</t>
  </si>
  <si>
    <t>margaret.gonzales256@student.university.edu</t>
  </si>
  <si>
    <t>484.230.9883</t>
  </si>
  <si>
    <t>Tara Robertson</t>
  </si>
  <si>
    <t>Tara</t>
  </si>
  <si>
    <t>Robertson</t>
  </si>
  <si>
    <t>tara.robertson371@student.university.edu</t>
  </si>
  <si>
    <t>+1-550-416-5790x5528</t>
  </si>
  <si>
    <t>Kari Edwards</t>
  </si>
  <si>
    <t>Kari</t>
  </si>
  <si>
    <t>Edwards</t>
  </si>
  <si>
    <t>kari.edwards842@student.university.edu</t>
  </si>
  <si>
    <t>Christopher Tran</t>
  </si>
  <si>
    <t>Tran</t>
  </si>
  <si>
    <t>christopher.tran874@student.university.edu</t>
  </si>
  <si>
    <t>+1-581-822-8217x8192</t>
  </si>
  <si>
    <t>Jennifer Mcknight</t>
  </si>
  <si>
    <t>Mcknight</t>
  </si>
  <si>
    <t>jennifer.mcknight627@student.university.edu</t>
  </si>
  <si>
    <t>330-298-5916x7954</t>
  </si>
  <si>
    <t>Erin Simon</t>
  </si>
  <si>
    <t>Erin</t>
  </si>
  <si>
    <t>erin.simon110@student.university.edu</t>
  </si>
  <si>
    <t>+1-742-305-4932x9668</t>
  </si>
  <si>
    <t>Christine Clark</t>
  </si>
  <si>
    <t>Christine</t>
  </si>
  <si>
    <t>christine.clark151@student.university.edu</t>
  </si>
  <si>
    <t>Nicholas Henderson</t>
  </si>
  <si>
    <t>Nicholas</t>
  </si>
  <si>
    <t>Henderson</t>
  </si>
  <si>
    <t>nicholas.henderson537@student.university.edu</t>
  </si>
  <si>
    <t>Sarah Hunt</t>
  </si>
  <si>
    <t>Hunt</t>
  </si>
  <si>
    <t>sarah.hunt487@student.university.edu</t>
  </si>
  <si>
    <t>+1-714-631-1150x8353</t>
  </si>
  <si>
    <t>Jeffrey Khan</t>
  </si>
  <si>
    <t>Khan</t>
  </si>
  <si>
    <t>jeffrey.khan99@student.university.edu</t>
  </si>
  <si>
    <t>001-356-850-6098x358</t>
  </si>
  <si>
    <t>Patrick Rubio</t>
  </si>
  <si>
    <t>Rubio</t>
  </si>
  <si>
    <t>patrick.rubio820@student.university.edu</t>
  </si>
  <si>
    <t>415-495-9775x2441</t>
  </si>
  <si>
    <t>Christopher Maldonado</t>
  </si>
  <si>
    <t>Maldonado</t>
  </si>
  <si>
    <t>christopher.maldonado996@student.university.edu</t>
  </si>
  <si>
    <t>960-953-9707x98661</t>
  </si>
  <si>
    <t>Philip Davenport</t>
  </si>
  <si>
    <t>Philip</t>
  </si>
  <si>
    <t>Davenport</t>
  </si>
  <si>
    <t>philip.davenport949@student.university.edu</t>
  </si>
  <si>
    <t>(321)427-6025x08261</t>
  </si>
  <si>
    <t>Kristen Galloway</t>
  </si>
  <si>
    <t>Kristen</t>
  </si>
  <si>
    <t>Galloway</t>
  </si>
  <si>
    <t>kristen.galloway791@student.university.edu</t>
  </si>
  <si>
    <t>249.907.9779x612</t>
  </si>
  <si>
    <t>Johnny Orozco</t>
  </si>
  <si>
    <t>Johnny</t>
  </si>
  <si>
    <t>Orozco</t>
  </si>
  <si>
    <t>johnny.orozco724@student.university.edu</t>
  </si>
  <si>
    <t>(479)338-9701x550</t>
  </si>
  <si>
    <t>Anne Hopkins</t>
  </si>
  <si>
    <t>Anne</t>
  </si>
  <si>
    <t>anne.hopkins286@student.university.edu</t>
  </si>
  <si>
    <t>Jack Campbell</t>
  </si>
  <si>
    <t>Jack</t>
  </si>
  <si>
    <t>Campbell</t>
  </si>
  <si>
    <t>jack.campbell468@student.university.edu</t>
  </si>
  <si>
    <t>001-593-403-6149x872</t>
  </si>
  <si>
    <t>Nicole Campbell</t>
  </si>
  <si>
    <t>nicole.campbell730@student.university.edu</t>
  </si>
  <si>
    <t>001-373-668-2691x163</t>
  </si>
  <si>
    <t>Brandon Hunter</t>
  </si>
  <si>
    <t>Brandon</t>
  </si>
  <si>
    <t>Hunter</t>
  </si>
  <si>
    <t>brandon.hunter763@student.university.edu</t>
  </si>
  <si>
    <t>648.317.0066x6155</t>
  </si>
  <si>
    <t>Victoria Peck</t>
  </si>
  <si>
    <t>Peck</t>
  </si>
  <si>
    <t>victoria.peck927@student.university.edu</t>
  </si>
  <si>
    <t>+1-456-905-7121x9881</t>
  </si>
  <si>
    <t>Veronica Nelson</t>
  </si>
  <si>
    <t>Veronica</t>
  </si>
  <si>
    <t>veronica.nelson885@student.university.edu</t>
  </si>
  <si>
    <t>311.236.3379x2234</t>
  </si>
  <si>
    <t>Nicole Cole</t>
  </si>
  <si>
    <t>Cole</t>
  </si>
  <si>
    <t>nicole.cole434@student.university.edu</t>
  </si>
  <si>
    <t>252-832-1941x680</t>
  </si>
  <si>
    <t>Patrick Valdez</t>
  </si>
  <si>
    <t>Valdez</t>
  </si>
  <si>
    <t>patrick.valdez869@student.university.edu</t>
  </si>
  <si>
    <t>(560)942-3597</t>
  </si>
  <si>
    <t>Vincent Reyes</t>
  </si>
  <si>
    <t>vincent.reyes207@student.university.edu</t>
  </si>
  <si>
    <t>Stephanie Bolton</t>
  </si>
  <si>
    <t>Bolton</t>
  </si>
  <si>
    <t>stephanie.bolton654@student.university.edu</t>
  </si>
  <si>
    <t>(596)971-1148</t>
  </si>
  <si>
    <t>April Wilson</t>
  </si>
  <si>
    <t>April</t>
  </si>
  <si>
    <t>april.wilson935@student.university.edu</t>
  </si>
  <si>
    <t>001-434-229-2913</t>
  </si>
  <si>
    <t>Michelle Phillips</t>
  </si>
  <si>
    <t>Phillips</t>
  </si>
  <si>
    <t>michelle.phillips125@student.university.edu</t>
  </si>
  <si>
    <t>653.969.3785</t>
  </si>
  <si>
    <t>Jennifer Parks</t>
  </si>
  <si>
    <t>Parks</t>
  </si>
  <si>
    <t>jennifer.parks58@student.university.edu</t>
  </si>
  <si>
    <t>771.815.9212x4998</t>
  </si>
  <si>
    <t>Thomas Holt</t>
  </si>
  <si>
    <t>thomas.holt223@student.university.edu</t>
  </si>
  <si>
    <t>(821)569-9586</t>
  </si>
  <si>
    <t>Tonya Wilson</t>
  </si>
  <si>
    <t>Tonya</t>
  </si>
  <si>
    <t>tonya.wilson142@student.university.edu</t>
  </si>
  <si>
    <t>001-925-745-7387x571</t>
  </si>
  <si>
    <t>Teresa Young</t>
  </si>
  <si>
    <t>Young</t>
  </si>
  <si>
    <t>teresa.young997@student.university.edu</t>
  </si>
  <si>
    <t>(782)705-0682x1223</t>
  </si>
  <si>
    <t>Jeremy Glass</t>
  </si>
  <si>
    <t>Jeremy</t>
  </si>
  <si>
    <t>Glass</t>
  </si>
  <si>
    <t>jeremy.glass585@student.university.edu</t>
  </si>
  <si>
    <t>497-905-4669</t>
  </si>
  <si>
    <t>Sarah Yates</t>
  </si>
  <si>
    <t>Yates</t>
  </si>
  <si>
    <t>sarah.yates1000@student.university.edu</t>
  </si>
  <si>
    <t>+1-338-369-4842x495</t>
  </si>
  <si>
    <t>Kirsten Pennington</t>
  </si>
  <si>
    <t>Kirsten</t>
  </si>
  <si>
    <t>kirsten.pennington39@student.university.edu</t>
  </si>
  <si>
    <t>371.509.3248x086</t>
  </si>
  <si>
    <t>William Barrett</t>
  </si>
  <si>
    <t>william.barrett535@student.university.edu</t>
  </si>
  <si>
    <t>940.784.8729</t>
  </si>
  <si>
    <t>John Simon</t>
  </si>
  <si>
    <t>john.simon856@student.university.edu</t>
  </si>
  <si>
    <t>(931)866-0076</t>
  </si>
  <si>
    <t>Eric Conner</t>
  </si>
  <si>
    <t>Conner</t>
  </si>
  <si>
    <t>eric.conner965@student.university.edu</t>
  </si>
  <si>
    <t>489-688-0315x3888</t>
  </si>
  <si>
    <t>George Lowe</t>
  </si>
  <si>
    <t>Lowe</t>
  </si>
  <si>
    <t>george.lowe879@student.university.edu</t>
  </si>
  <si>
    <t>749-563-9243x588</t>
  </si>
  <si>
    <t>Erin Meyer</t>
  </si>
  <si>
    <t>Meyer</t>
  </si>
  <si>
    <t>erin.meyer114@student.university.edu</t>
  </si>
  <si>
    <t>439-871-8707</t>
  </si>
  <si>
    <t>Zachary Keith</t>
  </si>
  <si>
    <t>Zachary</t>
  </si>
  <si>
    <t>zachary.keith482@student.university.edu</t>
  </si>
  <si>
    <t>001-811-522-3386x559</t>
  </si>
  <si>
    <t>Brandon Bailey</t>
  </si>
  <si>
    <t>brandon.bailey37@student.university.edu</t>
  </si>
  <si>
    <t>651-725-6746x80715</t>
  </si>
  <si>
    <t>Andrew Lee</t>
  </si>
  <si>
    <t>andrew.lee974@student.university.edu</t>
  </si>
  <si>
    <t>Victoria Richardson</t>
  </si>
  <si>
    <t>Richardson</t>
  </si>
  <si>
    <t>victoria.richardson910@student.university.edu</t>
  </si>
  <si>
    <t>+1-259-510-2451x0910</t>
  </si>
  <si>
    <t>Zachary Burton</t>
  </si>
  <si>
    <t>Burton</t>
  </si>
  <si>
    <t>zachary.burton192@student.university.edu</t>
  </si>
  <si>
    <t>+1-945-211-6868x548</t>
  </si>
  <si>
    <t>Molly Peterson</t>
  </si>
  <si>
    <t>Molly</t>
  </si>
  <si>
    <t>Peterson</t>
  </si>
  <si>
    <t>molly.peterson928@student.university.edu</t>
  </si>
  <si>
    <t>+1-405-634-8640x104</t>
  </si>
  <si>
    <t>Travis Hobbs</t>
  </si>
  <si>
    <t>Travis</t>
  </si>
  <si>
    <t>Hobbs</t>
  </si>
  <si>
    <t>travis.hobbs120@student.university.edu</t>
  </si>
  <si>
    <t>(868)870-5685</t>
  </si>
  <si>
    <t>Kaitlyn Warner</t>
  </si>
  <si>
    <t>Kaitlyn</t>
  </si>
  <si>
    <t>Warner</t>
  </si>
  <si>
    <t>kaitlyn.warner970@student.university.edu</t>
  </si>
  <si>
    <t>449-216-0936x595</t>
  </si>
  <si>
    <t>Matthew Mcclure</t>
  </si>
  <si>
    <t>Mcclure</t>
  </si>
  <si>
    <t>matthew.mcclure272@student.university.edu</t>
  </si>
  <si>
    <t>933-947-2282x0055</t>
  </si>
  <si>
    <t>Diane Hart</t>
  </si>
  <si>
    <t>Diane</t>
  </si>
  <si>
    <t>Hart</t>
  </si>
  <si>
    <t>diane.hart511@student.university.edu</t>
  </si>
  <si>
    <t>815.827.3230x0857</t>
  </si>
  <si>
    <t>Karen Garcia</t>
  </si>
  <si>
    <t>karen.garcia922@student.university.edu</t>
  </si>
  <si>
    <t>001-642-344-6263x251</t>
  </si>
  <si>
    <t>Anna Dawson</t>
  </si>
  <si>
    <t>Dawson</t>
  </si>
  <si>
    <t>anna.dawson787@student.university.edu</t>
  </si>
  <si>
    <t>+1-364-725-8562x6149</t>
  </si>
  <si>
    <t>Hector Jacobs</t>
  </si>
  <si>
    <t>Hector</t>
  </si>
  <si>
    <t>Jacobs</t>
  </si>
  <si>
    <t>hector.jacobs896@student.university.edu</t>
  </si>
  <si>
    <t>001-764-686-2872x031</t>
  </si>
  <si>
    <t>Robert Richardson</t>
  </si>
  <si>
    <t>Robert</t>
  </si>
  <si>
    <t>robert.richardson102@student.university.edu</t>
  </si>
  <si>
    <t>+1-916-494-0974x9930</t>
  </si>
  <si>
    <t>Christopher Walters</t>
  </si>
  <si>
    <t>christopher.walters206@student.university.edu</t>
  </si>
  <si>
    <t>Sarah Robinson</t>
  </si>
  <si>
    <t>sarah.robinson662@student.university.edu</t>
  </si>
  <si>
    <t>Lindsey Carey</t>
  </si>
  <si>
    <t>Lindsey</t>
  </si>
  <si>
    <t>Carey</t>
  </si>
  <si>
    <t>lindsey.carey251@student.university.edu</t>
  </si>
  <si>
    <t>001-368-865-0863x765</t>
  </si>
  <si>
    <t>Thomas May</t>
  </si>
  <si>
    <t>May</t>
  </si>
  <si>
    <t>thomas.may646@student.university.edu</t>
  </si>
  <si>
    <t>833.897.8559x8217</t>
  </si>
  <si>
    <t>Jerry Powers</t>
  </si>
  <si>
    <t>Jerry</t>
  </si>
  <si>
    <t>Powers</t>
  </si>
  <si>
    <t>jerry.powers827@student.university.edu</t>
  </si>
  <si>
    <t>+1-558-310-2131x2512</t>
  </si>
  <si>
    <t>Joshua Lutz</t>
  </si>
  <si>
    <t>Lutz</t>
  </si>
  <si>
    <t>joshua.lutz242@student.university.edu</t>
  </si>
  <si>
    <t>725.263.9427x8816</t>
  </si>
  <si>
    <t>Kathryn Martinez</t>
  </si>
  <si>
    <t>Kathryn</t>
  </si>
  <si>
    <t>kathryn.martinez411@student.university.edu</t>
  </si>
  <si>
    <t>+1-898-547-1391x5596</t>
  </si>
  <si>
    <t>Francisco Johns</t>
  </si>
  <si>
    <t>Francisco</t>
  </si>
  <si>
    <t>Johns</t>
  </si>
  <si>
    <t>francisco.johns386@student.university.edu</t>
  </si>
  <si>
    <t>(652)604-5650</t>
  </si>
  <si>
    <t>Heather Thompson</t>
  </si>
  <si>
    <t>heather.thompson503@student.university.edu</t>
  </si>
  <si>
    <t>(550)863-7314x9501</t>
  </si>
  <si>
    <t>John Patel</t>
  </si>
  <si>
    <t>Patel</t>
  </si>
  <si>
    <t>john.patel373@student.university.edu</t>
  </si>
  <si>
    <t>Dylan Norman</t>
  </si>
  <si>
    <t>Norman</t>
  </si>
  <si>
    <t>dylan.norman149@student.university.edu</t>
  </si>
  <si>
    <t>001-778-281-9148</t>
  </si>
  <si>
    <t>Theresa Wilson</t>
  </si>
  <si>
    <t>Theresa</t>
  </si>
  <si>
    <t>theresa.wilson419@student.university.edu</t>
  </si>
  <si>
    <t>001-886-477-1333x447</t>
  </si>
  <si>
    <t>Barbara Anderson</t>
  </si>
  <si>
    <t>barbara.anderson838@student.university.edu</t>
  </si>
  <si>
    <t>555-725-9710x7563</t>
  </si>
  <si>
    <t>Noah Morgan</t>
  </si>
  <si>
    <t>Noah</t>
  </si>
  <si>
    <t>Morgan</t>
  </si>
  <si>
    <t>noah.morgan567@student.university.edu</t>
  </si>
  <si>
    <t>001-513-227-9724x572</t>
  </si>
  <si>
    <t>Michele Clark</t>
  </si>
  <si>
    <t>Michele</t>
  </si>
  <si>
    <t>michele.clark752@student.university.edu</t>
  </si>
  <si>
    <t>001-544-950-5665x883</t>
  </si>
  <si>
    <t>Kayla Smith</t>
  </si>
  <si>
    <t>kayla.smith894@student.university.edu</t>
  </si>
  <si>
    <t>906.522.0722x39594</t>
  </si>
  <si>
    <t>David Garcia</t>
  </si>
  <si>
    <t>david.garcia994@student.university.edu</t>
  </si>
  <si>
    <t>981.427.7822x1021</t>
  </si>
  <si>
    <t>Linda Watkins</t>
  </si>
  <si>
    <t>linda.watkins329@student.university.edu</t>
  </si>
  <si>
    <t>001-379-954-5381x792</t>
  </si>
  <si>
    <t>Catherine Young</t>
  </si>
  <si>
    <t>Catherine</t>
  </si>
  <si>
    <t>catherine.young637@student.university.edu</t>
  </si>
  <si>
    <t>Shelby Mccann</t>
  </si>
  <si>
    <t>Shelby</t>
  </si>
  <si>
    <t>Mccann</t>
  </si>
  <si>
    <t>shelby.mccann421@student.university.edu</t>
  </si>
  <si>
    <t>(936)769-4118x0053</t>
  </si>
  <si>
    <t>Michael Nixon</t>
  </si>
  <si>
    <t>Nixon</t>
  </si>
  <si>
    <t>michael.nixon346@student.university.edu</t>
  </si>
  <si>
    <t>+1-801-985-6945x4414</t>
  </si>
  <si>
    <t>Fall 2024</t>
  </si>
  <si>
    <t>Steve Lopez</t>
  </si>
  <si>
    <t>Steve</t>
  </si>
  <si>
    <t>steve.lopez548@student.university.edu</t>
  </si>
  <si>
    <t>(901)267-3188x261</t>
  </si>
  <si>
    <t>Megan Le</t>
  </si>
  <si>
    <t>Le</t>
  </si>
  <si>
    <t>megan.le49@student.university.edu</t>
  </si>
  <si>
    <t>+1-421-504-7095x2145</t>
  </si>
  <si>
    <t>Erika Gonzalez</t>
  </si>
  <si>
    <t>Erika</t>
  </si>
  <si>
    <t>erika.gonzalez364@student.university.edu</t>
  </si>
  <si>
    <t>+1-953-215-3136x3631</t>
  </si>
  <si>
    <t>Jorge Sullivan</t>
  </si>
  <si>
    <t>Jorge</t>
  </si>
  <si>
    <t>jorge.sullivan851@student.university.edu</t>
  </si>
  <si>
    <t>(510)661-3394</t>
  </si>
  <si>
    <t>Justin Anderson</t>
  </si>
  <si>
    <t>justin.anderson229@student.university.edu</t>
  </si>
  <si>
    <t>001-240-657-2025</t>
  </si>
  <si>
    <t>Cody Baker</t>
  </si>
  <si>
    <t>Cody</t>
  </si>
  <si>
    <t>Baker</t>
  </si>
  <si>
    <t>cody.baker265@student.university.edu</t>
  </si>
  <si>
    <t>879-655-2763x655</t>
  </si>
  <si>
    <t>Zachary Vargas</t>
  </si>
  <si>
    <t>zachary.vargas367@student.university.edu</t>
  </si>
  <si>
    <t>240.863.3569x392</t>
  </si>
  <si>
    <t>Lauren Williams</t>
  </si>
  <si>
    <t>Lauren</t>
  </si>
  <si>
    <t>lauren.williams5@student.university.edu</t>
  </si>
  <si>
    <t>569-698-5435</t>
  </si>
  <si>
    <t>Alan Martinez</t>
  </si>
  <si>
    <t>Alan</t>
  </si>
  <si>
    <t>alan.martinez671@student.university.edu</t>
  </si>
  <si>
    <t>887-812-0602x128</t>
  </si>
  <si>
    <t>Heidi Moore</t>
  </si>
  <si>
    <t>Heidi</t>
  </si>
  <si>
    <t>heidi.moore253@student.university.edu</t>
  </si>
  <si>
    <t>+1-994-448-6959x4636</t>
  </si>
  <si>
    <t>Christopher Murphy</t>
  </si>
  <si>
    <t>Murphy</t>
  </si>
  <si>
    <t>christopher.murphy909@student.university.edu</t>
  </si>
  <si>
    <t>(211)911-0286x7120</t>
  </si>
  <si>
    <t>Sheila Velazquez</t>
  </si>
  <si>
    <t>Sheila</t>
  </si>
  <si>
    <t>Velazquez</t>
  </si>
  <si>
    <t>sheila.velazquez930@student.university.edu</t>
  </si>
  <si>
    <t>+1-591-351-1455x129</t>
  </si>
  <si>
    <t>John Benson</t>
  </si>
  <si>
    <t>john.benson532@student.university.edu</t>
  </si>
  <si>
    <t>392-767-6492</t>
  </si>
  <si>
    <t>Ricky Jackson</t>
  </si>
  <si>
    <t>Ricky</t>
  </si>
  <si>
    <t>ricky.jackson46@student.university.edu</t>
  </si>
  <si>
    <t>996-693-7923</t>
  </si>
  <si>
    <t>Ashley Mitchell</t>
  </si>
  <si>
    <t>Ashley</t>
  </si>
  <si>
    <t>ashley.mitchell550@student.university.edu</t>
  </si>
  <si>
    <t>(366)850-2374</t>
  </si>
  <si>
    <t>Nicole Brennan</t>
  </si>
  <si>
    <t>Brennan</t>
  </si>
  <si>
    <t>nicole.brennan109@student.university.edu</t>
  </si>
  <si>
    <t>400-949-9154x7887</t>
  </si>
  <si>
    <t>Paige Ferguson</t>
  </si>
  <si>
    <t>Paige</t>
  </si>
  <si>
    <t>Ferguson</t>
  </si>
  <si>
    <t>paige.ferguson558@student.university.edu</t>
  </si>
  <si>
    <t>(702)936-8485</t>
  </si>
  <si>
    <t>Christy Smith</t>
  </si>
  <si>
    <t>Christy</t>
  </si>
  <si>
    <t>christy.smith580@student.university.edu</t>
  </si>
  <si>
    <t>238-230-3419x9097</t>
  </si>
  <si>
    <t>Amanda Gordon</t>
  </si>
  <si>
    <t>Amanda</t>
  </si>
  <si>
    <t>Gordon</t>
  </si>
  <si>
    <t>amanda.gordon757@student.university.edu</t>
  </si>
  <si>
    <t>387-949-5119x18182</t>
  </si>
  <si>
    <t>Christopher Peters</t>
  </si>
  <si>
    <t>Peters</t>
  </si>
  <si>
    <t>christopher.peters534@student.university.edu</t>
  </si>
  <si>
    <t>610-729-3218x40118</t>
  </si>
  <si>
    <t>Thomas Ramos</t>
  </si>
  <si>
    <t>Ramos</t>
  </si>
  <si>
    <t>thomas.ramos2@student.university.edu</t>
  </si>
  <si>
    <t>Charles Lin</t>
  </si>
  <si>
    <t>Lin</t>
  </si>
  <si>
    <t>charles.lin592@student.university.edu</t>
  </si>
  <si>
    <t>364-280-7279</t>
  </si>
  <si>
    <t>Charles Garcia</t>
  </si>
  <si>
    <t>charles.garcia846@student.university.edu</t>
  </si>
  <si>
    <t>(331)955-5165</t>
  </si>
  <si>
    <t>Michael Conway</t>
  </si>
  <si>
    <t>Conway</t>
  </si>
  <si>
    <t>michael.conway377@student.university.edu</t>
  </si>
  <si>
    <t>(623)710-5927</t>
  </si>
  <si>
    <t>Angela Chan</t>
  </si>
  <si>
    <t>Chan</t>
  </si>
  <si>
    <t>angela.chan307@student.university.edu</t>
  </si>
  <si>
    <t>(489)475-2677</t>
  </si>
  <si>
    <t>Luis Rice</t>
  </si>
  <si>
    <t>Luis</t>
  </si>
  <si>
    <t>Rice</t>
  </si>
  <si>
    <t>luis.rice288@student.university.edu</t>
  </si>
  <si>
    <t>001-514-413-8113x863</t>
  </si>
  <si>
    <t>Gloria Barron</t>
  </si>
  <si>
    <t>Gloria</t>
  </si>
  <si>
    <t>Barron</t>
  </si>
  <si>
    <t>gloria.barron186@student.university.edu</t>
  </si>
  <si>
    <t>(818)415-9970</t>
  </si>
  <si>
    <t>Janet Kramer</t>
  </si>
  <si>
    <t>Janet</t>
  </si>
  <si>
    <t>janet.kramer260@student.university.edu</t>
  </si>
  <si>
    <t>535.665.8804</t>
  </si>
  <si>
    <t>Stacey Stewart</t>
  </si>
  <si>
    <t>Stacey</t>
  </si>
  <si>
    <t>stacey.stewart84@student.university.edu</t>
  </si>
  <si>
    <t>386-787-4034x5054</t>
  </si>
  <si>
    <t>Gary Hines</t>
  </si>
  <si>
    <t>Hines</t>
  </si>
  <si>
    <t>gary.hines42@student.university.edu</t>
  </si>
  <si>
    <t>(875)433-9636x0576</t>
  </si>
  <si>
    <t>Alexander Johnson</t>
  </si>
  <si>
    <t>Alexander</t>
  </si>
  <si>
    <t>alexander.johnson767@student.university.edu</t>
  </si>
  <si>
    <t>702.560.8698x2210</t>
  </si>
  <si>
    <t>Chelsea Brandt</t>
  </si>
  <si>
    <t>Chelsea</t>
  </si>
  <si>
    <t>Brandt</t>
  </si>
  <si>
    <t>chelsea.brandt803@student.university.edu</t>
  </si>
  <si>
    <t>Zachary Francis</t>
  </si>
  <si>
    <t>Francis</t>
  </si>
  <si>
    <t>zachary.francis45@student.university.edu</t>
  </si>
  <si>
    <t>(411)572-4005x04556</t>
  </si>
  <si>
    <t>Carl Barnes</t>
  </si>
  <si>
    <t>Carl</t>
  </si>
  <si>
    <t>carl.barnes494@student.university.edu</t>
  </si>
  <si>
    <t>001-516-932-3467x299</t>
  </si>
  <si>
    <t>Anna Cox</t>
  </si>
  <si>
    <t>anna.cox362@student.university.edu</t>
  </si>
  <si>
    <t>001-488-237-3403x127</t>
  </si>
  <si>
    <t>Ian Johnson</t>
  </si>
  <si>
    <t>Ian</t>
  </si>
  <si>
    <t>ian.johnson216@student.university.edu</t>
  </si>
  <si>
    <t>+1-527-771-6701x4508</t>
  </si>
  <si>
    <t>Heather Scott</t>
  </si>
  <si>
    <t>heather.scott865@student.university.edu</t>
  </si>
  <si>
    <t>368.916.9957x0607</t>
  </si>
  <si>
    <t>Kimberly Oconnell</t>
  </si>
  <si>
    <t>Oconnell</t>
  </si>
  <si>
    <t>kimberly.oconnell172@student.university.edu</t>
  </si>
  <si>
    <t>274.574.1124</t>
  </si>
  <si>
    <t>Ashley Combs</t>
  </si>
  <si>
    <t>Combs</t>
  </si>
  <si>
    <t>ashley.combs981@student.university.edu</t>
  </si>
  <si>
    <t>242.966.9806</t>
  </si>
  <si>
    <t>Jason Taylor</t>
  </si>
  <si>
    <t>Jason</t>
  </si>
  <si>
    <t>jason.taylor52@student.university.edu</t>
  </si>
  <si>
    <t>Douglas Atkinson</t>
  </si>
  <si>
    <t>Atkinson</t>
  </si>
  <si>
    <t>douglas.atkinson929@student.university.edu</t>
  </si>
  <si>
    <t>285-617-4460</t>
  </si>
  <si>
    <t>Ian Green</t>
  </si>
  <si>
    <t>ian.green124@student.university.edu</t>
  </si>
  <si>
    <t>277.617.5355x60932</t>
  </si>
  <si>
    <t>Jordan Martinez</t>
  </si>
  <si>
    <t>jordan.martinez450@student.university.edu</t>
  </si>
  <si>
    <t>001-717-649-0753x998</t>
  </si>
  <si>
    <t>Jonathan Murray</t>
  </si>
  <si>
    <t>Jonathan</t>
  </si>
  <si>
    <t>jonathan.murray498@student.university.edu</t>
  </si>
  <si>
    <t>676-356-3600</t>
  </si>
  <si>
    <t>Eric Thomas</t>
  </si>
  <si>
    <t>eric.thomas751@student.university.edu</t>
  </si>
  <si>
    <t>455-974-6966x06065</t>
  </si>
  <si>
    <t>Benjamin Holland</t>
  </si>
  <si>
    <t>Benjamin</t>
  </si>
  <si>
    <t>Holland</t>
  </si>
  <si>
    <t>benjamin.holland25@student.university.edu</t>
  </si>
  <si>
    <t>Kellie Thompson</t>
  </si>
  <si>
    <t>Kellie</t>
  </si>
  <si>
    <t>kellie.thompson868@student.university.edu</t>
  </si>
  <si>
    <t>942.904.9561x213</t>
  </si>
  <si>
    <t>margaret.white92@student.university.edu</t>
  </si>
  <si>
    <t>(468)701-8242</t>
  </si>
  <si>
    <t>Debra Wilson</t>
  </si>
  <si>
    <t>debra.wilson561@student.university.edu</t>
  </si>
  <si>
    <t>608.234.0242</t>
  </si>
  <si>
    <t>David Santiago</t>
  </si>
  <si>
    <t>Santiago</t>
  </si>
  <si>
    <t>david.santiago107@student.university.edu</t>
  </si>
  <si>
    <t>933.901.6571x20826</t>
  </si>
  <si>
    <t>Stephanie Wright</t>
  </si>
  <si>
    <t>stephanie.wright933@student.university.edu</t>
  </si>
  <si>
    <t>622-591-0732x28360</t>
  </si>
  <si>
    <t>Frances Savage</t>
  </si>
  <si>
    <t>Frances</t>
  </si>
  <si>
    <t>Savage</t>
  </si>
  <si>
    <t>frances.savage313@student.university.edu</t>
  </si>
  <si>
    <t>(622)420-6447</t>
  </si>
  <si>
    <t>James Mcconnell</t>
  </si>
  <si>
    <t>Mcconnell</t>
  </si>
  <si>
    <t>james.mcconnell179@student.university.edu</t>
  </si>
  <si>
    <t>(423)595-5905</t>
  </si>
  <si>
    <t>Sara Beck</t>
  </si>
  <si>
    <t>Sara</t>
  </si>
  <si>
    <t>Beck</t>
  </si>
  <si>
    <t>sara.beck502@student.university.edu</t>
  </si>
  <si>
    <t>001-820-868-1558x393</t>
  </si>
  <si>
    <t>Steven Douglas</t>
  </si>
  <si>
    <t>steven.douglas857@student.university.edu</t>
  </si>
  <si>
    <t>001-844-973-4043x370</t>
  </si>
  <si>
    <t>Mark Hill</t>
  </si>
  <si>
    <t>Mark</t>
  </si>
  <si>
    <t>mark.hill245@student.university.edu</t>
  </si>
  <si>
    <t>001-849-589-2665x918</t>
  </si>
  <si>
    <t>Laura Williams</t>
  </si>
  <si>
    <t>laura.williams296@student.university.edu</t>
  </si>
  <si>
    <t>(541)568-6227x8376</t>
  </si>
  <si>
    <t>Alicia Dixon</t>
  </si>
  <si>
    <t>Alicia</t>
  </si>
  <si>
    <t>Dixon</t>
  </si>
  <si>
    <t>alicia.dixon840@student.university.edu</t>
  </si>
  <si>
    <t>662-395-1877</t>
  </si>
  <si>
    <t>Tracie King</t>
  </si>
  <si>
    <t>King</t>
  </si>
  <si>
    <t>tracie.king31@student.university.edu</t>
  </si>
  <si>
    <t>511.367.1902x2941</t>
  </si>
  <si>
    <t>Dorothy Boyd</t>
  </si>
  <si>
    <t>Dorothy</t>
  </si>
  <si>
    <t>dorothy.boyd221@student.university.edu</t>
  </si>
  <si>
    <t>001-310-827-2614x933</t>
  </si>
  <si>
    <t>William Garcia</t>
  </si>
  <si>
    <t>william.garcia504@student.university.edu</t>
  </si>
  <si>
    <t>Lauren Snyder</t>
  </si>
  <si>
    <t>Snyder</t>
  </si>
  <si>
    <t>lauren.snyder384@student.university.edu</t>
  </si>
  <si>
    <t>001-973-500-2447x146</t>
  </si>
  <si>
    <t>Charles Mendez</t>
  </si>
  <si>
    <t>Mendez</t>
  </si>
  <si>
    <t>charles.mendez176@student.university.edu</t>
  </si>
  <si>
    <t>+1-834-576-8701x462</t>
  </si>
  <si>
    <t>Alexandra Green</t>
  </si>
  <si>
    <t>alexandra.green141@student.university.edu</t>
  </si>
  <si>
    <t>288.999.3756x79825</t>
  </si>
  <si>
    <t>Heather Phillips</t>
  </si>
  <si>
    <t>heather.phillips48@student.university.edu</t>
  </si>
  <si>
    <t>001-740-564-0909x743</t>
  </si>
  <si>
    <t>Daniel Schneider</t>
  </si>
  <si>
    <t>Schneider</t>
  </si>
  <si>
    <t>daniel.schneider351@student.university.edu</t>
  </si>
  <si>
    <t>241.201.1947x072</t>
  </si>
  <si>
    <t>Rhonda Harrison</t>
  </si>
  <si>
    <t>rhonda.harrison76@student.university.edu</t>
  </si>
  <si>
    <t>859.477.4688</t>
  </si>
  <si>
    <t>Michael Jones</t>
  </si>
  <si>
    <t>michael.jones648@student.university.edu</t>
  </si>
  <si>
    <t>(641)889-3898</t>
  </si>
  <si>
    <t>Bryan Hall</t>
  </si>
  <si>
    <t>Hall</t>
  </si>
  <si>
    <t>bryan.hall247@student.university.edu</t>
  </si>
  <si>
    <t>417-477-3926x03029</t>
  </si>
  <si>
    <t>Katherine Doyle</t>
  </si>
  <si>
    <t>Doyle</t>
  </si>
  <si>
    <t>katherine.doyle269@student.university.edu</t>
  </si>
  <si>
    <t>869-347-2256</t>
  </si>
  <si>
    <t>John Mckenzie</t>
  </si>
  <si>
    <t>Mckenzie</t>
  </si>
  <si>
    <t>john.mckenzie732@student.university.edu</t>
  </si>
  <si>
    <t>822.864.0857x216</t>
  </si>
  <si>
    <t>Jeremy Evans</t>
  </si>
  <si>
    <t>Evans</t>
  </si>
  <si>
    <t>jeremy.evans723@student.university.edu</t>
  </si>
  <si>
    <t>Kenneth Brown</t>
  </si>
  <si>
    <t>kenneth.brown248@student.university.edu</t>
  </si>
  <si>
    <t>928-969-9041x379</t>
  </si>
  <si>
    <t>David Jacobson</t>
  </si>
  <si>
    <t>Jacobson</t>
  </si>
  <si>
    <t>david.jacobson555@student.university.edu</t>
  </si>
  <si>
    <t>(300)805-3474</t>
  </si>
  <si>
    <t>Shawna Stevens</t>
  </si>
  <si>
    <t>Stevens</t>
  </si>
  <si>
    <t>shawna.stevens722@student.university.edu</t>
  </si>
  <si>
    <t>Jonathan Rivas</t>
  </si>
  <si>
    <t>Rivas</t>
  </si>
  <si>
    <t>jonathan.rivas18@student.university.edu</t>
  </si>
  <si>
    <t>Michelle Martin</t>
  </si>
  <si>
    <t>Martin</t>
  </si>
  <si>
    <t>michelle.martin895@student.university.edu</t>
  </si>
  <si>
    <t>+1-801-962-0478x768</t>
  </si>
  <si>
    <t>Tammy Fitzgerald</t>
  </si>
  <si>
    <t>Fitzgerald</t>
  </si>
  <si>
    <t>tammy.fitzgerald513@student.university.edu</t>
  </si>
  <si>
    <t>470.650.2497</t>
  </si>
  <si>
    <t>Elizabeth Stout</t>
  </si>
  <si>
    <t>Stout</t>
  </si>
  <si>
    <t>elizabeth.stout123@student.university.edu</t>
  </si>
  <si>
    <t>731.673.9363</t>
  </si>
  <si>
    <t>Ricky Finley</t>
  </si>
  <si>
    <t>Finley</t>
  </si>
  <si>
    <t>ricky.finley782@student.university.edu</t>
  </si>
  <si>
    <t>001-211-735-9966</t>
  </si>
  <si>
    <t>Tommy Williams</t>
  </si>
  <si>
    <t>Tommy</t>
  </si>
  <si>
    <t>tommy.williams470@student.university.edu</t>
  </si>
  <si>
    <t>866-941-8775x80304</t>
  </si>
  <si>
    <t>Terry Buchanan</t>
  </si>
  <si>
    <t>Buchanan</t>
  </si>
  <si>
    <t>terry.buchanan633@student.university.edu</t>
  </si>
  <si>
    <t>001-885-429-8940</t>
  </si>
  <si>
    <t>Raymond Mills</t>
  </si>
  <si>
    <t>Raymond</t>
  </si>
  <si>
    <t>Mills</t>
  </si>
  <si>
    <t>raymond.mills709@student.university.edu</t>
  </si>
  <si>
    <t>+1-720-696-2893x6543</t>
  </si>
  <si>
    <t>Craig Moore</t>
  </si>
  <si>
    <t>craig.moore686@student.university.edu</t>
  </si>
  <si>
    <t>Hannah Dillon</t>
  </si>
  <si>
    <t>Hannah</t>
  </si>
  <si>
    <t>Dillon</t>
  </si>
  <si>
    <t>hannah.dillon792@student.university.edu</t>
  </si>
  <si>
    <t>(915)814-9409</t>
  </si>
  <si>
    <t>Melinda Hill</t>
  </si>
  <si>
    <t>Melinda</t>
  </si>
  <si>
    <t>melinda.hill488@student.university.edu</t>
  </si>
  <si>
    <t>001-292-984-0445x669</t>
  </si>
  <si>
    <t>Raymond James</t>
  </si>
  <si>
    <t>raymond.james103@student.university.edu</t>
  </si>
  <si>
    <t>+1-930-291-3075x6263</t>
  </si>
  <si>
    <t>Frank Carey</t>
  </si>
  <si>
    <t>Frank</t>
  </si>
  <si>
    <t>frank.carey790@student.university.edu</t>
  </si>
  <si>
    <t>001-538-792-1878x519</t>
  </si>
  <si>
    <t>Darrell Patterson</t>
  </si>
  <si>
    <t>Darrell</t>
  </si>
  <si>
    <t>Patterson</t>
  </si>
  <si>
    <t>darrell.patterson62@student.university.edu</t>
  </si>
  <si>
    <t>Michelle Perkins</t>
  </si>
  <si>
    <t>Perkins</t>
  </si>
  <si>
    <t>michelle.perkins397@student.university.edu</t>
  </si>
  <si>
    <t>365-679-6784x271</t>
  </si>
  <si>
    <t>Jesse Jacobs</t>
  </si>
  <si>
    <t>jesse.jacobs59@student.university.edu</t>
  </si>
  <si>
    <t>918-836-7365</t>
  </si>
  <si>
    <t>Morgan Valencia</t>
  </si>
  <si>
    <t>Valencia</t>
  </si>
  <si>
    <t>morgan.valencia96@student.university.edu</t>
  </si>
  <si>
    <t>(425)388-1537x1473</t>
  </si>
  <si>
    <t>James Evans</t>
  </si>
  <si>
    <t>james.evans897@student.university.edu</t>
  </si>
  <si>
    <t>Shane Pugh</t>
  </si>
  <si>
    <t>Shane</t>
  </si>
  <si>
    <t>Pugh</t>
  </si>
  <si>
    <t>shane.pugh61@student.university.edu</t>
  </si>
  <si>
    <t>(704)794-5198x32731</t>
  </si>
  <si>
    <t>Vanessa Parrish</t>
  </si>
  <si>
    <t>Vanessa</t>
  </si>
  <si>
    <t>Parrish</t>
  </si>
  <si>
    <t>vanessa.parrish618@student.university.edu</t>
  </si>
  <si>
    <t>336.531.4624x91271</t>
  </si>
  <si>
    <t>Jason Payne</t>
  </si>
  <si>
    <t>Payne</t>
  </si>
  <si>
    <t>jason.payne593@student.university.edu</t>
  </si>
  <si>
    <t>(796)735-3390</t>
  </si>
  <si>
    <t>Hannah Underwood</t>
  </si>
  <si>
    <t>hannah.underwood298@student.university.edu</t>
  </si>
  <si>
    <t>592.470.3352x110</t>
  </si>
  <si>
    <t>Benjamin Horton</t>
  </si>
  <si>
    <t>Horton</t>
  </si>
  <si>
    <t>benjamin.horton516@student.university.edu</t>
  </si>
  <si>
    <t>964.562.2522x37281</t>
  </si>
  <si>
    <t>Stephanie Mckee</t>
  </si>
  <si>
    <t>Mckee</t>
  </si>
  <si>
    <t>stephanie.mckee898@student.university.edu</t>
  </si>
  <si>
    <t>476-377-5372x603</t>
  </si>
  <si>
    <t>Ashley Drake</t>
  </si>
  <si>
    <t>Drake</t>
  </si>
  <si>
    <t>ashley.drake719@student.university.edu</t>
  </si>
  <si>
    <t>(916)802-5298x670</t>
  </si>
  <si>
    <t>Susan Craig</t>
  </si>
  <si>
    <t>Susan</t>
  </si>
  <si>
    <t>susan.craig670@student.university.edu</t>
  </si>
  <si>
    <t>+1-929-544-5511x6682</t>
  </si>
  <si>
    <t>Daniel White</t>
  </si>
  <si>
    <t>daniel.white698@student.university.edu</t>
  </si>
  <si>
    <t>001-612-989-6599</t>
  </si>
  <si>
    <t>Jack Gonzalez</t>
  </si>
  <si>
    <t>jack.gonzalez756@student.university.edu</t>
  </si>
  <si>
    <t>001-244-790-2166x670</t>
  </si>
  <si>
    <t>Jamie Zhang</t>
  </si>
  <si>
    <t>Zhang</t>
  </si>
  <si>
    <t>jamie.zhang644@student.university.edu</t>
  </si>
  <si>
    <t>001-583-434-7743</t>
  </si>
  <si>
    <t>Seth Fisher</t>
  </si>
  <si>
    <t>Seth</t>
  </si>
  <si>
    <t>seth.fisher204@student.university.edu</t>
  </si>
  <si>
    <t>554-394-7170x99917</t>
  </si>
  <si>
    <t>Sharon Bryan</t>
  </si>
  <si>
    <t>sharon.bryan38@student.university.edu</t>
  </si>
  <si>
    <t>Victoria Gray</t>
  </si>
  <si>
    <t>victoria.gray404@student.university.edu</t>
  </si>
  <si>
    <t>(659)717-1357x8529</t>
  </si>
  <si>
    <t>Susan Hogan</t>
  </si>
  <si>
    <t>Hogan</t>
  </si>
  <si>
    <t>susan.hogan312@student.university.edu</t>
  </si>
  <si>
    <t>001-811-817-5186x892</t>
  </si>
  <si>
    <t>Ashley Jordan</t>
  </si>
  <si>
    <t>ashley.jordan65@student.university.edu</t>
  </si>
  <si>
    <t>597-484-0369x0034</t>
  </si>
  <si>
    <t>Allen Rogers</t>
  </si>
  <si>
    <t>Allen</t>
  </si>
  <si>
    <t>Rogers</t>
  </si>
  <si>
    <t>allen.rogers21@student.university.edu</t>
  </si>
  <si>
    <t>+1-462-972-9806x9901</t>
  </si>
  <si>
    <t>Guy Chavez</t>
  </si>
  <si>
    <t>Guy</t>
  </si>
  <si>
    <t>guy.chavez29@student.university.edu</t>
  </si>
  <si>
    <t>643-313-5182x3374</t>
  </si>
  <si>
    <t>Lisa Taylor</t>
  </si>
  <si>
    <t>lisa.taylor733@student.university.edu</t>
  </si>
  <si>
    <t>+1-981-399-6059x329</t>
  </si>
  <si>
    <t>Charles Quinn</t>
  </si>
  <si>
    <t>Quinn</t>
  </si>
  <si>
    <t>charles.quinn575@student.university.edu</t>
  </si>
  <si>
    <t>001-765-401-9179x202</t>
  </si>
  <si>
    <t>Rebecca Rodriguez</t>
  </si>
  <si>
    <t>Rebecca</t>
  </si>
  <si>
    <t>rebecca.rodriguez56@student.university.edu</t>
  </si>
  <si>
    <t>Kathryn Mills</t>
  </si>
  <si>
    <t>kathryn.mills741@student.university.edu</t>
  </si>
  <si>
    <t>(572)587-2760x1534</t>
  </si>
  <si>
    <t>Sarah Brooks</t>
  </si>
  <si>
    <t>sarah.brooks201@student.university.edu</t>
  </si>
  <si>
    <t>+1-699-544-1715x4544</t>
  </si>
  <si>
    <t>Anthony Black</t>
  </si>
  <si>
    <t>Black</t>
  </si>
  <si>
    <t>anthony.black901@student.university.edu</t>
  </si>
  <si>
    <t>377-468-0898</t>
  </si>
  <si>
    <t>Stephanie Klein</t>
  </si>
  <si>
    <t>Klein</t>
  </si>
  <si>
    <t>stephanie.klein191@student.university.edu</t>
  </si>
  <si>
    <t>898.399.2172x23320</t>
  </si>
  <si>
    <t>Elizabeth Watkins</t>
  </si>
  <si>
    <t>elizabeth.watkins993@student.university.edu</t>
  </si>
  <si>
    <t>001-629-250-2648x016</t>
  </si>
  <si>
    <t>Jean Carrillo</t>
  </si>
  <si>
    <t>Jean</t>
  </si>
  <si>
    <t>Carrillo</t>
  </si>
  <si>
    <t>jean.carrillo20@student.university.edu</t>
  </si>
  <si>
    <t>001-509-967-0546x688</t>
  </si>
  <si>
    <t>Amy Davis</t>
  </si>
  <si>
    <t>amy.davis714@student.university.edu</t>
  </si>
  <si>
    <t>001-425-576-2702x324</t>
  </si>
  <si>
    <t>Kelsey West</t>
  </si>
  <si>
    <t>Kelsey</t>
  </si>
  <si>
    <t>West</t>
  </si>
  <si>
    <t>kelsey.west977@student.university.edu</t>
  </si>
  <si>
    <t>254.537.8826</t>
  </si>
  <si>
    <t>Rebecca Kelley</t>
  </si>
  <si>
    <t>Kelley</t>
  </si>
  <si>
    <t>rebecca.kelley275@student.university.edu</t>
  </si>
  <si>
    <t>568.666.3266</t>
  </si>
  <si>
    <t>Jennifer Marks</t>
  </si>
  <si>
    <t>Marks</t>
  </si>
  <si>
    <t>jennifer.marks998@student.university.edu</t>
  </si>
  <si>
    <t>(405)387-1469x218</t>
  </si>
  <si>
    <t>Cameron Holmes</t>
  </si>
  <si>
    <t>Cameron</t>
  </si>
  <si>
    <t>Holmes</t>
  </si>
  <si>
    <t>cameron.holmes647@student.university.edu</t>
  </si>
  <si>
    <t>517-630-9850</t>
  </si>
  <si>
    <t>Joseph Sherman</t>
  </si>
  <si>
    <t>Sherman</t>
  </si>
  <si>
    <t>joseph.sherman449@student.university.edu</t>
  </si>
  <si>
    <t>(300)289-4346</t>
  </si>
  <si>
    <t>Joshua Levine</t>
  </si>
  <si>
    <t>Levine</t>
  </si>
  <si>
    <t>joshua.levine54@student.university.edu</t>
  </si>
  <si>
    <t>(706)543-1713x900</t>
  </si>
  <si>
    <t>Jennifer Meyer</t>
  </si>
  <si>
    <t>jennifer.meyer736@student.university.edu</t>
  </si>
  <si>
    <t>661.864.8198x0770</t>
  </si>
  <si>
    <t>Jeffrey Austin</t>
  </si>
  <si>
    <t>Austin</t>
  </si>
  <si>
    <t>jeffrey.austin934@student.university.edu</t>
  </si>
  <si>
    <t>(338)845-2696x9443</t>
  </si>
  <si>
    <t>theresa.wilson530@student.university.edu</t>
  </si>
  <si>
    <t>459.862.6301x36749</t>
  </si>
  <si>
    <t>Chelsea Gonzalez</t>
  </si>
  <si>
    <t>chelsea.gonzalez872@student.university.edu</t>
  </si>
  <si>
    <t>+1-585-484-7129x6180</t>
  </si>
  <si>
    <t>Stephen Moore</t>
  </si>
  <si>
    <t>Stephen</t>
  </si>
  <si>
    <t>stephen.moore497@student.university.edu</t>
  </si>
  <si>
    <t>+1-784-813-7681x5118</t>
  </si>
  <si>
    <t>Nathaniel Moore</t>
  </si>
  <si>
    <t>nathaniel.moore715@student.university.edu</t>
  </si>
  <si>
    <t>Jessica Holden</t>
  </si>
  <si>
    <t>Holden</t>
  </si>
  <si>
    <t>jessica.holden882@student.university.edu</t>
  </si>
  <si>
    <t>+1-217-366-5122x150</t>
  </si>
  <si>
    <t>Paul Smith</t>
  </si>
  <si>
    <t>paul.smith702@student.university.edu</t>
  </si>
  <si>
    <t>258.630.9451x548</t>
  </si>
  <si>
    <t>William Parks</t>
  </si>
  <si>
    <t>william.parks266@student.university.edu</t>
  </si>
  <si>
    <t>943-286-6322</t>
  </si>
  <si>
    <t>Daniel Holloway</t>
  </si>
  <si>
    <t>Holloway</t>
  </si>
  <si>
    <t>daniel.holloway420@student.university.edu</t>
  </si>
  <si>
    <t>001-736-926-2044x397</t>
  </si>
  <si>
    <t>Micheal Jones</t>
  </si>
  <si>
    <t>Micheal</t>
  </si>
  <si>
    <t>micheal.jones804@student.university.edu</t>
  </si>
  <si>
    <t>373.699.0063</t>
  </si>
  <si>
    <t>Rachel Jackson</t>
  </si>
  <si>
    <t>rachel.jackson376@student.university.edu</t>
  </si>
  <si>
    <t>437-654-0254x729</t>
  </si>
  <si>
    <t>Anthony Johnson</t>
  </si>
  <si>
    <t>anthony.johnson621@student.university.edu</t>
  </si>
  <si>
    <t>531-681-4396x661</t>
  </si>
  <si>
    <t>Kristina Myers</t>
  </si>
  <si>
    <t>Kristina</t>
  </si>
  <si>
    <t>Myers</t>
  </si>
  <si>
    <t>kristina.myers560@student.university.edu</t>
  </si>
  <si>
    <t>+1-643-620-2939x087</t>
  </si>
  <si>
    <t>Carolyn Harmon</t>
  </si>
  <si>
    <t>Carolyn</t>
  </si>
  <si>
    <t>Harmon</t>
  </si>
  <si>
    <t>carolyn.harmon638@student.university.edu</t>
  </si>
  <si>
    <t>Jacob Mckee</t>
  </si>
  <si>
    <t>jacob.mckee156@student.university.edu</t>
  </si>
  <si>
    <t>(506)943-6110</t>
  </si>
  <si>
    <t>Rodney Perry</t>
  </si>
  <si>
    <t>Rodney</t>
  </si>
  <si>
    <t>Perry</t>
  </si>
  <si>
    <t>rodney.perry665@student.university.edu</t>
  </si>
  <si>
    <t>+1-264-420-5955x6574</t>
  </si>
  <si>
    <t>Charles Smith</t>
  </si>
  <si>
    <t>charles.smith174@student.university.edu</t>
  </si>
  <si>
    <t>001-932-436-5199x410</t>
  </si>
  <si>
    <t>Jacob Green</t>
  </si>
  <si>
    <t>jacob.green274@student.university.edu</t>
  </si>
  <si>
    <t>200-882-5478x0774</t>
  </si>
  <si>
    <t>Vincent Glenn</t>
  </si>
  <si>
    <t>Glenn</t>
  </si>
  <si>
    <t>vincent.glenn429@student.university.edu</t>
  </si>
  <si>
    <t>603-926-6421</t>
  </si>
  <si>
    <t>Charles Wright</t>
  </si>
  <si>
    <t>charles.wright77@student.university.edu</t>
  </si>
  <si>
    <t>+1-475-881-8141x2478</t>
  </si>
  <si>
    <t>Amber Garrison</t>
  </si>
  <si>
    <t>Garrison</t>
  </si>
  <si>
    <t>amber.garrison953@student.university.edu</t>
  </si>
  <si>
    <t>Karen Williams</t>
  </si>
  <si>
    <t>karen.williams703@student.university.edu</t>
  </si>
  <si>
    <t>001-344-209-0797x727</t>
  </si>
  <si>
    <t>Cole Carrillo</t>
  </si>
  <si>
    <t>cole.carrillo490@student.university.edu</t>
  </si>
  <si>
    <t>001-263-977-8052x924</t>
  </si>
  <si>
    <t>James Dominguez</t>
  </si>
  <si>
    <t>Dominguez</t>
  </si>
  <si>
    <t>james.dominguez826@student.university.edu</t>
  </si>
  <si>
    <t>565-958-6652x548</t>
  </si>
  <si>
    <t>Amber Stanley</t>
  </si>
  <si>
    <t>amber.stanley958@student.university.edu</t>
  </si>
  <si>
    <t>465.851.5848</t>
  </si>
  <si>
    <t>Tracy Casey</t>
  </si>
  <si>
    <t>Casey</t>
  </si>
  <si>
    <t>tracy.casey138@student.university.edu</t>
  </si>
  <si>
    <t>564-965-1939x82807</t>
  </si>
  <si>
    <t>Diana Long</t>
  </si>
  <si>
    <t>diana.long606@student.university.edu</t>
  </si>
  <si>
    <t>001-694-723-7676</t>
  </si>
  <si>
    <t>Jeffrey Anderson</t>
  </si>
  <si>
    <t>jeffrey.anderson940@student.university.edu</t>
  </si>
  <si>
    <t>001-637-663-8821x458</t>
  </si>
  <si>
    <t>Linda Daniels</t>
  </si>
  <si>
    <t>Daniels</t>
  </si>
  <si>
    <t>linda.daniels595@student.university.edu</t>
  </si>
  <si>
    <t>(946)349-1111x0961</t>
  </si>
  <si>
    <t>Julia Boyer</t>
  </si>
  <si>
    <t>Boyer</t>
  </si>
  <si>
    <t>julia.boyer783@student.university.edu</t>
  </si>
  <si>
    <t>Jake Burns</t>
  </si>
  <si>
    <t>Jake</t>
  </si>
  <si>
    <t>Burns</t>
  </si>
  <si>
    <t>jake.burns512@student.university.edu</t>
  </si>
  <si>
    <t>+1-991-760-1692x3645</t>
  </si>
  <si>
    <t>David Scott</t>
  </si>
  <si>
    <t>david.scott664@student.university.edu</t>
  </si>
  <si>
    <t>+1-558-509-3511x8718</t>
  </si>
  <si>
    <t>Donald Campbell</t>
  </si>
  <si>
    <t>donald.campbell877@student.university.edu</t>
  </si>
  <si>
    <t>+1-454-989-5478x7698</t>
  </si>
  <si>
    <t>Kristin Joseph</t>
  </si>
  <si>
    <t>Kristin</t>
  </si>
  <si>
    <t>kristin.joseph672@student.university.edu</t>
  </si>
  <si>
    <t>755-999-9101</t>
  </si>
  <si>
    <t>Tracy Weaver</t>
  </si>
  <si>
    <t>Weaver</t>
  </si>
  <si>
    <t>tracy.weaver180@student.university.edu</t>
  </si>
  <si>
    <t>(970)210-3930</t>
  </si>
  <si>
    <t>Kathleen Mora</t>
  </si>
  <si>
    <t>Kathleen</t>
  </si>
  <si>
    <t>Mora</t>
  </si>
  <si>
    <t>kathleen.mora479@student.university.edu</t>
  </si>
  <si>
    <t>+1-233-779-3375x6362</t>
  </si>
  <si>
    <t>Robert Daugherty</t>
  </si>
  <si>
    <t>Daugherty</t>
  </si>
  <si>
    <t>robert.daugherty691@student.university.edu</t>
  </si>
  <si>
    <t>882-937-9312</t>
  </si>
  <si>
    <t>Lauren Walsh</t>
  </si>
  <si>
    <t>lauren.walsh980@student.university.edu</t>
  </si>
  <si>
    <t>001-632-559-1408</t>
  </si>
  <si>
    <t>Charles Brown</t>
  </si>
  <si>
    <t>charles.brown495@student.university.edu</t>
  </si>
  <si>
    <t>(993)785-9777x9014</t>
  </si>
  <si>
    <t>Rebecca Stewart</t>
  </si>
  <si>
    <t>rebecca.stewart679@student.university.edu</t>
  </si>
  <si>
    <t>Jennifer Clarke</t>
  </si>
  <si>
    <t>Clarke</t>
  </si>
  <si>
    <t>jennifer.clarke847@student.university.edu</t>
  </si>
  <si>
    <t>001-228-213-7214x330</t>
  </si>
  <si>
    <t>Jason Schneider</t>
  </si>
  <si>
    <t>jason.schneider817@student.university.edu</t>
  </si>
  <si>
    <t>862.271.8749</t>
  </si>
  <si>
    <t>Joshua Smith</t>
  </si>
  <si>
    <t>joshua.smith233@student.university.edu</t>
  </si>
  <si>
    <t>433-261-3861</t>
  </si>
  <si>
    <t>Ronald Williams</t>
  </si>
  <si>
    <t>Ronald</t>
  </si>
  <si>
    <t>ronald.williams954@student.university.edu</t>
  </si>
  <si>
    <t>732.931.8297x1681</t>
  </si>
  <si>
    <t>Andrew Mann</t>
  </si>
  <si>
    <t>Mann</t>
  </si>
  <si>
    <t>andrew.mann283@student.university.edu</t>
  </si>
  <si>
    <t>Heather Chase</t>
  </si>
  <si>
    <t>Chase</t>
  </si>
  <si>
    <t>heather.chase583@student.university.edu</t>
  </si>
  <si>
    <t>(606)333-9912x97102</t>
  </si>
  <si>
    <t>Tiffany Watson</t>
  </si>
  <si>
    <t>Watson</t>
  </si>
  <si>
    <t>tiffany.watson88@student.university.edu</t>
  </si>
  <si>
    <t>001-819-328-5654x310</t>
  </si>
  <si>
    <t>Kimberly Lopez</t>
  </si>
  <si>
    <t>kimberly.lopez492@student.university.edu</t>
  </si>
  <si>
    <t>459-274-1218</t>
  </si>
  <si>
    <t>Nancy Larson</t>
  </si>
  <si>
    <t>Nancy</t>
  </si>
  <si>
    <t>Larson</t>
  </si>
  <si>
    <t>nancy.larson438@student.university.edu</t>
  </si>
  <si>
    <t>Travis Allen</t>
  </si>
  <si>
    <t>travis.allen863@student.university.edu</t>
  </si>
  <si>
    <t>(343)381-3000x4132</t>
  </si>
  <si>
    <t>Linda Williams</t>
  </si>
  <si>
    <t>linda.williams210@student.university.edu</t>
  </si>
  <si>
    <t>600-916-7618</t>
  </si>
  <si>
    <t>Christine Powers</t>
  </si>
  <si>
    <t>christine.powers750@student.university.edu</t>
  </si>
  <si>
    <t>523-662-2925x87964</t>
  </si>
  <si>
    <t>Carrie Hardy</t>
  </si>
  <si>
    <t>Hardy</t>
  </si>
  <si>
    <t>carrie.hardy880@student.university.edu</t>
  </si>
  <si>
    <t>933-795-2753x6749</t>
  </si>
  <si>
    <t>Michael Scott</t>
  </si>
  <si>
    <t>michael.scott287@student.university.edu</t>
  </si>
  <si>
    <t>(839)710-3717x058</t>
  </si>
  <si>
    <t>Allen Mendez</t>
  </si>
  <si>
    <t>allen.mendez144@student.university.edu</t>
  </si>
  <si>
    <t>379.366.0334</t>
  </si>
  <si>
    <t>Amanda Green</t>
  </si>
  <si>
    <t>amanda.green425@student.university.edu</t>
  </si>
  <si>
    <t>001-376-417-0758x777</t>
  </si>
  <si>
    <t>Deborah Mills</t>
  </si>
  <si>
    <t>Deborah</t>
  </si>
  <si>
    <t>deborah.mills212@student.university.edu</t>
  </si>
  <si>
    <t>956.742.0873</t>
  </si>
  <si>
    <t>Tanya Hardin</t>
  </si>
  <si>
    <t>Tanya</t>
  </si>
  <si>
    <t>Hardin</t>
  </si>
  <si>
    <t>tanya.hardin414@student.university.edu</t>
  </si>
  <si>
    <t>913-843-2756x0417</t>
  </si>
  <si>
    <t>Louis Welch</t>
  </si>
  <si>
    <t>Louis</t>
  </si>
  <si>
    <t>Welch</t>
  </si>
  <si>
    <t>louis.welch681@student.university.edu</t>
  </si>
  <si>
    <t>957.882.4347</t>
  </si>
  <si>
    <t>Kayla Love</t>
  </si>
  <si>
    <t>Love</t>
  </si>
  <si>
    <t>kayla.love635@student.university.edu</t>
  </si>
  <si>
    <t>001-938-528-7232x440</t>
  </si>
  <si>
    <t>Johnathan Owens</t>
  </si>
  <si>
    <t>Johnathan</t>
  </si>
  <si>
    <t>johnathan.owens399@student.university.edu</t>
  </si>
  <si>
    <t>877-984-8588x0061</t>
  </si>
  <si>
    <t>Ashley Alvarez</t>
  </si>
  <si>
    <t>ashley.alvarez768@student.university.edu</t>
  </si>
  <si>
    <t>(387)929-0477x42585</t>
  </si>
  <si>
    <t>Emily Morgan</t>
  </si>
  <si>
    <t>emily.morgan68@student.university.edu</t>
  </si>
  <si>
    <t>621-581-8835x52312</t>
  </si>
  <si>
    <t>Natasha Harris</t>
  </si>
  <si>
    <t>Natasha</t>
  </si>
  <si>
    <t>natasha.harris228@student.university.edu</t>
  </si>
  <si>
    <t>001-473-359-8933x472</t>
  </si>
  <si>
    <t>Stephanie Brown</t>
  </si>
  <si>
    <t>stephanie.brown447@student.university.edu</t>
  </si>
  <si>
    <t>+1-484-866-8455x0489</t>
  </si>
  <si>
    <t>Kimberly Arroyo</t>
  </si>
  <si>
    <t>Arroyo</t>
  </si>
  <si>
    <t>kimberly.arroyo237@student.university.edu</t>
  </si>
  <si>
    <t>335-436-8222x3943</t>
  </si>
  <si>
    <t>Robert Wilkerson</t>
  </si>
  <si>
    <t>Wilkerson</t>
  </si>
  <si>
    <t>robert.wilkerson78@student.university.edu</t>
  </si>
  <si>
    <t>melissa.smith467@student.university.edu</t>
  </si>
  <si>
    <t>653.570.3045x319</t>
  </si>
  <si>
    <t>Laura Rush</t>
  </si>
  <si>
    <t>laura.rush795@student.university.edu</t>
  </si>
  <si>
    <t>(966)372-5214x5264</t>
  </si>
  <si>
    <t>Monica Atkinson</t>
  </si>
  <si>
    <t>monica.atkinson784@student.university.edu</t>
  </si>
  <si>
    <t>555-753-4705x742</t>
  </si>
  <si>
    <t>Jaime David</t>
  </si>
  <si>
    <t>Jaime</t>
  </si>
  <si>
    <t>jaime.david24@student.university.edu</t>
  </si>
  <si>
    <t>219.731.4919</t>
  </si>
  <si>
    <t>Joyce Butler</t>
  </si>
  <si>
    <t>Butler</t>
  </si>
  <si>
    <t>joyce.butler982@student.university.edu</t>
  </si>
  <si>
    <t>Emily Delgado</t>
  </si>
  <si>
    <t>Delgado</t>
  </si>
  <si>
    <t>emily.delgado270@student.university.edu</t>
  </si>
  <si>
    <t>001-449-264-7598x762</t>
  </si>
  <si>
    <t>John Poole</t>
  </si>
  <si>
    <t>Poole</t>
  </si>
  <si>
    <t>john.poole527@student.university.edu</t>
  </si>
  <si>
    <t>446.205.2330x2764</t>
  </si>
  <si>
    <t>Kenneth Mckinney</t>
  </si>
  <si>
    <t>Mckinney</t>
  </si>
  <si>
    <t>kenneth.mckinney67@student.university.edu</t>
  </si>
  <si>
    <t>(841)860-5297x51613</t>
  </si>
  <si>
    <t>Daniel Pittman</t>
  </si>
  <si>
    <t>Pittman</t>
  </si>
  <si>
    <t>daniel.pittman464@student.university.edu</t>
  </si>
  <si>
    <t>802-589-1416x1284</t>
  </si>
  <si>
    <t>Robert Mendez</t>
  </si>
  <si>
    <t>robert.mendez243@student.university.edu</t>
  </si>
  <si>
    <t>(982)772-2992</t>
  </si>
  <si>
    <t>Kenneth Shields</t>
  </si>
  <si>
    <t>Shields</t>
  </si>
  <si>
    <t>kenneth.shields806@student.university.edu</t>
  </si>
  <si>
    <t>+1-243-846-0666x4374</t>
  </si>
  <si>
    <t>Amber Smith</t>
  </si>
  <si>
    <t>amber.smith624@student.university.edu</t>
  </si>
  <si>
    <t>+1-643-988-2211x4577</t>
  </si>
  <si>
    <t>Ashley Mcclure</t>
  </si>
  <si>
    <t>ashley.mcclure694@student.university.edu</t>
  </si>
  <si>
    <t>628.772.8660x4164</t>
  </si>
  <si>
    <t>Philip Smith</t>
  </si>
  <si>
    <t>philip.smith778@student.university.edu</t>
  </si>
  <si>
    <t>684-381-9737</t>
  </si>
  <si>
    <t>Cynthia Arnold</t>
  </si>
  <si>
    <t>Arnold</t>
  </si>
  <si>
    <t>cynthia.arnold33@student.university.edu</t>
  </si>
  <si>
    <t>(606)679-7403</t>
  </si>
  <si>
    <t>Teresa Morris</t>
  </si>
  <si>
    <t>Morris</t>
  </si>
  <si>
    <t>teresa.morris521@student.university.edu</t>
  </si>
  <si>
    <t>+1-950-357-3976x9156</t>
  </si>
  <si>
    <t>Connor Morgan</t>
  </si>
  <si>
    <t>Connor</t>
  </si>
  <si>
    <t>connor.morgan222@student.university.edu</t>
  </si>
  <si>
    <t>001-860-991-7798x270</t>
  </si>
  <si>
    <t>Courtney Mccarty</t>
  </si>
  <si>
    <t>Courtney</t>
  </si>
  <si>
    <t>Mccarty</t>
  </si>
  <si>
    <t>courtney.mccarty258@student.university.edu</t>
  </si>
  <si>
    <t>669.704.2681x818</t>
  </si>
  <si>
    <t>Stephanie Castaneda</t>
  </si>
  <si>
    <t>Castaneda</t>
  </si>
  <si>
    <t>stephanie.castaneda443@student.university.edu</t>
  </si>
  <si>
    <t>391.407.7119x91808</t>
  </si>
  <si>
    <t>Dustin White</t>
  </si>
  <si>
    <t>dustin.white116@student.university.edu</t>
  </si>
  <si>
    <t>(465)767-6618</t>
  </si>
  <si>
    <t>Ashley Ross</t>
  </si>
  <si>
    <t>Ross</t>
  </si>
  <si>
    <t>ashley.ross215@student.university.edu</t>
  </si>
  <si>
    <t>946.976.2120x216</t>
  </si>
  <si>
    <t>Brenda Dominguez</t>
  </si>
  <si>
    <t>Brenda</t>
  </si>
  <si>
    <t>brenda.dominguez529@student.university.edu</t>
  </si>
  <si>
    <t>223-333-0591x2662</t>
  </si>
  <si>
    <t>Matthew Morris</t>
  </si>
  <si>
    <t>matthew.morris693@student.university.edu</t>
  </si>
  <si>
    <t>001-378-481-1616x202</t>
  </si>
  <si>
    <t>Kimberly Gibson</t>
  </si>
  <si>
    <t>kimberly.gibson51@student.university.edu</t>
  </si>
  <si>
    <t>+1-349-965-1370x9859</t>
  </si>
  <si>
    <t>Kellie Marsh</t>
  </si>
  <si>
    <t>Marsh</t>
  </si>
  <si>
    <t>kellie.marsh276@student.university.edu</t>
  </si>
  <si>
    <t>+1-944-984-6312x241</t>
  </si>
  <si>
    <t>Joel Tyler</t>
  </si>
  <si>
    <t>Joel</t>
  </si>
  <si>
    <t>Tyler</t>
  </si>
  <si>
    <t>joel.tyler727@student.university.edu</t>
  </si>
  <si>
    <t>+1-851-733-0531x9497</t>
  </si>
  <si>
    <t>Ashley Butler</t>
  </si>
  <si>
    <t>ashley.butler639@student.university.edu</t>
  </si>
  <si>
    <t>(220)747-1960x94097</t>
  </si>
  <si>
    <t>John Jackson</t>
  </si>
  <si>
    <t>john.jackson890@student.university.edu</t>
  </si>
  <si>
    <t>001-589-383-0650</t>
  </si>
  <si>
    <t>Lisa Diaz</t>
  </si>
  <si>
    <t>Diaz</t>
  </si>
  <si>
    <t>lisa.diaz285@student.university.edu</t>
  </si>
  <si>
    <t>+1-635-718-6387x829</t>
  </si>
  <si>
    <t>Cory Thomas</t>
  </si>
  <si>
    <t>Cory</t>
  </si>
  <si>
    <t>cory.thomas522@student.university.edu</t>
  </si>
  <si>
    <t>598.502.7148x72717</t>
  </si>
  <si>
    <t>Dawn Aguirre</t>
  </si>
  <si>
    <t>Dawn</t>
  </si>
  <si>
    <t>Aguirre</t>
  </si>
  <si>
    <t>dawn.aguirre979@student.university.edu</t>
  </si>
  <si>
    <t>(399)696-9964x8997</t>
  </si>
  <si>
    <t>Sean Martinez</t>
  </si>
  <si>
    <t>sean.martinez663@student.university.edu</t>
  </si>
  <si>
    <t>+1-222-590-3102x8795</t>
  </si>
  <si>
    <t>Joseph Glover</t>
  </si>
  <si>
    <t>joseph.glover203@student.university.edu</t>
  </si>
  <si>
    <t>+1-758-342-8241x7248</t>
  </si>
  <si>
    <t>Rachel Jenkins</t>
  </si>
  <si>
    <t>Jenkins</t>
  </si>
  <si>
    <t>rachel.jenkins11@student.university.edu</t>
  </si>
  <si>
    <t>+1-534-221-6073x3754</t>
  </si>
  <si>
    <t>Lindsey Gray</t>
  </si>
  <si>
    <t>lindsey.gray566@student.university.edu</t>
  </si>
  <si>
    <t>Linda Nguyen</t>
  </si>
  <si>
    <t>linda.nguyen135@student.university.edu</t>
  </si>
  <si>
    <t>(404)666-1839x8262</t>
  </si>
  <si>
    <t>Ashley Hill</t>
  </si>
  <si>
    <t>ashley.hill844@student.university.edu</t>
  </si>
  <si>
    <t>739-974-2925x010</t>
  </si>
  <si>
    <t>Jennifer King</t>
  </si>
  <si>
    <t>jennifer.king407@student.university.edu</t>
  </si>
  <si>
    <t>878.220.8297x37489</t>
  </si>
  <si>
    <t>Alison Lopez</t>
  </si>
  <si>
    <t>Alison</t>
  </si>
  <si>
    <t>alison.lopez375@student.university.edu</t>
  </si>
  <si>
    <t>Joshua Guerrero</t>
  </si>
  <si>
    <t>Guerrero</t>
  </si>
  <si>
    <t>joshua.guerrero755@student.university.edu</t>
  </si>
  <si>
    <t>Elizabeth Griffin</t>
  </si>
  <si>
    <t>Griffin</t>
  </si>
  <si>
    <t>elizabeth.griffin86@student.university.edu</t>
  </si>
  <si>
    <t>001-362-875-7059x640</t>
  </si>
  <si>
    <t>Martin Montgomery</t>
  </si>
  <si>
    <t>martin.montgomery235@student.university.edu</t>
  </si>
  <si>
    <t>001-890-215-8144x914</t>
  </si>
  <si>
    <t>Ashley Mullen</t>
  </si>
  <si>
    <t>Mullen</t>
  </si>
  <si>
    <t>ashley.mullen327@student.university.edu</t>
  </si>
  <si>
    <t>Theresa Barnes</t>
  </si>
  <si>
    <t>theresa.barnes53@student.university.edu</t>
  </si>
  <si>
    <t>001-526-717-9640x537</t>
  </si>
  <si>
    <t>Daniel Howard</t>
  </si>
  <si>
    <t>Howard</t>
  </si>
  <si>
    <t>daniel.howard380@student.university.edu</t>
  </si>
  <si>
    <t>809-539-8343x01871</t>
  </si>
  <si>
    <t>Shawn Avila</t>
  </si>
  <si>
    <t>Shawn</t>
  </si>
  <si>
    <t>Avila</t>
  </si>
  <si>
    <t>shawn.avila963@student.university.edu</t>
  </si>
  <si>
    <t>(958)263-1441</t>
  </si>
  <si>
    <t>Daniel Fisher</t>
  </si>
  <si>
    <t>daniel.fisher278@student.university.edu</t>
  </si>
  <si>
    <t>457.505.1204x6187</t>
  </si>
  <si>
    <t>Robert Herrera</t>
  </si>
  <si>
    <t>Herrera</t>
  </si>
  <si>
    <t>robert.herrera653@student.university.edu</t>
  </si>
  <si>
    <t>Justin Marquez</t>
  </si>
  <si>
    <t>Marquez</t>
  </si>
  <si>
    <t>justin.marquez302@student.university.edu</t>
  </si>
  <si>
    <t>Lisa Rodriguez</t>
  </si>
  <si>
    <t>lisa.rodriguez318@student.university.edu</t>
  </si>
  <si>
    <t>001-781-479-4695x489</t>
  </si>
  <si>
    <t>Michael Lopez</t>
  </si>
  <si>
    <t>michael.lopez370@student.university.edu</t>
  </si>
  <si>
    <t>(570)316-5804x649</t>
  </si>
  <si>
    <t>Jason Salinas</t>
  </si>
  <si>
    <t>Salinas</t>
  </si>
  <si>
    <t>jason.salinas959@student.university.edu</t>
  </si>
  <si>
    <t>235.850.5429x60807</t>
  </si>
  <si>
    <t>William Lewis</t>
  </si>
  <si>
    <t>william.lewis793@student.university.edu</t>
  </si>
  <si>
    <t>748.245.3986x289</t>
  </si>
  <si>
    <t>Michael Marshall</t>
  </si>
  <si>
    <t>michael.marshall499@student.university.edu</t>
  </si>
  <si>
    <t>311.483.7274x220</t>
  </si>
  <si>
    <t>Natalie Mitchell</t>
  </si>
  <si>
    <t>Natalie</t>
  </si>
  <si>
    <t>natalie.mitchell858@student.university.edu</t>
  </si>
  <si>
    <t>495-777-8255</t>
  </si>
  <si>
    <t>Teresa Reynolds</t>
  </si>
  <si>
    <t>teresa.reynolds133@student.university.edu</t>
  </si>
  <si>
    <t>+1-796-719-4311x4262</t>
  </si>
  <si>
    <t>Bethany Daniel</t>
  </si>
  <si>
    <t>Bethany</t>
  </si>
  <si>
    <t>bethany.daniel183@student.university.edu</t>
  </si>
  <si>
    <t>001-996-490-2959x391</t>
  </si>
  <si>
    <t>Penny Martinez</t>
  </si>
  <si>
    <t>Penny</t>
  </si>
  <si>
    <t>penny.martinez353@student.university.edu</t>
  </si>
  <si>
    <t>Benjamin Abbott</t>
  </si>
  <si>
    <t>Abbott</t>
  </si>
  <si>
    <t>benjamin.abbott139@student.university.edu</t>
  </si>
  <si>
    <t>(872)843-4266x17979</t>
  </si>
  <si>
    <t>Aaron Moody</t>
  </si>
  <si>
    <t>Aaron</t>
  </si>
  <si>
    <t>Moody</t>
  </si>
  <si>
    <t>aaron.moody829@student.university.edu</t>
  </si>
  <si>
    <t>530.916.5837</t>
  </si>
  <si>
    <t>Amber Jones</t>
  </si>
  <si>
    <t>amber.jones936@student.university.edu</t>
  </si>
  <si>
    <t>(523)941-9031x0615</t>
  </si>
  <si>
    <t>Julia Sanchez</t>
  </si>
  <si>
    <t>julia.sanchez735@student.university.edu</t>
  </si>
  <si>
    <t>+1-373-227-8195x237</t>
  </si>
  <si>
    <t>Richard James</t>
  </si>
  <si>
    <t>richard.james835@student.university.edu</t>
  </si>
  <si>
    <t>+1-826-950-6229x2310</t>
  </si>
  <si>
    <t>Alexandria Rodriguez</t>
  </si>
  <si>
    <t>Alexandria</t>
  </si>
  <si>
    <t>alexandria.rodriguez226@student.university.edu</t>
  </si>
  <si>
    <t>(220)703-4244x2043</t>
  </si>
  <si>
    <t>Ana Green</t>
  </si>
  <si>
    <t>Ana</t>
  </si>
  <si>
    <t>ana.green469@student.university.edu</t>
  </si>
  <si>
    <t>001-938-243-0894</t>
  </si>
  <si>
    <t>Alexander Holmes</t>
  </si>
  <si>
    <t>alexander.holmes475@student.university.edu</t>
  </si>
  <si>
    <t>001-431-610-9193</t>
  </si>
  <si>
    <t>Maria Sims</t>
  </si>
  <si>
    <t>Sims</t>
  </si>
  <si>
    <t>maria.sims418@student.university.edu</t>
  </si>
  <si>
    <t>673-442-0696</t>
  </si>
  <si>
    <t>Jeanette Brown</t>
  </si>
  <si>
    <t>Jeanette</t>
  </si>
  <si>
    <t>jeanette.brown989@student.university.edu</t>
  </si>
  <si>
    <t>926.862.9250x817</t>
  </si>
  <si>
    <t>Adam Castillo</t>
  </si>
  <si>
    <t>Castillo</t>
  </si>
  <si>
    <t>adam.castillo552@student.university.edu</t>
  </si>
  <si>
    <t>571-863-9282x3414</t>
  </si>
  <si>
    <t>Michael Watson</t>
  </si>
  <si>
    <t>michael.watson170@student.university.edu</t>
  </si>
  <si>
    <t>001-519-618-2619x906</t>
  </si>
  <si>
    <t>Kari Lee</t>
  </si>
  <si>
    <t>kari.lee148@student.university.edu</t>
  </si>
  <si>
    <t>(588)676-7677x2190</t>
  </si>
  <si>
    <t>Erik Garcia</t>
  </si>
  <si>
    <t>erik.garcia208@student.university.edu</t>
  </si>
  <si>
    <t>494.721.0447x89856</t>
  </si>
  <si>
    <t>Tyler Walter</t>
  </si>
  <si>
    <t>Walter</t>
  </si>
  <si>
    <t>tyler.walter259@student.university.edu</t>
  </si>
  <si>
    <t>001-947-269-7357</t>
  </si>
  <si>
    <t>Dawn Nixon</t>
  </si>
  <si>
    <t>dawn.nixon291@student.university.edu</t>
  </si>
  <si>
    <t>560.504.9082x404</t>
  </si>
  <si>
    <t>Jonathan Farrell</t>
  </si>
  <si>
    <t>Farrell</t>
  </si>
  <si>
    <t>jonathan.farrell4@student.university.edu</t>
  </si>
  <si>
    <t>(808)312-1913</t>
  </si>
  <si>
    <t>Alyssa Castillo</t>
  </si>
  <si>
    <t>Alyssa</t>
  </si>
  <si>
    <t>alyssa.castillo436@student.university.edu</t>
  </si>
  <si>
    <t>(936)883-1472</t>
  </si>
  <si>
    <t>Suzanne Spencer</t>
  </si>
  <si>
    <t>Suzanne</t>
  </si>
  <si>
    <t>Spencer</t>
  </si>
  <si>
    <t>suzanne.spencer284@student.university.edu</t>
  </si>
  <si>
    <t>282-874-4857</t>
  </si>
  <si>
    <t>Joseph Taylor</t>
  </si>
  <si>
    <t>joseph.taylor305@student.university.edu</t>
  </si>
  <si>
    <t>001-829-825-1881x252</t>
  </si>
  <si>
    <t>elizabeth.clark745@student.university.edu</t>
  </si>
  <si>
    <t>399.577.1805</t>
  </si>
  <si>
    <t>Mark Williams</t>
  </si>
  <si>
    <t>mark.williams310@student.university.edu</t>
  </si>
  <si>
    <t>976-944-7264x9082</t>
  </si>
  <si>
    <t>Peter Ellis</t>
  </si>
  <si>
    <t>Peter</t>
  </si>
  <si>
    <t>Ellis</t>
  </si>
  <si>
    <t>peter.ellis825@student.university.edu</t>
  </si>
  <si>
    <t>658-802-9090</t>
  </si>
  <si>
    <t>Richard Melton</t>
  </si>
  <si>
    <t>Melton</t>
  </si>
  <si>
    <t>richard.melton937@student.university.edu</t>
  </si>
  <si>
    <t>966-684-7323x65337</t>
  </si>
  <si>
    <t>Danielle Mcknight</t>
  </si>
  <si>
    <t>Danielle</t>
  </si>
  <si>
    <t>danielle.mcknight177@student.university.edu</t>
  </si>
  <si>
    <t>Mario Brown</t>
  </si>
  <si>
    <t>Mario</t>
  </si>
  <si>
    <t>mario.brown282@student.university.edu</t>
  </si>
  <si>
    <t>+1-828-712-7358x5730</t>
  </si>
  <si>
    <t>Christopher Edwards</t>
  </si>
  <si>
    <t>christopher.edwards240@student.university.edu</t>
  </si>
  <si>
    <t>764.652.5777</t>
  </si>
  <si>
    <t>Steve Keller</t>
  </si>
  <si>
    <t>steve.keller818@student.university.edu</t>
  </si>
  <si>
    <t>562.470.3692x49269</t>
  </si>
  <si>
    <t>Teresa Meyer</t>
  </si>
  <si>
    <t>teresa.meyer280@student.university.edu</t>
  </si>
  <si>
    <t>474-635-0313x650</t>
  </si>
  <si>
    <t>Rachel Miller</t>
  </si>
  <si>
    <t>Miller</t>
  </si>
  <si>
    <t>rachel.miller645@student.university.edu</t>
  </si>
  <si>
    <t>Danielle Rivas</t>
  </si>
  <si>
    <t>danielle.rivas866@student.university.edu</t>
  </si>
  <si>
    <t>+1-517-865-3970x5487</t>
  </si>
  <si>
    <t>Alexis Roman</t>
  </si>
  <si>
    <t>Alexis</t>
  </si>
  <si>
    <t>Roman</t>
  </si>
  <si>
    <t>alexis.roman828@student.university.edu</t>
  </si>
  <si>
    <t>+1-312-497-5191x023</t>
  </si>
  <si>
    <t>Brendan Obrien</t>
  </si>
  <si>
    <t>Obrien</t>
  </si>
  <si>
    <t>brendan.obrien912@student.university.edu</t>
  </si>
  <si>
    <t>001-840-865-2775x844</t>
  </si>
  <si>
    <t>Angelica Stewart</t>
  </si>
  <si>
    <t>Angelica</t>
  </si>
  <si>
    <t>angelica.stewart707@student.university.edu</t>
  </si>
  <si>
    <t>+1-202-803-5713x4324</t>
  </si>
  <si>
    <t>Deborah May</t>
  </si>
  <si>
    <t>deborah.may189@student.university.edu</t>
  </si>
  <si>
    <t>(625)265-2704x7743</t>
  </si>
  <si>
    <t>Renee Peterson</t>
  </si>
  <si>
    <t>renee.peterson181@student.university.edu</t>
  </si>
  <si>
    <t>(750)302-9218</t>
  </si>
  <si>
    <t>Meghan Cisneros</t>
  </si>
  <si>
    <t>Meghan</t>
  </si>
  <si>
    <t>Cisneros</t>
  </si>
  <si>
    <t>meghan.cisneros87@student.university.edu</t>
  </si>
  <si>
    <t>(897)202-1355</t>
  </si>
  <si>
    <t>Christina Thompson</t>
  </si>
  <si>
    <t>christina.thompson481@student.university.edu</t>
  </si>
  <si>
    <t>710-426-1534x735</t>
  </si>
  <si>
    <t>Chad Myers</t>
  </si>
  <si>
    <t>chad.myers236@student.university.edu</t>
  </si>
  <si>
    <t>Darrell Foster</t>
  </si>
  <si>
    <t>darrell.foster549@student.university.edu</t>
  </si>
  <si>
    <t>256-728-4177x2256</t>
  </si>
  <si>
    <t>Carrie Nunez</t>
  </si>
  <si>
    <t>carrie.nunez146@student.university.edu</t>
  </si>
  <si>
    <t>899-812-5134x1252</t>
  </si>
  <si>
    <t>John Mack</t>
  </si>
  <si>
    <t>Mack</t>
  </si>
  <si>
    <t>john.mack368@student.university.edu</t>
  </si>
  <si>
    <t>Christopher Campbell</t>
  </si>
  <si>
    <t>christopher.campbell565@student.university.edu</t>
  </si>
  <si>
    <t>322-469-3121x6376</t>
  </si>
  <si>
    <t>Ryan Pierce</t>
  </si>
  <si>
    <t>Pierce</t>
  </si>
  <si>
    <t>ryan.pierce931@student.university.edu</t>
  </si>
  <si>
    <t>Joshua Stone</t>
  </si>
  <si>
    <t>Stone</t>
  </si>
  <si>
    <t>joshua.stone861@student.university.edu</t>
  </si>
  <si>
    <t>001-704-782-3571</t>
  </si>
  <si>
    <t>Teresa Hendrix</t>
  </si>
  <si>
    <t>teresa.hendrix105@student.university.edu</t>
  </si>
  <si>
    <t>001-843-775-7584x419</t>
  </si>
  <si>
    <t>Kayla Miranda</t>
  </si>
  <si>
    <t>kayla.miranda387@student.university.edu</t>
  </si>
  <si>
    <t>(719)328-5544</t>
  </si>
  <si>
    <t>Heather Woodard</t>
  </si>
  <si>
    <t>Woodard</t>
  </si>
  <si>
    <t>heather.woodard140@student.university.edu</t>
  </si>
  <si>
    <t>Tyler Robertson</t>
  </si>
  <si>
    <t>tyler.robertson547@student.university.edu</t>
  </si>
  <si>
    <t>Benjamin Taylor</t>
  </si>
  <si>
    <t>benjamin.taylor823@student.university.edu</t>
  </si>
  <si>
    <t>862-413-5415x9709</t>
  </si>
  <si>
    <t>Paul Goodwin</t>
  </si>
  <si>
    <t>Goodwin</t>
  </si>
  <si>
    <t>paul.goodwin345@student.university.edu</t>
  </si>
  <si>
    <t>David Parker</t>
  </si>
  <si>
    <t>david.parker254@student.university.edu</t>
  </si>
  <si>
    <t>(262)413-7213x865</t>
  </si>
  <si>
    <t>Ryan Myers</t>
  </si>
  <si>
    <t>ryan.myers602@student.university.edu</t>
  </si>
  <si>
    <t>606.217.1366x5722</t>
  </si>
  <si>
    <t>Kara Jackson</t>
  </si>
  <si>
    <t>Kara</t>
  </si>
  <si>
    <t>kara.jackson194@student.university.edu</t>
  </si>
  <si>
    <t>(229)796-0653x0745</t>
  </si>
  <si>
    <t>Tracy Payne</t>
  </si>
  <si>
    <t>tracy.payne379@student.university.edu</t>
  </si>
  <si>
    <t>354.674.9297x51702</t>
  </si>
  <si>
    <t>Joel Jackson</t>
  </si>
  <si>
    <t>joel.jackson331@student.university.edu</t>
  </si>
  <si>
    <t>001-959-892-8161x581</t>
  </si>
  <si>
    <t>Ashley Kelley</t>
  </si>
  <si>
    <t>ashley.kelley539@student.university.edu</t>
  </si>
  <si>
    <t>251-355-4234</t>
  </si>
  <si>
    <t>anthony.johnson197@student.university.edu</t>
  </si>
  <si>
    <t>Dana Beltran</t>
  </si>
  <si>
    <t>Beltran</t>
  </si>
  <si>
    <t>dana.beltran598@student.university.edu</t>
  </si>
  <si>
    <t>896.709.6262</t>
  </si>
  <si>
    <t>Brittany Hernandez</t>
  </si>
  <si>
    <t>brittany.hernandez408@student.university.edu</t>
  </si>
  <si>
    <t>+1-846-565-1364x4249</t>
  </si>
  <si>
    <t>Cassandra Thomas</t>
  </si>
  <si>
    <t>Cassandra</t>
  </si>
  <si>
    <t>cassandra.thomas675@student.university.edu</t>
  </si>
  <si>
    <t>001-636-684-9951x542</t>
  </si>
  <si>
    <t>Rose Holloway</t>
  </si>
  <si>
    <t>rose.holloway563@student.university.edu</t>
  </si>
  <si>
    <t>642.540.8916</t>
  </si>
  <si>
    <t>Kyle Smith</t>
  </si>
  <si>
    <t>kyle.smith81@student.university.edu</t>
  </si>
  <si>
    <t>793.324.6095x39621</t>
  </si>
  <si>
    <t>Darlene Manning</t>
  </si>
  <si>
    <t>Darlene</t>
  </si>
  <si>
    <t>Manning</t>
  </si>
  <si>
    <t>darlene.manning271@student.university.edu</t>
  </si>
  <si>
    <t>001-313-326-1117x800</t>
  </si>
  <si>
    <t>Justin Thomas</t>
  </si>
  <si>
    <t>justin.thomas480@student.university.edu</t>
  </si>
  <si>
    <t>439.750.0334x234</t>
  </si>
  <si>
    <t>Travis Dennis</t>
  </si>
  <si>
    <t>travis.dennis453@student.university.edu</t>
  </si>
  <si>
    <t>(222)482-7728x81377</t>
  </si>
  <si>
    <t>Gail Shelton</t>
  </si>
  <si>
    <t>Gail</t>
  </si>
  <si>
    <t>Shelton</t>
  </si>
  <si>
    <t>gail.shelton546@student.university.edu</t>
  </si>
  <si>
    <t>Willie Lara</t>
  </si>
  <si>
    <t>Willie</t>
  </si>
  <si>
    <t>Lara</t>
  </si>
  <si>
    <t>willie.lara382@student.university.edu</t>
  </si>
  <si>
    <t>726-362-9912x3478</t>
  </si>
  <si>
    <t>Rebekah Cummings</t>
  </si>
  <si>
    <t>Rebekah</t>
  </si>
  <si>
    <t>Cummings</t>
  </si>
  <si>
    <t>rebekah.cummings612@student.university.edu</t>
  </si>
  <si>
    <t>955-961-8579x064</t>
  </si>
  <si>
    <t>Michelle Pierce</t>
  </si>
  <si>
    <t>michelle.pierce845@student.university.edu</t>
  </si>
  <si>
    <t>+1-265-462-5904x5990</t>
  </si>
  <si>
    <t>Janet Eaton</t>
  </si>
  <si>
    <t>Eaton</t>
  </si>
  <si>
    <t>janet.eaton557@student.university.edu</t>
  </si>
  <si>
    <t>(391)709-3371</t>
  </si>
  <si>
    <t>Patricia Green</t>
  </si>
  <si>
    <t>patricia.green660@student.university.edu</t>
  </si>
  <si>
    <t>(873)220-4413x8459</t>
  </si>
  <si>
    <t>Eric Mcclain</t>
  </si>
  <si>
    <t>Mcclain</t>
  </si>
  <si>
    <t>eric.mcclain328@student.university.edu</t>
  </si>
  <si>
    <t>David Roth</t>
  </si>
  <si>
    <t>Roth</t>
  </si>
  <si>
    <t>david.roth800@student.university.edu</t>
  </si>
  <si>
    <t>360.750.7918</t>
  </si>
  <si>
    <t>Rebecca Lopez</t>
  </si>
  <si>
    <t>rebecca.lopez533@student.university.edu</t>
  </si>
  <si>
    <t>001-506-388-8718x981</t>
  </si>
  <si>
    <t>Glenda Byrd</t>
  </si>
  <si>
    <t>Glenda</t>
  </si>
  <si>
    <t>Byrd</t>
  </si>
  <si>
    <t>glenda.byrd748@student.university.edu</t>
  </si>
  <si>
    <t>847.612.7058x77221</t>
  </si>
  <si>
    <t>Erica Lane</t>
  </si>
  <si>
    <t>Lane</t>
  </si>
  <si>
    <t>erica.lane631@student.university.edu</t>
  </si>
  <si>
    <t>+1-434-826-8344x1497</t>
  </si>
  <si>
    <t>Jennifer Bryant</t>
  </si>
  <si>
    <t>Bryant</t>
  </si>
  <si>
    <t>jennifer.bryant98@student.university.edu</t>
  </si>
  <si>
    <t>939.650.0479</t>
  </si>
  <si>
    <t>Karen Wang</t>
  </si>
  <si>
    <t>karen.wang822@student.university.edu</t>
  </si>
  <si>
    <t>001-757-799-2707</t>
  </si>
  <si>
    <t>Anthony Walker</t>
  </si>
  <si>
    <t>Walker</t>
  </si>
  <si>
    <t>anthony.walker220@student.university.edu</t>
  </si>
  <si>
    <t>758.799.7571x130</t>
  </si>
  <si>
    <t>Marie Chavez</t>
  </si>
  <si>
    <t>marie.chavez657@student.university.edu</t>
  </si>
  <si>
    <t>307-204-4964</t>
  </si>
  <si>
    <t>Chelsea Smith</t>
  </si>
  <si>
    <t>chelsea.smith277@student.university.edu</t>
  </si>
  <si>
    <t>Darrell Martinez</t>
  </si>
  <si>
    <t>darrell.martinez390@student.university.edu</t>
  </si>
  <si>
    <t>(516)311-0760</t>
  </si>
  <si>
    <t>Laura King</t>
  </si>
  <si>
    <t>laura.king433@student.university.edu</t>
  </si>
  <si>
    <t>891-680-1722x601</t>
  </si>
  <si>
    <t>Steven Schultz</t>
  </si>
  <si>
    <t>Schultz</t>
  </si>
  <si>
    <t>steven.schultz839@student.university.edu</t>
  </si>
  <si>
    <t>548.559.5325x9399</t>
  </si>
  <si>
    <t>Karen Roberts</t>
  </si>
  <si>
    <t>karen.roberts837@student.university.edu</t>
  </si>
  <si>
    <t>787.636.7042</t>
  </si>
  <si>
    <t>Kevin Greene</t>
  </si>
  <si>
    <t>Greene</t>
  </si>
  <si>
    <t>kevin.greene886@student.university.edu</t>
  </si>
  <si>
    <t>(273)631-1677x2696</t>
  </si>
  <si>
    <t>Paul Martin</t>
  </si>
  <si>
    <t>paul.martin209@student.university.edu</t>
  </si>
  <si>
    <t>(803)632-3098x2150</t>
  </si>
  <si>
    <t>Amanda Kelley</t>
  </si>
  <si>
    <t>amanda.kelley788@student.university.edu</t>
  </si>
  <si>
    <t>+1-240-973-3337x3204</t>
  </si>
  <si>
    <t>Renee Thomas</t>
  </si>
  <si>
    <t>renee.thomas815@student.university.edu</t>
  </si>
  <si>
    <t>968.936.2536x667</t>
  </si>
  <si>
    <t>Mary Martin</t>
  </si>
  <si>
    <t>mary.martin514@student.university.edu</t>
  </si>
  <si>
    <t>416-869-1836</t>
  </si>
  <si>
    <t>Jennifer Woodard</t>
  </si>
  <si>
    <t>jennifer.woodard466@student.university.edu</t>
  </si>
  <si>
    <t>001-776-881-1807x156</t>
  </si>
  <si>
    <t>Luis Tran</t>
  </si>
  <si>
    <t>luis.tran891@student.university.edu</t>
  </si>
  <si>
    <t>818-647-2426x423</t>
  </si>
  <si>
    <t>Roy Warner</t>
  </si>
  <si>
    <t>Roy</t>
  </si>
  <si>
    <t>roy.warner7@student.university.edu</t>
  </si>
  <si>
    <t>+1-680-684-1241x182</t>
  </si>
  <si>
    <t>Grant Wood</t>
  </si>
  <si>
    <t>Wood</t>
  </si>
  <si>
    <t>grant.wood477@student.university.edu</t>
  </si>
  <si>
    <t>Kyle Francis</t>
  </si>
  <si>
    <t>kyle.francis946@student.university.edu</t>
  </si>
  <si>
    <t>001-530-674-8207x365</t>
  </si>
  <si>
    <t>Karen Moss</t>
  </si>
  <si>
    <t>Moss</t>
  </si>
  <si>
    <t>karen.moss417@student.university.edu</t>
  </si>
  <si>
    <t>529-254-3165x266</t>
  </si>
  <si>
    <t>Alexander Robles</t>
  </si>
  <si>
    <t>Robles</t>
  </si>
  <si>
    <t>alexander.robles472@student.university.edu</t>
  </si>
  <si>
    <t>943-317-3505x83199</t>
  </si>
  <si>
    <t>Tiffany Grimes</t>
  </si>
  <si>
    <t>Grimes</t>
  </si>
  <si>
    <t>tiffany.grimes489@student.university.edu</t>
  </si>
  <si>
    <t>933.773.8987</t>
  </si>
  <si>
    <t>Shelby Oliver</t>
  </si>
  <si>
    <t>Oliver</t>
  </si>
  <si>
    <t>shelby.oliver892@student.university.edu</t>
  </si>
  <si>
    <t>001-524-387-6230</t>
  </si>
  <si>
    <t>Andrew Smith</t>
  </si>
  <si>
    <t>andrew.smith810@student.university.edu</t>
  </si>
  <si>
    <t>(854)425-7306</t>
  </si>
  <si>
    <t>Donna Frye</t>
  </si>
  <si>
    <t>Frye</t>
  </si>
  <si>
    <t>donna.frye95@student.university.edu</t>
  </si>
  <si>
    <t>736.447.1027x6773</t>
  </si>
  <si>
    <t>Brian Miranda</t>
  </si>
  <si>
    <t>brian.miranda326@student.university.edu</t>
  </si>
  <si>
    <t>001-940-394-3533x448</t>
  </si>
  <si>
    <t>Lucas Tyler</t>
  </si>
  <si>
    <t>Lucas</t>
  </si>
  <si>
    <t>lucas.tyler876@student.university.edu</t>
  </si>
  <si>
    <t>(323)498-4716x90618</t>
  </si>
  <si>
    <t>James Watson</t>
  </si>
  <si>
    <t>james.watson873@student.university.edu</t>
  </si>
  <si>
    <t>501.984.9804x25373</t>
  </si>
  <si>
    <t>Kevin Black</t>
  </si>
  <si>
    <t>kevin.black770@student.university.edu</t>
  </si>
  <si>
    <t>225-465-2906x032</t>
  </si>
  <si>
    <t>Shelley Parks</t>
  </si>
  <si>
    <t>Shelley</t>
  </si>
  <si>
    <t>shelley.parks304@student.university.edu</t>
  </si>
  <si>
    <t>(539)426-4957x82329</t>
  </si>
  <si>
    <t>Kyle Norton</t>
  </si>
  <si>
    <t>Norton</t>
  </si>
  <si>
    <t>kyle.norton249@student.university.edu</t>
  </si>
  <si>
    <t>001-429-384-2579x913</t>
  </si>
  <si>
    <t>Marcus Sanders</t>
  </si>
  <si>
    <t>Marcus</t>
  </si>
  <si>
    <t>Sanders</t>
  </si>
  <si>
    <t>marcus.sanders44@student.university.edu</t>
  </si>
  <si>
    <t>358-565-7809</t>
  </si>
  <si>
    <t>Albert Perez</t>
  </si>
  <si>
    <t>albert.perez759@student.university.edu</t>
  </si>
  <si>
    <t>(424)539-5873x95923</t>
  </si>
  <si>
    <t>Nicholas Chapman</t>
  </si>
  <si>
    <t>Chapman</t>
  </si>
  <si>
    <t>nicholas.chapman347@student.university.edu</t>
  </si>
  <si>
    <t>285.825.8001</t>
  </si>
  <si>
    <t>Christopher Goodwin</t>
  </si>
  <si>
    <t>christopher.goodwin986@student.university.edu</t>
  </si>
  <si>
    <t>Nicole Reilly</t>
  </si>
  <si>
    <t>Reilly</t>
  </si>
  <si>
    <t>nicole.reilly884@student.university.edu</t>
  </si>
  <si>
    <t>(232)408-9532x638</t>
  </si>
  <si>
    <t>David Sanders</t>
  </si>
  <si>
    <t>david.sanders771@student.university.edu</t>
  </si>
  <si>
    <t>Jordan Escobar</t>
  </si>
  <si>
    <t>Escobar</t>
  </si>
  <si>
    <t>jordan.escobar341@student.university.edu</t>
  </si>
  <si>
    <t>001-656-654-4209</t>
  </si>
  <si>
    <t>Laura Ward</t>
  </si>
  <si>
    <t>laura.ward889@student.university.edu</t>
  </si>
  <si>
    <t>Darin Baker</t>
  </si>
  <si>
    <t>Darin</t>
  </si>
  <si>
    <t>darin.baker875@student.university.edu</t>
  </si>
  <si>
    <t>Maria Hicks</t>
  </si>
  <si>
    <t>Hicks</t>
  </si>
  <si>
    <t>maria.hicks484@student.university.edu</t>
  </si>
  <si>
    <t>287.525.5877x7496</t>
  </si>
  <si>
    <t>Crystal Baker</t>
  </si>
  <si>
    <t>crystal.baker244@student.university.edu</t>
  </si>
  <si>
    <t>203.785.6770</t>
  </si>
  <si>
    <t>Terry Montgomery</t>
  </si>
  <si>
    <t>terry.montgomery357@student.university.edu</t>
  </si>
  <si>
    <t>420.320.4179</t>
  </si>
  <si>
    <t>Joshua Ryan</t>
  </si>
  <si>
    <t>joshua.ryan918@student.university.edu</t>
  </si>
  <si>
    <t>001-570-745-0691x767</t>
  </si>
  <si>
    <t>Tracy Johnson</t>
  </si>
  <si>
    <t>tracy.johnson956@student.university.edu</t>
  </si>
  <si>
    <t>(455)361-8444</t>
  </si>
  <si>
    <t>Larry Martinez</t>
  </si>
  <si>
    <t>Larry</t>
  </si>
  <si>
    <t>larry.martinez636@student.university.edu</t>
  </si>
  <si>
    <t>233-317-0876</t>
  </si>
  <si>
    <t>Jason Wolf</t>
  </si>
  <si>
    <t>Wolf</t>
  </si>
  <si>
    <t>jason.wolf366@student.university.edu</t>
  </si>
  <si>
    <t>349.829.2983</t>
  </si>
  <si>
    <t>Cristina Duke</t>
  </si>
  <si>
    <t>Cristina</t>
  </si>
  <si>
    <t>Duke</t>
  </si>
  <si>
    <t>cristina.duke796@student.university.edu</t>
  </si>
  <si>
    <t>+1-315-471-8409x0805</t>
  </si>
  <si>
    <t>Vanessa Strickland</t>
  </si>
  <si>
    <t>Strickland</t>
  </si>
  <si>
    <t>vanessa.strickland571@student.university.edu</t>
  </si>
  <si>
    <t>(852)667-7119</t>
  </si>
  <si>
    <t>Alexander Hunt</t>
  </si>
  <si>
    <t>alexander.hunt604@student.university.edu</t>
  </si>
  <si>
    <t>(335)413-0523</t>
  </si>
  <si>
    <t>Donna Lowe</t>
  </si>
  <si>
    <t>donna.lowe830@student.university.edu</t>
  </si>
  <si>
    <t>David Robinson</t>
  </si>
  <si>
    <t>david.robinson119@student.university.edu</t>
  </si>
  <si>
    <t>001-502-884-3959x953</t>
  </si>
  <si>
    <t>karen.garcia746@student.university.edu</t>
  </si>
  <si>
    <t>001-339-974-9096</t>
  </si>
  <si>
    <t>Shannon English</t>
  </si>
  <si>
    <t>English</t>
  </si>
  <si>
    <t>shannon.english338@student.university.edu</t>
  </si>
  <si>
    <t>001-596-492-7868x765</t>
  </si>
  <si>
    <t>Todd Smith</t>
  </si>
  <si>
    <t>todd.smith776@student.university.edu</t>
  </si>
  <si>
    <t>484-539-9106x227</t>
  </si>
  <si>
    <t>Stephanie Aguilar</t>
  </si>
  <si>
    <t>Aguilar</t>
  </si>
  <si>
    <t>stephanie.aguilar649@student.university.edu</t>
  </si>
  <si>
    <t>700-256-4350x238</t>
  </si>
  <si>
    <t>Kyle Berry</t>
  </si>
  <si>
    <t>Berry</t>
  </si>
  <si>
    <t>kyle.berry798@student.university.edu</t>
  </si>
  <si>
    <t>328.727.0908x144</t>
  </si>
  <si>
    <t>Nicole Matthews</t>
  </si>
  <si>
    <t>nicole.matthews794@student.university.edu</t>
  </si>
  <si>
    <t>001-319-718-6233x922</t>
  </si>
  <si>
    <t>Bryan Jimenez</t>
  </si>
  <si>
    <t>bryan.jimenez66@student.university.edu</t>
  </si>
  <si>
    <t>(922)368-3885x16060</t>
  </si>
  <si>
    <t>Kathryn Lawrence</t>
  </si>
  <si>
    <t>kathryn.lawrence43@student.university.edu</t>
  </si>
  <si>
    <t>371-987-0262</t>
  </si>
  <si>
    <t>Caroline Crosby</t>
  </si>
  <si>
    <t>Crosby</t>
  </si>
  <si>
    <t>caroline.crosby676@student.university.edu</t>
  </si>
  <si>
    <t>291-534-2138x820</t>
  </si>
  <si>
    <t>Dylan Harris</t>
  </si>
  <si>
    <t>dylan.harris354@student.university.edu</t>
  </si>
  <si>
    <t>Tracy George</t>
  </si>
  <si>
    <t>tracy.george422@student.university.edu</t>
  </si>
  <si>
    <t>001-400-648-9646x528</t>
  </si>
  <si>
    <t>Frances Beard</t>
  </si>
  <si>
    <t>frances.beard471@student.university.edu</t>
  </si>
  <si>
    <t>Ariana Costa</t>
  </si>
  <si>
    <t>Ariana</t>
  </si>
  <si>
    <t>Costa</t>
  </si>
  <si>
    <t>ariana.costa689@student.university.edu</t>
  </si>
  <si>
    <t>001-676-946-1368</t>
  </si>
  <si>
    <t>Krystal Randolph</t>
  </si>
  <si>
    <t>Krystal</t>
  </si>
  <si>
    <t>Randolph</t>
  </si>
  <si>
    <t>krystal.randolph990@student.university.edu</t>
  </si>
  <si>
    <t>540-568-8413</t>
  </si>
  <si>
    <t>Jessica Webb</t>
  </si>
  <si>
    <t>Webb</t>
  </si>
  <si>
    <t>jessica.webb559@student.university.edu</t>
  </si>
  <si>
    <t>380.429.4240x90367</t>
  </si>
  <si>
    <t>Joseph Beltran</t>
  </si>
  <si>
    <t>joseph.beltran995@student.university.edu</t>
  </si>
  <si>
    <t>(598)557-9736</t>
  </si>
  <si>
    <t>Tiffany Brooks</t>
  </si>
  <si>
    <t>tiffany.brooks586@student.university.edu</t>
  </si>
  <si>
    <t>+1-868-474-0903x8021</t>
  </si>
  <si>
    <t>Brian Perkins</t>
  </si>
  <si>
    <t>brian.perkins83@student.university.edu</t>
  </si>
  <si>
    <t>001-252-605-8527x722</t>
  </si>
  <si>
    <t>Tammy Mckee</t>
  </si>
  <si>
    <t>tammy.mckee430@student.university.edu</t>
  </si>
  <si>
    <t>+1-825-315-8377x674</t>
  </si>
  <si>
    <t>Matthew Gonzales</t>
  </si>
  <si>
    <t>matthew.gonzales902@student.university.edu</t>
  </si>
  <si>
    <t>001-642-223-1964x630</t>
  </si>
  <si>
    <t>Timothy Mullins</t>
  </si>
  <si>
    <t>Mullins</t>
  </si>
  <si>
    <t>timothy.mullins947@student.university.edu</t>
  </si>
  <si>
    <t>Tammie Hanson</t>
  </si>
  <si>
    <t>Tammie</t>
  </si>
  <si>
    <t>Hanson</t>
  </si>
  <si>
    <t>tammie.hanson14@student.university.edu</t>
  </si>
  <si>
    <t>+1-414-684-6564x8236</t>
  </si>
  <si>
    <t>Jason Cook</t>
  </si>
  <si>
    <t>Cook</t>
  </si>
  <si>
    <t>jason.cook320@student.university.edu</t>
  </si>
  <si>
    <t>Chelsea Cruz</t>
  </si>
  <si>
    <t>Cruz</t>
  </si>
  <si>
    <t>chelsea.cruz337@student.university.edu</t>
  </si>
  <si>
    <t>(462)342-2010x276</t>
  </si>
  <si>
    <t>Jason Vargas</t>
  </si>
  <si>
    <t>jason.vargas777@student.university.edu</t>
  </si>
  <si>
    <t>451.534.2619</t>
  </si>
  <si>
    <t>Daniel Coleman</t>
  </si>
  <si>
    <t>Coleman</t>
  </si>
  <si>
    <t>daniel.coleman150@student.university.edu</t>
  </si>
  <si>
    <t>001-734-807-4517x133</t>
  </si>
  <si>
    <t>Anthony Rivera</t>
  </si>
  <si>
    <t>Rivera</t>
  </si>
  <si>
    <t>anthony.rivera187@student.university.edu</t>
  </si>
  <si>
    <t>268.884.4431</t>
  </si>
  <si>
    <t>Erika Davis</t>
  </si>
  <si>
    <t>erika.davis333@student.university.edu</t>
  </si>
  <si>
    <t>324.561.9196x570</t>
  </si>
  <si>
    <t>Larry Kirby</t>
  </si>
  <si>
    <t>Kirby</t>
  </si>
  <si>
    <t>larry.kirby94@student.university.edu</t>
  </si>
  <si>
    <t>001-800-210-9439</t>
  </si>
  <si>
    <t>Olivia Jones</t>
  </si>
  <si>
    <t>Olivia</t>
  </si>
  <si>
    <t>olivia.jones69@student.university.edu</t>
  </si>
  <si>
    <t>001-977-699-7995x527</t>
  </si>
  <si>
    <t>Joseph Norris</t>
  </si>
  <si>
    <t>Norris</t>
  </si>
  <si>
    <t>joseph.norris925@student.university.edu</t>
  </si>
  <si>
    <t>875.505.6618</t>
  </si>
  <si>
    <t>Anthony Potter</t>
  </si>
  <si>
    <t>Potter</t>
  </si>
  <si>
    <t>anthony.potter238@student.university.edu</t>
  </si>
  <si>
    <t>Garrett Gibson</t>
  </si>
  <si>
    <t>Garrett</t>
  </si>
  <si>
    <t>garrett.gibson22@student.university.edu</t>
  </si>
  <si>
    <t>264-564-1708x05310</t>
  </si>
  <si>
    <t>Christina Walsh</t>
  </si>
  <si>
    <t>christina.walsh622@student.university.edu</t>
  </si>
  <si>
    <t>001-794-301-2897x432</t>
  </si>
  <si>
    <t>Linda Cox</t>
  </si>
  <si>
    <t>linda.cox780@student.university.edu</t>
  </si>
  <si>
    <t>+1-376-260-1444x8564</t>
  </si>
  <si>
    <t>Bruce Castro</t>
  </si>
  <si>
    <t>Castro</t>
  </si>
  <si>
    <t>bruce.castro700@student.university.edu</t>
  </si>
  <si>
    <t>(467)854-8581x9324</t>
  </si>
  <si>
    <t>Michael Farmer</t>
  </si>
  <si>
    <t>Farmer</t>
  </si>
  <si>
    <t>michael.farmer765@student.university.edu</t>
  </si>
  <si>
    <t>david.robinson699@student.university.edu</t>
  </si>
  <si>
    <t>+1-822-927-0510x287</t>
  </si>
  <si>
    <t>Christopher Fleming</t>
  </si>
  <si>
    <t>Fleming</t>
  </si>
  <si>
    <t>christopher.fleming905@student.university.edu</t>
  </si>
  <si>
    <t>001-698-949-3306x745</t>
  </si>
  <si>
    <t>Michelle Fletcher</t>
  </si>
  <si>
    <t>Fletcher</t>
  </si>
  <si>
    <t>michelle.fletcher200@student.university.edu</t>
  </si>
  <si>
    <t>366-257-4374x896</t>
  </si>
  <si>
    <t>Ryan Coleman</t>
  </si>
  <si>
    <t>ryan.coleman976@student.university.edu</t>
  </si>
  <si>
    <t>Jaime Ferguson</t>
  </si>
  <si>
    <t>jaime.ferguson323@student.university.edu</t>
  </si>
  <si>
    <t>(299)662-9145</t>
  </si>
  <si>
    <t>Jonathan Perry</t>
  </si>
  <si>
    <t>jonathan.perry162@student.university.edu</t>
  </si>
  <si>
    <t>001-561-488-9241x418</t>
  </si>
  <si>
    <t>Jason Miller</t>
  </si>
  <si>
    <t>jason.miller669@student.university.edu</t>
  </si>
  <si>
    <t>Matthew Davis</t>
  </si>
  <si>
    <t>matthew.davis523@student.university.edu</t>
  </si>
  <si>
    <t>(702)556-4347x12871</t>
  </si>
  <si>
    <t>Claudia Howard</t>
  </si>
  <si>
    <t>Claudia</t>
  </si>
  <si>
    <t>claudia.howard369@student.university.edu</t>
  </si>
  <si>
    <t>210.974.2799</t>
  </si>
  <si>
    <t>James Moore</t>
  </si>
  <si>
    <t>james.moore360@student.university.edu</t>
  </si>
  <si>
    <t>610.902.1946x7232</t>
  </si>
  <si>
    <t>Gail Ortega</t>
  </si>
  <si>
    <t>gail.ortega816@student.university.edu</t>
  </si>
  <si>
    <t>(783)933-3939</t>
  </si>
  <si>
    <t>Emma Cunningham</t>
  </si>
  <si>
    <t>Emma</t>
  </si>
  <si>
    <t>Cunningham</t>
  </si>
  <si>
    <t>emma.cunningham295@student.university.edu</t>
  </si>
  <si>
    <t>883-420-6799x81364</t>
  </si>
  <si>
    <t>Catherine Malone</t>
  </si>
  <si>
    <t>Malone</t>
  </si>
  <si>
    <t>catherine.malone517@student.university.edu</t>
  </si>
  <si>
    <t>367-791-2141x614</t>
  </si>
  <si>
    <t>Scott Washington</t>
  </si>
  <si>
    <t>Washington</t>
  </si>
  <si>
    <t>scott.washington786@student.university.edu</t>
  </si>
  <si>
    <t>475-822-5013x94884</t>
  </si>
  <si>
    <t>Matthew Durham</t>
  </si>
  <si>
    <t>Durham</t>
  </si>
  <si>
    <t>matthew.durham301@student.university.edu</t>
  </si>
  <si>
    <t>(310)446-3681x579</t>
  </si>
  <si>
    <t>Charles Taylor</t>
  </si>
  <si>
    <t>charles.taylor388@student.university.edu</t>
  </si>
  <si>
    <t>357-865-2132x8338</t>
  </si>
  <si>
    <t>Andrew Hood</t>
  </si>
  <si>
    <t>Hood</t>
  </si>
  <si>
    <t>andrew.hood402@student.university.edu</t>
  </si>
  <si>
    <t>(590)556-1655x650</t>
  </si>
  <si>
    <t>Manuel Davis</t>
  </si>
  <si>
    <t>Manuel</t>
  </si>
  <si>
    <t>manuel.davis16@student.university.edu</t>
  </si>
  <si>
    <t>001-534-833-2003x791</t>
  </si>
  <si>
    <t>Karen Price</t>
  </si>
  <si>
    <t>karen.price802@student.university.edu</t>
  </si>
  <si>
    <t>240.280.3149x9825</t>
  </si>
  <si>
    <t>Sara Santos</t>
  </si>
  <si>
    <t>Santos</t>
  </si>
  <si>
    <t>sara.santos79@student.university.edu</t>
  </si>
  <si>
    <t>(220)347-2779</t>
  </si>
  <si>
    <t>Andrew Ross</t>
  </si>
  <si>
    <t>andrew.ross737@student.university.edu</t>
  </si>
  <si>
    <t>576.911.2491x25652</t>
  </si>
  <si>
    <t>Justin Bolton</t>
  </si>
  <si>
    <t>justin.bolton104@student.university.edu</t>
  </si>
  <si>
    <t>586.552.7858x5497</t>
  </si>
  <si>
    <t>Breanna Ramirez</t>
  </si>
  <si>
    <t>Breanna</t>
  </si>
  <si>
    <t>breanna.ramirez678@student.university.edu</t>
  </si>
  <si>
    <t>+1-715-213-1528x5478</t>
  </si>
  <si>
    <t>Jeanne Jones</t>
  </si>
  <si>
    <t>Jeanne</t>
  </si>
  <si>
    <t>jeanne.jones500@student.university.edu</t>
  </si>
  <si>
    <t>001-304-827-5230x837</t>
  </si>
  <si>
    <t>William Woods</t>
  </si>
  <si>
    <t>Woods</t>
  </si>
  <si>
    <t>william.woods111@student.university.edu</t>
  </si>
  <si>
    <t>204.663.7454</t>
  </si>
  <si>
    <t>Laura Lewis</t>
  </si>
  <si>
    <t>laura.lewis726@student.university.edu</t>
  </si>
  <si>
    <t>(242)848-0962x44063</t>
  </si>
  <si>
    <t>Chase Bentley</t>
  </si>
  <si>
    <t>Bentley</t>
  </si>
  <si>
    <t>chase.bentley80@student.university.edu</t>
  </si>
  <si>
    <t>+1-986-314-3410x369</t>
  </si>
  <si>
    <t>Jonathan Lloyd</t>
  </si>
  <si>
    <t>Lloyd</t>
  </si>
  <si>
    <t>jonathan.lloyd358@student.university.edu</t>
  </si>
  <si>
    <t>413.765.6519</t>
  </si>
  <si>
    <t>Linda Johnson</t>
  </si>
  <si>
    <t>linda.johnson178@student.university.edu</t>
  </si>
  <si>
    <t>001-240-578-5932x133</t>
  </si>
  <si>
    <t>Stephanie Hall</t>
  </si>
  <si>
    <t>stephanie.hall944@student.university.edu</t>
  </si>
  <si>
    <t>Brandon Rodriguez</t>
  </si>
  <si>
    <t>brandon.rodriguez213@student.university.edu</t>
  </si>
  <si>
    <t>001-972-618-1143</t>
  </si>
  <si>
    <t>Todd Johnson</t>
  </si>
  <si>
    <t>todd.johnson264@student.university.edu</t>
  </si>
  <si>
    <t>(362)771-8750x036</t>
  </si>
  <si>
    <t>Mark Gonzalez</t>
  </si>
  <si>
    <t>mark.gonzalez988@student.university.edu</t>
  </si>
  <si>
    <t>001-276-920-5344</t>
  </si>
  <si>
    <t>John Hodges</t>
  </si>
  <si>
    <t>Hodges</t>
  </si>
  <si>
    <t>john.hodges518@student.university.edu</t>
  </si>
  <si>
    <t>Joseph Montgomery</t>
  </si>
  <si>
    <t>joseph.montgomery812@student.university.edu</t>
  </si>
  <si>
    <t>(255)202-1306</t>
  </si>
  <si>
    <t>Samuel Aguilar</t>
  </si>
  <si>
    <t>Samuel</t>
  </si>
  <si>
    <t>samuel.aguilar740@student.university.edu</t>
  </si>
  <si>
    <t>(490)745-8867</t>
  </si>
  <si>
    <t>Amy Horn</t>
  </si>
  <si>
    <t>Horn</t>
  </si>
  <si>
    <t>amy.horn474@student.university.edu</t>
  </si>
  <si>
    <t>(319)763-9907x6769</t>
  </si>
  <si>
    <t>Jeremy Robinson</t>
  </si>
  <si>
    <t>jeremy.robinson348@student.university.edu</t>
  </si>
  <si>
    <t>343-400-9109x3911</t>
  </si>
  <si>
    <t>Steven Fields</t>
  </si>
  <si>
    <t>Fields</t>
  </si>
  <si>
    <t>steven.fields334@student.university.edu</t>
  </si>
  <si>
    <t>Richard Romero</t>
  </si>
  <si>
    <t>Romero</t>
  </si>
  <si>
    <t>richard.romero82@student.university.edu</t>
  </si>
  <si>
    <t>Joel Roman</t>
  </si>
  <si>
    <t>joel.roman115@student.university.edu</t>
  </si>
  <si>
    <t>001-206-340-3910x651</t>
  </si>
  <si>
    <t>Jennifer Dunn</t>
  </si>
  <si>
    <t>Dunn</t>
  </si>
  <si>
    <t>jennifer.dunn113@student.university.edu</t>
  </si>
  <si>
    <t>283.539.1878x5191</t>
  </si>
  <si>
    <t>Amanda Stewart</t>
  </si>
  <si>
    <t>amanda.stewart378@student.university.edu</t>
  </si>
  <si>
    <t>(425)978-2841x067</t>
  </si>
  <si>
    <t>Rhonda Haynes</t>
  </si>
  <si>
    <t>Haynes</t>
  </si>
  <si>
    <t>rhonda.haynes553@student.university.edu</t>
  </si>
  <si>
    <t>892.239.2312x60432</t>
  </si>
  <si>
    <t>Jennifer Garcia</t>
  </si>
  <si>
    <t>jennifer.garcia182@student.university.edu</t>
  </si>
  <si>
    <t>452-826-7528x9539</t>
  </si>
  <si>
    <t>Jonathon Reyes</t>
  </si>
  <si>
    <t>Jonathon</t>
  </si>
  <si>
    <t>jonathon.reyes690@student.university.edu</t>
  </si>
  <si>
    <t>965.381.7390x6375</t>
  </si>
  <si>
    <t>Kimberly Smith</t>
  </si>
  <si>
    <t>kimberly.smith568@student.university.edu</t>
  </si>
  <si>
    <t>Amanda Hughes</t>
  </si>
  <si>
    <t>amanda.hughes809@student.university.edu</t>
  </si>
  <si>
    <t>213-569-5727</t>
  </si>
  <si>
    <t>Nathan Morgan</t>
  </si>
  <si>
    <t>Nathan</t>
  </si>
  <si>
    <t>nathan.morgan641@student.university.edu</t>
  </si>
  <si>
    <t>001-624-446-1767x929</t>
  </si>
  <si>
    <t>Whitney Atkinson</t>
  </si>
  <si>
    <t>Whitney</t>
  </si>
  <si>
    <t>whitney.atkinson267@student.university.edu</t>
  </si>
  <si>
    <t>685.974.4890x61203</t>
  </si>
  <si>
    <t>Lori Brown</t>
  </si>
  <si>
    <t>Lori</t>
  </si>
  <si>
    <t>lori.brown508@student.university.edu</t>
  </si>
  <si>
    <t>313.802.3212x9833</t>
  </si>
  <si>
    <t>Rebecca Valencia</t>
  </si>
  <si>
    <t>rebecca.valencia10@student.university.edu</t>
  </si>
  <si>
    <t>(833)215-8692x322</t>
  </si>
  <si>
    <t>Catherine Richards</t>
  </si>
  <si>
    <t>Richards</t>
  </si>
  <si>
    <t>catherine.richards311@student.university.edu</t>
  </si>
  <si>
    <t>001-982-366-5702x793</t>
  </si>
  <si>
    <t>Jonathan Parrish</t>
  </si>
  <si>
    <t>jonathan.parrish594@student.university.edu</t>
  </si>
  <si>
    <t>001-477-966-5586x851</t>
  </si>
  <si>
    <t>Brent Barnett</t>
  </si>
  <si>
    <t>Brent</t>
  </si>
  <si>
    <t>Barnett</t>
  </si>
  <si>
    <t>brent.barnett190@student.university.edu</t>
  </si>
  <si>
    <t>Mark Dickson</t>
  </si>
  <si>
    <t>Dickson</t>
  </si>
  <si>
    <t>mark.dickson405@student.university.edu</t>
  </si>
  <si>
    <t>583-344-0496</t>
  </si>
  <si>
    <t>Whitney Irwin</t>
  </si>
  <si>
    <t>Irwin</t>
  </si>
  <si>
    <t>whitney.irwin303@student.university.edu</t>
  </si>
  <si>
    <t>304-860-8432x562</t>
  </si>
  <si>
    <t>Darren Jackson</t>
  </si>
  <si>
    <t>Darren</t>
  </si>
  <si>
    <t>darren.jackson834@student.university.edu</t>
  </si>
  <si>
    <t>001-856-877-5677x722</t>
  </si>
  <si>
    <t>Terry Cohen</t>
  </si>
  <si>
    <t>terry.cohen250@student.university.edu</t>
  </si>
  <si>
    <t>(391)327-9908</t>
  </si>
  <si>
    <t>Jamie Ruiz</t>
  </si>
  <si>
    <t>Ruiz</t>
  </si>
  <si>
    <t>jamie.ruiz510@student.university.edu</t>
  </si>
  <si>
    <t>(489)662-7066x14982</t>
  </si>
  <si>
    <t>Bill Lopez</t>
  </si>
  <si>
    <t>Bill</t>
  </si>
  <si>
    <t>bill.lopez831@student.university.edu</t>
  </si>
  <si>
    <t>532-269-4968x43645</t>
  </si>
  <si>
    <t>Cynthia Cordova</t>
  </si>
  <si>
    <t>Cordova</t>
  </si>
  <si>
    <t>cynthia.cordova218@student.university.edu</t>
  </si>
  <si>
    <t>Yolanda Barron</t>
  </si>
  <si>
    <t>Yolanda</t>
  </si>
  <si>
    <t>yolanda.barron544@student.university.edu</t>
  </si>
  <si>
    <t>001-216-909-3068x538</t>
  </si>
  <si>
    <t>Nicholas Campbell</t>
  </si>
  <si>
    <t>nicholas.campbell680@student.university.edu</t>
  </si>
  <si>
    <t>518.430.6178</t>
  </si>
  <si>
    <t>Jeffrey Smith</t>
  </si>
  <si>
    <t>jeffrey.smith9@student.university.edu</t>
  </si>
  <si>
    <t>428-205-9826</t>
  </si>
  <si>
    <t>Julie Holder</t>
  </si>
  <si>
    <t>Holder</t>
  </si>
  <si>
    <t>julie.holder696@student.university.edu</t>
  </si>
  <si>
    <t>Travis Stone</t>
  </si>
  <si>
    <t>travis.stone93@student.university.edu</t>
  </si>
  <si>
    <t>414-438-4249x8182</t>
  </si>
  <si>
    <t>Philip Edwards</t>
  </si>
  <si>
    <t>philip.edwards394@student.university.edu</t>
  </si>
  <si>
    <t>318.827.5480x157</t>
  </si>
  <si>
    <t>Kyle Schneider</t>
  </si>
  <si>
    <t>kyle.schneider524@student.university.edu</t>
  </si>
  <si>
    <t>(568)363-3414x1115</t>
  </si>
  <si>
    <t>Andrea Hernandez</t>
  </si>
  <si>
    <t>Andrea</t>
  </si>
  <si>
    <t>andrea.hernandez127@student.university.edu</t>
  </si>
  <si>
    <t>287.250.9977</t>
  </si>
  <si>
    <t>Jessica Hull</t>
  </si>
  <si>
    <t>Hull</t>
  </si>
  <si>
    <t>jessica.hull630@student.university.edu</t>
  </si>
  <si>
    <t>630-475-3666x1449</t>
  </si>
  <si>
    <t>Lisa Ramirez</t>
  </si>
  <si>
    <t>lisa.ramirez656@student.university.edu</t>
  </si>
  <si>
    <t>428.234.8315</t>
  </si>
  <si>
    <t>Erica Gibbs</t>
  </si>
  <si>
    <t>Gibbs</t>
  </si>
  <si>
    <t>erica.gibbs608@student.university.edu</t>
  </si>
  <si>
    <t>(731)535-5251x050</t>
  </si>
  <si>
    <t>Maria Miller</t>
  </si>
  <si>
    <t>maria.miller241@student.university.edu</t>
  </si>
  <si>
    <t>828-534-1108x099</t>
  </si>
  <si>
    <t>Larry Lewis</t>
  </si>
  <si>
    <t>larry.lewis588@student.university.edu</t>
  </si>
  <si>
    <t>001-271-847-0827x235</t>
  </si>
  <si>
    <t>Travis Russell</t>
  </si>
  <si>
    <t>Russell</t>
  </si>
  <si>
    <t>travis.russell543@student.university.edu</t>
  </si>
  <si>
    <t>811-413-1290x14870</t>
  </si>
  <si>
    <t>Kara Farmer</t>
  </si>
  <si>
    <t>kara.farmer939@student.university.edu</t>
  </si>
  <si>
    <t>997-854-3734</t>
  </si>
  <si>
    <t>John Ray</t>
  </si>
  <si>
    <t>Ray</t>
  </si>
  <si>
    <t>john.ray153@student.university.edu</t>
  </si>
  <si>
    <t>766-271-1684x577</t>
  </si>
  <si>
    <t>Timothy Orr</t>
  </si>
  <si>
    <t>Orr</t>
  </si>
  <si>
    <t>timothy.orr290@student.university.edu</t>
  </si>
  <si>
    <t>Elizabeth Holmes</t>
  </si>
  <si>
    <t>elizabeth.holmes160@student.university.edu</t>
  </si>
  <si>
    <t>236.740.3761x37918</t>
  </si>
  <si>
    <t>Kyle Mcdaniel</t>
  </si>
  <si>
    <t>kyle.mcdaniel683@student.university.edu</t>
  </si>
  <si>
    <t>Mallory Ware</t>
  </si>
  <si>
    <t>Mallory</t>
  </si>
  <si>
    <t>Ware</t>
  </si>
  <si>
    <t>mallory.ware697@student.university.edu</t>
  </si>
  <si>
    <t>(503)344-6945x964</t>
  </si>
  <si>
    <t>Kyle Clarke</t>
  </si>
  <si>
    <t>kyle.clarke734@student.university.edu</t>
  </si>
  <si>
    <t>(688)332-7532x7352</t>
  </si>
  <si>
    <t>Brittany Garza</t>
  </si>
  <si>
    <t>Garza</t>
  </si>
  <si>
    <t>brittany.garza666@student.university.edu</t>
  </si>
  <si>
    <t>893-258-8953</t>
  </si>
  <si>
    <t>Joshua Rubio</t>
  </si>
  <si>
    <t>joshua.rubio457@student.university.edu</t>
  </si>
  <si>
    <t>241.520.9481x813</t>
  </si>
  <si>
    <t>Erin Jones</t>
  </si>
  <si>
    <t>erin.jones743@student.university.edu</t>
  </si>
  <si>
    <t>Diana Hays</t>
  </si>
  <si>
    <t>Hays</t>
  </si>
  <si>
    <t>diana.hays100@student.university.edu</t>
  </si>
  <si>
    <t>+1-891-221-6558x5239</t>
  </si>
  <si>
    <t>Danny Burton</t>
  </si>
  <si>
    <t>Danny</t>
  </si>
  <si>
    <t>danny.burton811@student.university.edu</t>
  </si>
  <si>
    <t>270-371-3984x82285</t>
  </si>
  <si>
    <t>Brandi Velazquez</t>
  </si>
  <si>
    <t>Brandi</t>
  </si>
  <si>
    <t>brandi.velazquez991@student.university.edu</t>
  </si>
  <si>
    <t>(423)356-1781x703</t>
  </si>
  <si>
    <t>Donald Schneider</t>
  </si>
  <si>
    <t>donald.schneider507@student.university.edu</t>
  </si>
  <si>
    <t>001-508-864-0355x338</t>
  </si>
  <si>
    <t>Jane Smith</t>
  </si>
  <si>
    <t>Jane</t>
  </si>
  <si>
    <t>jane.smith279@student.university.edu</t>
  </si>
  <si>
    <t>001-736-473-0371x837</t>
  </si>
  <si>
    <t>Alexis Robinson</t>
  </si>
  <si>
    <t>alexis.robinson617@student.university.edu</t>
  </si>
  <si>
    <t>(337)415-3988x5472</t>
  </si>
  <si>
    <t>Richard Navarro</t>
  </si>
  <si>
    <t>Navarro</t>
  </si>
  <si>
    <t>richard.navarro731@student.university.edu</t>
  </si>
  <si>
    <t>(886)553-6945x5158</t>
  </si>
  <si>
    <t>Juan Carroll</t>
  </si>
  <si>
    <t>Juan</t>
  </si>
  <si>
    <t>juan.carroll789@student.university.edu</t>
  </si>
  <si>
    <t>(728)796-9645x46553</t>
  </si>
  <si>
    <t>Robert Martinez</t>
  </si>
  <si>
    <t>robert.martinez175@student.university.edu</t>
  </si>
  <si>
    <t>502.496.6706x625</t>
  </si>
  <si>
    <t>Elizabeth Stone</t>
  </si>
  <si>
    <t>elizabeth.stone973@student.university.edu</t>
  </si>
  <si>
    <t>(405)805-3766x60811</t>
  </si>
  <si>
    <t>Lisa Watkins</t>
  </si>
  <si>
    <t>lisa.watkins712@student.university.edu</t>
  </si>
  <si>
    <t>001-266-573-4595x764</t>
  </si>
  <si>
    <t>Leroy Johnson</t>
  </si>
  <si>
    <t>Leroy</t>
  </si>
  <si>
    <t>leroy.johnson361@student.university.edu</t>
  </si>
  <si>
    <t>(579)514-5608</t>
  </si>
  <si>
    <t>Amber Snyder</t>
  </si>
  <si>
    <t>amber.snyder610@student.university.edu</t>
  </si>
  <si>
    <t>Natalie Graham</t>
  </si>
  <si>
    <t>Graham</t>
  </si>
  <si>
    <t>natalie.graham673@student.university.edu</t>
  </si>
  <si>
    <t>001-772-929-8120x995</t>
  </si>
  <si>
    <t>NULL</t>
  </si>
  <si>
    <t>Monica Fox</t>
  </si>
  <si>
    <t>Fox</t>
  </si>
  <si>
    <t>monica.fox340@student.university.edu</t>
  </si>
  <si>
    <t>001-247-781-8913x718</t>
  </si>
  <si>
    <t>Jessica Harmon</t>
  </si>
  <si>
    <t>jessica.harmon720@student.university.edu</t>
  </si>
  <si>
    <t>397-485-7585</t>
  </si>
  <si>
    <t>Barbara Giles</t>
  </si>
  <si>
    <t>Giles</t>
  </si>
  <si>
    <t>barbara.giles923@student.university.edu</t>
  </si>
  <si>
    <t>914.321.7518</t>
  </si>
  <si>
    <t>Michael Morse</t>
  </si>
  <si>
    <t>Morse</t>
  </si>
  <si>
    <t>michael.morse225@student.university.edu</t>
  </si>
  <si>
    <t>(828)685-1587</t>
  </si>
  <si>
    <t>Diana Jones</t>
  </si>
  <si>
    <t>diana.jones12@student.university.edu</t>
  </si>
  <si>
    <t>001-345-886-8501x429</t>
  </si>
  <si>
    <t>Alexander Harris</t>
  </si>
  <si>
    <t>alexander.harris677@student.university.edu</t>
  </si>
  <si>
    <t>001-967-882-7411</t>
  </si>
  <si>
    <t>Wayne Gonzales</t>
  </si>
  <si>
    <t>Wayne</t>
  </si>
  <si>
    <t>wayne.gonzales412@student.university.edu</t>
  </si>
  <si>
    <t>690-478-5158x673</t>
  </si>
  <si>
    <t>Rachel Irwin</t>
  </si>
  <si>
    <t>rachel.irwin589@student.university.edu</t>
  </si>
  <si>
    <t>403.306.4421</t>
  </si>
  <si>
    <t>Ashley Brown</t>
  </si>
  <si>
    <t>ashley.brown57@student.university.edu</t>
  </si>
  <si>
    <t>958.291.7839x084</t>
  </si>
  <si>
    <t>Sharon Tucker</t>
  </si>
  <si>
    <t>sharon.tucker246@student.university.edu</t>
  </si>
  <si>
    <t>490.482.7231x8432</t>
  </si>
  <si>
    <t>Randy Roach</t>
  </si>
  <si>
    <t>Roach</t>
  </si>
  <si>
    <t>randy.roach855@student.university.edu</t>
  </si>
  <si>
    <t>924-673-1072x0113</t>
  </si>
  <si>
    <t>Lee Barker</t>
  </si>
  <si>
    <t>Barker</t>
  </si>
  <si>
    <t>lee.barker706@student.university.edu</t>
  </si>
  <si>
    <t>(320)344-8515x79197</t>
  </si>
  <si>
    <t>Vanessa Miller</t>
  </si>
  <si>
    <t>vanessa.miller257@student.university.edu</t>
  </si>
  <si>
    <t>665-766-9380x118</t>
  </si>
  <si>
    <t>Mark Davenport</t>
  </si>
  <si>
    <t>mark.davenport163@student.university.edu</t>
  </si>
  <si>
    <t>+1-614-463-0316x1799</t>
  </si>
  <si>
    <t>Daniel Wood</t>
  </si>
  <si>
    <t>daniel.wood739@student.university.edu</t>
  </si>
  <si>
    <t>(644)829-4774x222</t>
  </si>
  <si>
    <t>Brian Martin</t>
  </si>
  <si>
    <t>brian.martin870@student.university.edu</t>
  </si>
  <si>
    <t>(799)307-7560</t>
  </si>
  <si>
    <t>Elizabeth Powell</t>
  </si>
  <si>
    <t>Powell</t>
  </si>
  <si>
    <t>elizabeth.powell35@student.university.edu</t>
  </si>
  <si>
    <t>288-377-1906x594</t>
  </si>
  <si>
    <t>Carolyn Potts</t>
  </si>
  <si>
    <t>Potts</t>
  </si>
  <si>
    <t>carolyn.potts541@student.university.edu</t>
  </si>
  <si>
    <t>(425)488-9679x2408</t>
  </si>
  <si>
    <t>Michael Thompson</t>
  </si>
  <si>
    <t>michael.thompson442@student.university.edu</t>
  </si>
  <si>
    <t>701.256.1931x83745</t>
  </si>
  <si>
    <t>Cynthia Mitchell</t>
  </si>
  <si>
    <t>cynthia.mitchell239@student.university.edu</t>
  </si>
  <si>
    <t>435-777-5949</t>
  </si>
  <si>
    <t>Aaron Harrell</t>
  </si>
  <si>
    <t>Harrell</t>
  </si>
  <si>
    <t>aaron.harrell520@student.university.edu</t>
  </si>
  <si>
    <t>(820)591-8435x7978</t>
  </si>
  <si>
    <t>Nicholas Johnston</t>
  </si>
  <si>
    <t>Johnston</t>
  </si>
  <si>
    <t>nicholas.johnston294@student.university.edu</t>
  </si>
  <si>
    <t>205-856-6139</t>
  </si>
  <si>
    <t>Valerie Schmidt</t>
  </si>
  <si>
    <t>Valerie</t>
  </si>
  <si>
    <t>Schmidt</t>
  </si>
  <si>
    <t>valerie.schmidt50@student.university.edu</t>
  </si>
  <si>
    <t>724-374-5171x236</t>
  </si>
  <si>
    <t>Meredith Martin</t>
  </si>
  <si>
    <t>Meredith</t>
  </si>
  <si>
    <t>meredith.martin164@student.university.edu</t>
  </si>
  <si>
    <t>(688)342-5241x056</t>
  </si>
  <si>
    <t>Kevin Christian</t>
  </si>
  <si>
    <t>kevin.christian582@student.university.edu</t>
  </si>
  <si>
    <t>722-971-1332x2889</t>
  </si>
  <si>
    <t>Christina Sanchez</t>
  </si>
  <si>
    <t>christina.sanchez943@student.university.edu</t>
  </si>
  <si>
    <t>Michael Weber</t>
  </si>
  <si>
    <t>Weber</t>
  </si>
  <si>
    <t>michael.weber75@student.university.edu</t>
  </si>
  <si>
    <t>(970)565-3794</t>
  </si>
  <si>
    <t>Scott Carroll</t>
  </si>
  <si>
    <t>scott.carroll161@student.university.edu</t>
  </si>
  <si>
    <t>(282)871-0910x430</t>
  </si>
  <si>
    <t>Tina Rodriguez</t>
  </si>
  <si>
    <t>Tina</t>
  </si>
  <si>
    <t>tina.rodriguez374@student.university.edu</t>
  </si>
  <si>
    <t>912-772-3804x682</t>
  </si>
  <si>
    <t>Dominic Wallace</t>
  </si>
  <si>
    <t>Dominic</t>
  </si>
  <si>
    <t>Wallace</t>
  </si>
  <si>
    <t>dominic.wallace273@student.university.edu</t>
  </si>
  <si>
    <t>001-982-599-7968x845</t>
  </si>
  <si>
    <t>Rose Medina</t>
  </si>
  <si>
    <t>Medina</t>
  </si>
  <si>
    <t>rose.medina614@student.university.edu</t>
  </si>
  <si>
    <t>Robert Golden</t>
  </si>
  <si>
    <t>Golden</t>
  </si>
  <si>
    <t>robert.golden634@student.university.edu</t>
  </si>
  <si>
    <t>701.204.1591x497</t>
  </si>
  <si>
    <t>Lisa Hamilton</t>
  </si>
  <si>
    <t>lisa.hamilton431@student.university.edu</t>
  </si>
  <si>
    <t>(810)385-7327x88147</t>
  </si>
  <si>
    <t>Derrick Perkins</t>
  </si>
  <si>
    <t>Derrick</t>
  </si>
  <si>
    <t>derrick.perkins564@student.university.edu</t>
  </si>
  <si>
    <t>001-462-573-6527x172</t>
  </si>
  <si>
    <t>Mary Fernandez</t>
  </si>
  <si>
    <t>Fernandez</t>
  </si>
  <si>
    <t>mary.fernandez957@student.university.edu</t>
  </si>
  <si>
    <t>278-812-2489x0567</t>
  </si>
  <si>
    <t>Nathan Sanchez</t>
  </si>
  <si>
    <t>nathan.sanchez509@student.university.edu</t>
  </si>
  <si>
    <t>(993)344-9734</t>
  </si>
  <si>
    <t>Elizabeth Stewart</t>
  </si>
  <si>
    <t>elizabeth.stewart6@student.university.edu</t>
  </si>
  <si>
    <t>001-310-579-9118x384</t>
  </si>
  <si>
    <t>Cassandra Harrell</t>
  </si>
  <si>
    <t>cassandra.harrell198@student.university.edu</t>
  </si>
  <si>
    <t>001-885-252-4140</t>
  </si>
  <si>
    <t>Ashley Donaldson</t>
  </si>
  <si>
    <t>Donaldson</t>
  </si>
  <si>
    <t>ashley.donaldson685@student.university.edu</t>
  </si>
  <si>
    <t>+1-352-298-0061x558</t>
  </si>
  <si>
    <t>James Anderson</t>
  </si>
  <si>
    <t>james.anderson117@student.university.edu</t>
  </si>
  <si>
    <t>500.547.8686</t>
  </si>
  <si>
    <t>Kevin Stephenson</t>
  </si>
  <si>
    <t>Stephenson</t>
  </si>
  <si>
    <t>kevin.stephenson967@student.university.edu</t>
  </si>
  <si>
    <t>963-321-1197</t>
  </si>
  <si>
    <t>Rebecca Haynes</t>
  </si>
  <si>
    <t>rebecca.haynes171@student.university.edu</t>
  </si>
  <si>
    <t>001-455-974-3132x912</t>
  </si>
  <si>
    <t>Edwin Reyes</t>
  </si>
  <si>
    <t>Edwin</t>
  </si>
  <si>
    <t>edwin.reyes158@student.university.edu</t>
  </si>
  <si>
    <t>001-922-518-9092x753</t>
  </si>
  <si>
    <t>Monica Wilson</t>
  </si>
  <si>
    <t>monica.wilson742@student.university.edu</t>
  </si>
  <si>
    <t>757.279.0833</t>
  </si>
  <si>
    <t>Alyssa Blackwell</t>
  </si>
  <si>
    <t>Blackwell</t>
  </si>
  <si>
    <t>alyssa.blackwell717@student.university.edu</t>
  </si>
  <si>
    <t>(835)355-8099</t>
  </si>
  <si>
    <t>Vanessa Patel</t>
  </si>
  <si>
    <t>vanessa.patel878@student.university.edu</t>
  </si>
  <si>
    <t>+1-514-744-4983x553</t>
  </si>
  <si>
    <t>Amy Mclaughlin</t>
  </si>
  <si>
    <t>Mclaughlin</t>
  </si>
  <si>
    <t>amy.mclaughlin952@student.university.edu</t>
  </si>
  <si>
    <t>Gary Miller</t>
  </si>
  <si>
    <t>gary.miller907@student.university.edu</t>
  </si>
  <si>
    <t>(497)815-0666</t>
  </si>
  <si>
    <t>Ashley Scott</t>
  </si>
  <si>
    <t>ashley.scott232@student.university.edu</t>
  </si>
  <si>
    <t>001-340-385-8877x043</t>
  </si>
  <si>
    <t>Tonya Garrison</t>
  </si>
  <si>
    <t>tonya.garrison969@student.university.edu</t>
  </si>
  <si>
    <t>001-488-200-2300x915</t>
  </si>
  <si>
    <t>Timothy Morgan</t>
  </si>
  <si>
    <t>timothy.morgan459@student.university.edu</t>
  </si>
  <si>
    <t>(360)485-6411</t>
  </si>
  <si>
    <t>Jasmine Schroeder</t>
  </si>
  <si>
    <t>Jasmine</t>
  </si>
  <si>
    <t>Schroeder</t>
  </si>
  <si>
    <t>jasmine.schroeder72@student.university.edu</t>
  </si>
  <si>
    <t>+1-390-451-5186x4492</t>
  </si>
  <si>
    <t>Phillip Banks</t>
  </si>
  <si>
    <t>Phillip</t>
  </si>
  <si>
    <t>Banks</t>
  </si>
  <si>
    <t>phillip.banks667@student.university.edu</t>
  </si>
  <si>
    <t>239-989-8681</t>
  </si>
  <si>
    <t>Edwin Brown</t>
  </si>
  <si>
    <t>edwin.brown205@student.university.edu</t>
  </si>
  <si>
    <t>(423)356-9725</t>
  </si>
  <si>
    <t>Kelly Wallace</t>
  </si>
  <si>
    <t>kelly.wallace157@student.university.edu</t>
  </si>
  <si>
    <t>Philip Brown</t>
  </si>
  <si>
    <t>philip.brown692@student.university.edu</t>
  </si>
  <si>
    <t>546.945.2059x9604</t>
  </si>
  <si>
    <t>Joshua Rogers</t>
  </si>
  <si>
    <t>joshua.rogers322@student.university.edu</t>
  </si>
  <si>
    <t>(408)649-5880x39551</t>
  </si>
  <si>
    <t>Sean Barnes</t>
  </si>
  <si>
    <t>sean.barnes97@student.university.edu</t>
  </si>
  <si>
    <t>(959)653-2787</t>
  </si>
  <si>
    <t>Morgan Mills</t>
  </si>
  <si>
    <t>morgan.mills325@student.university.edu</t>
  </si>
  <si>
    <t>001-252-318-2307x681</t>
  </si>
  <si>
    <t>Kayla Thomas</t>
  </si>
  <si>
    <t>kayla.thomas774@student.university.edu</t>
  </si>
  <si>
    <t>+1-530-435-8929x8808</t>
  </si>
  <si>
    <t>Maria Chase</t>
  </si>
  <si>
    <t>maria.chase611@student.university.edu</t>
  </si>
  <si>
    <t>Colleen Herman</t>
  </si>
  <si>
    <t>Colleen</t>
  </si>
  <si>
    <t>Herman</t>
  </si>
  <si>
    <t>colleen.herman904@student.university.edu</t>
  </si>
  <si>
    <t>(671)717-5957</t>
  </si>
  <si>
    <t>Darlene Webster</t>
  </si>
  <si>
    <t>Webster</t>
  </si>
  <si>
    <t>darlene.webster832@student.university.edu</t>
  </si>
  <si>
    <t>901-275-0961</t>
  </si>
  <si>
    <t>Melissa Bradshaw</t>
  </si>
  <si>
    <t>Bradshaw</t>
  </si>
  <si>
    <t>melissa.bradshaw34@student.university.edu</t>
  </si>
  <si>
    <t>+1-693-661-8324x2102</t>
  </si>
  <si>
    <t>Wendy Neal</t>
  </si>
  <si>
    <t>Wendy</t>
  </si>
  <si>
    <t>Neal</t>
  </si>
  <si>
    <t>wendy.neal300@student.university.edu</t>
  </si>
  <si>
    <t>+1-906-298-0420x4394</t>
  </si>
  <si>
    <t>Christopher Gutierrez</t>
  </si>
  <si>
    <t>Gutierrez</t>
  </si>
  <si>
    <t>christopher.gutierrez185@student.university.edu</t>
  </si>
  <si>
    <t>(258)761-7932x7104</t>
  </si>
  <si>
    <t>Jessica Golden</t>
  </si>
  <si>
    <t>jessica.golden887@student.university.edu</t>
  </si>
  <si>
    <t>850-478-9679x35219</t>
  </si>
  <si>
    <t>Logan Miller</t>
  </si>
  <si>
    <t>Logan</t>
  </si>
  <si>
    <t>logan.miller91@student.university.edu</t>
  </si>
  <si>
    <t>767-486-6912x5177</t>
  </si>
  <si>
    <t>Deborah Perez</t>
  </si>
  <si>
    <t>deborah.perez262@student.university.edu</t>
  </si>
  <si>
    <t>295.221.1179</t>
  </si>
  <si>
    <t>Rachael Medina</t>
  </si>
  <si>
    <t>Rachael</t>
  </si>
  <si>
    <t>rachael.medina463@student.university.edu</t>
  </si>
  <si>
    <t>(687)800-7942x00749</t>
  </si>
  <si>
    <t>Marissa Morris</t>
  </si>
  <si>
    <t>Marissa</t>
  </si>
  <si>
    <t>marissa.morris71@student.university.edu</t>
  </si>
  <si>
    <t>982.407.1518x2037</t>
  </si>
  <si>
    <t>Brittany Anderson</t>
  </si>
  <si>
    <t>brittany.anderson432@student.university.edu</t>
  </si>
  <si>
    <t>838-864-9081x0818</t>
  </si>
  <si>
    <t>Susan Moore</t>
  </si>
  <si>
    <t>susan.moore444@student.university.edu</t>
  </si>
  <si>
    <t>278-571-2552x1376</t>
  </si>
  <si>
    <t>Ariana Owen</t>
  </si>
  <si>
    <t>Owen</t>
  </si>
  <si>
    <t>ariana.owen599@student.university.edu</t>
  </si>
  <si>
    <t>419.264.8253x11060</t>
  </si>
  <si>
    <t>Maria Ross</t>
  </si>
  <si>
    <t>maria.ross962@student.university.edu</t>
  </si>
  <si>
    <t>621.826.9428</t>
  </si>
  <si>
    <t>Keith Cervantes</t>
  </si>
  <si>
    <t>Cervantes</t>
  </si>
  <si>
    <t>keith.cervantes576@student.university.edu</t>
  </si>
  <si>
    <t>(927)228-4765</t>
  </si>
  <si>
    <t>Robert Smith</t>
  </si>
  <si>
    <t>robert.smith843@student.university.edu</t>
  </si>
  <si>
    <t>832-440-0615x727</t>
  </si>
  <si>
    <t>Kevin Silva</t>
  </si>
  <si>
    <t>Silva</t>
  </si>
  <si>
    <t>kevin.silva642@student.university.edu</t>
  </si>
  <si>
    <t>(310)402-3117x7533</t>
  </si>
  <si>
    <t>Dale Dean</t>
  </si>
  <si>
    <t>Dale</t>
  </si>
  <si>
    <t>Dean</t>
  </si>
  <si>
    <t>dale.dean314@student.university.edu</t>
  </si>
  <si>
    <t>907-977-8097x339</t>
  </si>
  <si>
    <t>Heather Bowers</t>
  </si>
  <si>
    <t>heather.bowers230@student.university.edu</t>
  </si>
  <si>
    <t>583-528-1826x88615</t>
  </si>
  <si>
    <t>Gary Flores</t>
  </si>
  <si>
    <t>Flores</t>
  </si>
  <si>
    <t>gary.flores914@student.university.edu</t>
  </si>
  <si>
    <t>976.261.8943</t>
  </si>
  <si>
    <t>Lori Crawford</t>
  </si>
  <si>
    <t>Crawford</t>
  </si>
  <si>
    <t>lori.crawford165@student.university.edu</t>
  </si>
  <si>
    <t>250.279.2524x19138</t>
  </si>
  <si>
    <t>Ethan Villanueva</t>
  </si>
  <si>
    <t>Ethan</t>
  </si>
  <si>
    <t>Villanueva</t>
  </si>
  <si>
    <t>ethan.villanueva263@student.university.edu</t>
  </si>
  <si>
    <t>001-447-228-4639</t>
  </si>
  <si>
    <t>Kimberly Davis</t>
  </si>
  <si>
    <t>kimberly.davis773@student.university.edu</t>
  </si>
  <si>
    <t>411.884.2547x681</t>
  </si>
  <si>
    <t>Colin Golden</t>
  </si>
  <si>
    <t>Colin</t>
  </si>
  <si>
    <t>colin.golden118@student.university.edu</t>
  </si>
  <si>
    <t>001-210-569-0331x190</t>
  </si>
  <si>
    <t>Laura Butler</t>
  </si>
  <si>
    <t>laura.butler903@student.university.edu</t>
  </si>
  <si>
    <t>(268)694-3012</t>
  </si>
  <si>
    <t>Deanna Mcdonald</t>
  </si>
  <si>
    <t>Deanna</t>
  </si>
  <si>
    <t>Mcdonald</t>
  </si>
  <si>
    <t>deanna.mcdonald710@student.university.edu</t>
  </si>
  <si>
    <t>Nancy James</t>
  </si>
  <si>
    <t>nancy.james309@student.university.edu</t>
  </si>
  <si>
    <t>869-299-8808x17703</t>
  </si>
  <si>
    <t>Emily Lee</t>
  </si>
  <si>
    <t>emily.lee668@student.university.edu</t>
  </si>
  <si>
    <t>001-343-553-5375</t>
  </si>
  <si>
    <t>Jonathan Simon</t>
  </si>
  <si>
    <t>jonathan.simon339@student.university.edu</t>
  </si>
  <si>
    <t>001-384-968-9500x975</t>
  </si>
  <si>
    <t>Ashley Mendoza</t>
  </si>
  <si>
    <t>Mendoza</t>
  </si>
  <si>
    <t>ashley.mendoza372@student.university.edu</t>
  </si>
  <si>
    <t>001-993-935-5486x401</t>
  </si>
  <si>
    <t>Emily Fleming</t>
  </si>
  <si>
    <t>emily.fleming465@student.university.edu</t>
  </si>
  <si>
    <t>947-243-5537x95020</t>
  </si>
  <si>
    <t>Paul Howe</t>
  </si>
  <si>
    <t>Howe</t>
  </si>
  <si>
    <t>paul.howe424@student.university.edu</t>
  </si>
  <si>
    <t>249-548-5625x7287</t>
  </si>
  <si>
    <t>Bryan Walker</t>
  </si>
  <si>
    <t>bryan.walker813@student.university.edu</t>
  </si>
  <si>
    <t>+1-509-981-0796x4967</t>
  </si>
  <si>
    <t>Lisa Brock</t>
  </si>
  <si>
    <t>Brock</t>
  </si>
  <si>
    <t>lisa.brock137@student.university.edu</t>
  </si>
  <si>
    <t>775-669-2459x37526</t>
  </si>
  <si>
    <t>Anthony Russell</t>
  </si>
  <si>
    <t>anthony.russell554@student.university.edu</t>
  </si>
  <si>
    <t>733-656-7086x0414</t>
  </si>
  <si>
    <t>Christine Mercer</t>
  </si>
  <si>
    <t>Mercer</t>
  </si>
  <si>
    <t>christine.mercer729@student.university.edu</t>
  </si>
  <si>
    <t>(744)857-7029x929</t>
  </si>
  <si>
    <t>Robin Guerra</t>
  </si>
  <si>
    <t>Guerra</t>
  </si>
  <si>
    <t>robin.guerra805@student.university.edu</t>
  </si>
  <si>
    <t>(563)656-0229</t>
  </si>
  <si>
    <t>Walter Barrett</t>
  </si>
  <si>
    <t>walter.barrett515@student.university.edu</t>
  </si>
  <si>
    <t>(294)461-1952x4364</t>
  </si>
  <si>
    <t>Jonathan Davis</t>
  </si>
  <si>
    <t>jonathan.davis427@student.university.edu</t>
  </si>
  <si>
    <t>904-616-5915x20177</t>
  </si>
  <si>
    <t>Lindsay Sanchez</t>
  </si>
  <si>
    <t>Lindsay</t>
  </si>
  <si>
    <t>lindsay.sanchez315@student.university.edu</t>
  </si>
  <si>
    <t>Christopher Thomas</t>
  </si>
  <si>
    <t>christopher.thomas63@student.university.edu</t>
  </si>
  <si>
    <t>+1-661-720-1836x6752</t>
  </si>
  <si>
    <t>Ronald Mccarthy</t>
  </si>
  <si>
    <t>Mccarthy</t>
  </si>
  <si>
    <t>ronald.mccarthy716@student.university.edu</t>
  </si>
  <si>
    <t>001-716-925-2654x696</t>
  </si>
  <si>
    <t>Jamie Garcia</t>
  </si>
  <si>
    <t>jamie.garcia540@student.university.edu</t>
  </si>
  <si>
    <t>628-649-7185</t>
  </si>
  <si>
    <t>Antonio Beasley</t>
  </si>
  <si>
    <t>Antonio</t>
  </si>
  <si>
    <t>Beasley</t>
  </si>
  <si>
    <t>antonio.beasley452@student.university.edu</t>
  </si>
  <si>
    <t>937.815.8698x8649</t>
  </si>
  <si>
    <t>Maria Pratt</t>
  </si>
  <si>
    <t>Pratt</t>
  </si>
  <si>
    <t>maria.pratt349@student.university.edu</t>
  </si>
  <si>
    <t>(812)744-7174</t>
  </si>
  <si>
    <t>Christine Aguilar</t>
  </si>
  <si>
    <t>christine.aguilar849@student.university.edu</t>
  </si>
  <si>
    <t>Miranda Casey</t>
  </si>
  <si>
    <t>miranda.casey410@student.university.edu</t>
  </si>
  <si>
    <t>Michelle Thornton</t>
  </si>
  <si>
    <t>Thornton</t>
  </si>
  <si>
    <t>michelle.thornton704@student.university.edu</t>
  </si>
  <si>
    <t>(321)661-0705</t>
  </si>
  <si>
    <t>Heather Medina</t>
  </si>
  <si>
    <t>heather.medina536@student.university.edu</t>
  </si>
  <si>
    <t>410.530.3243</t>
  </si>
  <si>
    <t>Chelsea Clark</t>
  </si>
  <si>
    <t>chelsea.clark718@student.university.edu</t>
  </si>
  <si>
    <t>(415)462-6244x67046</t>
  </si>
  <si>
    <t>Ruth White</t>
  </si>
  <si>
    <t>Ruth</t>
  </si>
  <si>
    <t>ruth.white893@student.university.edu</t>
  </si>
  <si>
    <t>278-752-2823</t>
  </si>
  <si>
    <t>Samantha Nichols</t>
  </si>
  <si>
    <t>Nichols</t>
  </si>
  <si>
    <t>samantha.nichols562@student.university.edu</t>
  </si>
  <si>
    <t>Jessica Green</t>
  </si>
  <si>
    <t>jessica.green684@student.university.edu</t>
  </si>
  <si>
    <t>Douglas Hawkins</t>
  </si>
  <si>
    <t>Hawkins</t>
  </si>
  <si>
    <t>douglas.hawkins850@student.university.edu</t>
  </si>
  <si>
    <t>262.939.4535x46147</t>
  </si>
  <si>
    <t>Robert Adams</t>
  </si>
  <si>
    <t>Adams</t>
  </si>
  <si>
    <t>robert.adams129@student.university.edu</t>
  </si>
  <si>
    <t>(815)867-9334x1016</t>
  </si>
  <si>
    <t>Kayla Mccullough</t>
  </si>
  <si>
    <t>Mccullough</t>
  </si>
  <si>
    <t>kayla.mccullough152@student.university.edu</t>
  </si>
  <si>
    <t>726-504-2232</t>
  </si>
  <si>
    <t>Mary Patton</t>
  </si>
  <si>
    <t>Patton</t>
  </si>
  <si>
    <t>mary.patton661@student.university.edu</t>
  </si>
  <si>
    <t>001-990-214-9542x770</t>
  </si>
  <si>
    <t>Emily Hooper</t>
  </si>
  <si>
    <t>Hooper</t>
  </si>
  <si>
    <t>emily.hooper219@student.university.edu</t>
  </si>
  <si>
    <t>001-501-966-0880x199</t>
  </si>
  <si>
    <t>Teresa Garcia</t>
  </si>
  <si>
    <t>teresa.garcia687@student.university.edu</t>
  </si>
  <si>
    <t>(870)424-4033x0416</t>
  </si>
  <si>
    <t>Anthony Gray</t>
  </si>
  <si>
    <t>anthony.gray3@student.university.edu</t>
  </si>
  <si>
    <t>(247)746-8723x4309</t>
  </si>
  <si>
    <t>Eric Rojas</t>
  </si>
  <si>
    <t>Rojas</t>
  </si>
  <si>
    <t>eric.rojas506@student.university.edu</t>
  </si>
  <si>
    <t>001-539-910-2574x326</t>
  </si>
  <si>
    <t>Elizabeth Key</t>
  </si>
  <si>
    <t>Key</t>
  </si>
  <si>
    <t>elizabeth.key764@student.university.edu</t>
  </si>
  <si>
    <t>467-204-5023</t>
  </si>
  <si>
    <t>Kari Black</t>
  </si>
  <si>
    <t>kari.black196@student.university.edu</t>
  </si>
  <si>
    <t>(408)521-4862x890</t>
  </si>
  <si>
    <t>Stephen Mills</t>
  </si>
  <si>
    <t>stephen.mills545@student.university.edu</t>
  </si>
  <si>
    <t>921.852.8506</t>
  </si>
  <si>
    <t>Rodney Norris</t>
  </si>
  <si>
    <t>rodney.norris292@student.university.edu</t>
  </si>
  <si>
    <t>488-689-9210x752</t>
  </si>
  <si>
    <t>Daniel King</t>
  </si>
  <si>
    <t>daniel.king363@student.university.edu</t>
  </si>
  <si>
    <t>+1-370-510-8220x781</t>
  </si>
  <si>
    <t>Phillip Watkins</t>
  </si>
  <si>
    <t>phillip.watkins359@student.university.edu</t>
  </si>
  <si>
    <t>411-342-6258x27390</t>
  </si>
  <si>
    <t>Heather Mitchell</t>
  </si>
  <si>
    <t>heather.mitchell569@student.university.edu</t>
  </si>
  <si>
    <t>+1-761-372-1314x5195</t>
  </si>
  <si>
    <t>Joe Thomas</t>
  </si>
  <si>
    <t>Joe</t>
  </si>
  <si>
    <t>joe.thomas526@student.university.edu</t>
  </si>
  <si>
    <t>337-672-9420x9548</t>
  </si>
  <si>
    <t>Lori Knight</t>
  </si>
  <si>
    <t>Knight</t>
  </si>
  <si>
    <t>lori.knight852@student.university.edu</t>
  </si>
  <si>
    <t>738-904-0325x376</t>
  </si>
  <si>
    <t>Jennifer Howard</t>
  </si>
  <si>
    <t>jennifer.howard864@student.university.edu</t>
  </si>
  <si>
    <t>(209)945-6534x6997</t>
  </si>
  <si>
    <t>Carolyn Phillips</t>
  </si>
  <si>
    <t>carolyn.phillips584@student.university.edu</t>
  </si>
  <si>
    <t>649-955-1127</t>
  </si>
  <si>
    <t>Marie Reynolds</t>
  </si>
  <si>
    <t>marie.reynolds651@student.university.edu</t>
  </si>
  <si>
    <t>830-800-3896x0870</t>
  </si>
  <si>
    <t>Rachel Kelly</t>
  </si>
  <si>
    <t>rachel.kelly924@student.university.edu</t>
  </si>
  <si>
    <t>352-363-8409</t>
  </si>
  <si>
    <t>robert.mendez747@student.university.edu</t>
  </si>
  <si>
    <t>604.669.4725x878</t>
  </si>
  <si>
    <t>Anna Stanton</t>
  </si>
  <si>
    <t>Stanton</t>
  </si>
  <si>
    <t>anna.stanton154@student.university.edu</t>
  </si>
  <si>
    <t>+1-451-986-3637x4545</t>
  </si>
  <si>
    <t>Travis Strong</t>
  </si>
  <si>
    <t>Strong</t>
  </si>
  <si>
    <t>travis.strong650@student.university.edu</t>
  </si>
  <si>
    <t>001-205-316-9918x724</t>
  </si>
  <si>
    <t>Michael Johnson</t>
  </si>
  <si>
    <t>michael.johnson143@student.university.edu</t>
  </si>
  <si>
    <t>412-438-2825x86736</t>
  </si>
  <si>
    <t>Brittany Park</t>
  </si>
  <si>
    <t>Park</t>
  </si>
  <si>
    <t>brittany.park437@student.university.edu</t>
  </si>
  <si>
    <t>370.879.3349x6050</t>
  </si>
  <si>
    <t>Cassandra Moreno</t>
  </si>
  <si>
    <t>cassandra.moreno570@student.university.edu</t>
  </si>
  <si>
    <t>+1-626-324-9451x475</t>
  </si>
  <si>
    <t>Katherine Kelly</t>
  </si>
  <si>
    <t>katherine.kelly27@student.university.edu</t>
  </si>
  <si>
    <t>954-594-8083x136</t>
  </si>
  <si>
    <t>Alison Myers</t>
  </si>
  <si>
    <t>alison.myers836@student.university.edu</t>
  </si>
  <si>
    <t>784-333-7976x6270</t>
  </si>
  <si>
    <t>Robin Sawyer</t>
  </si>
  <si>
    <t>Sawyer</t>
  </si>
  <si>
    <t>robin.sawyer214@student.university.edu</t>
  </si>
  <si>
    <t>655-361-1002x2557</t>
  </si>
  <si>
    <t>Valerie Nielsen</t>
  </si>
  <si>
    <t>valerie.nielsen643@student.university.edu</t>
  </si>
  <si>
    <t>Daniel Sawyer</t>
  </si>
  <si>
    <t>daniel.sawyer587@student.university.edu</t>
  </si>
  <si>
    <t>+1-815-777-8711x2166</t>
  </si>
  <si>
    <t>Alexander Gonzalez</t>
  </si>
  <si>
    <t>alexander.gonzalez493@student.university.edu</t>
  </si>
  <si>
    <t>(743)834-8170x5802</t>
  </si>
  <si>
    <t>christopher.walters775@student.university.edu</t>
  </si>
  <si>
    <t>+1-832-989-6340x646</t>
  </si>
  <si>
    <t>Tommy Johnson</t>
  </si>
  <si>
    <t>tommy.johnson398@student.university.edu</t>
  </si>
  <si>
    <t>001-301-370-2695x249</t>
  </si>
  <si>
    <t>Anne Scott</t>
  </si>
  <si>
    <t>anne.scott945@student.university.edu</t>
  </si>
  <si>
    <t>001-561-349-7315</t>
  </si>
  <si>
    <t>Tanya Gibson</t>
  </si>
  <si>
    <t>tanya.gibson365@student.university.edu</t>
  </si>
  <si>
    <t>(652)473-5435x2090</t>
  </si>
  <si>
    <t>Levi Norton</t>
  </si>
  <si>
    <t>Levi</t>
  </si>
  <si>
    <t>levi.norton951@student.university.edu</t>
  </si>
  <si>
    <t>354-393-0364x687</t>
  </si>
  <si>
    <t>Bethany Saunders</t>
  </si>
  <si>
    <t>Saunders</t>
  </si>
  <si>
    <t>bethany.saunders572@student.university.edu</t>
  </si>
  <si>
    <t>(957)967-6952x366</t>
  </si>
  <si>
    <t>Priscilla Jackson</t>
  </si>
  <si>
    <t>Priscilla</t>
  </si>
  <si>
    <t>priscilla.jackson785@student.university.edu</t>
  </si>
  <si>
    <t>915.459.8354x1165</t>
  </si>
  <si>
    <t>Patricia Carrillo</t>
  </si>
  <si>
    <t>patricia.carrillo942@student.university.edu</t>
  </si>
  <si>
    <t>(895)707-3214x64493</t>
  </si>
  <si>
    <t>David Wilcox</t>
  </si>
  <si>
    <t>Wilcox</t>
  </si>
  <si>
    <t>david.wilcox409@student.university.edu</t>
  </si>
  <si>
    <t>678.466.0324x204</t>
  </si>
  <si>
    <t>Corey Cortez</t>
  </si>
  <si>
    <t>Corey</t>
  </si>
  <si>
    <t>corey.cortez355@student.university.edu</t>
  </si>
  <si>
    <t>001-937-261-8478</t>
  </si>
  <si>
    <t>Bradley Williams</t>
  </si>
  <si>
    <t>bradley.williams64@student.university.edu</t>
  </si>
  <si>
    <t>(990)814-7679</t>
  </si>
  <si>
    <t>Teresa Wilson</t>
  </si>
  <si>
    <t>teresa.wilson908@student.university.edu</t>
  </si>
  <si>
    <t>677.569.3663</t>
  </si>
  <si>
    <t>Melissa Conway</t>
  </si>
  <si>
    <t>melissa.conway352@student.university.edu</t>
  </si>
  <si>
    <t>001-508-277-6618</t>
  </si>
  <si>
    <t>Stephanie Trujillo</t>
  </si>
  <si>
    <t>Trujillo</t>
  </si>
  <si>
    <t>stephanie.trujillo202@student.university.edu</t>
  </si>
  <si>
    <t>+1-565-720-7446x660</t>
  </si>
  <si>
    <t>Ronald Turner</t>
  </si>
  <si>
    <t>ronald.turner625@student.university.edu</t>
  </si>
  <si>
    <t>289-571-4802x63257</t>
  </si>
  <si>
    <t>James Leonard</t>
  </si>
  <si>
    <t>Leonard</t>
  </si>
  <si>
    <t>james.leonard721@student.university.edu</t>
  </si>
  <si>
    <t>(805)294-3897</t>
  </si>
  <si>
    <t>Jon Roy</t>
  </si>
  <si>
    <t>Jon</t>
  </si>
  <si>
    <t>jon.roy658@student.university.edu</t>
  </si>
  <si>
    <t>(770)233-6268x0408</t>
  </si>
  <si>
    <t>Christopher Garcia</t>
  </si>
  <si>
    <t>christopher.garcia799@student.university.edu</t>
  </si>
  <si>
    <t>392.395.7867</t>
  </si>
  <si>
    <t>Betty Norris</t>
  </si>
  <si>
    <t>Betty</t>
  </si>
  <si>
    <t>betty.norris807@student.university.edu</t>
  </si>
  <si>
    <t>411-627-1285</t>
  </si>
  <si>
    <t>Morgan Cowan</t>
  </si>
  <si>
    <t>Cowan</t>
  </si>
  <si>
    <t>morgan.cowan538@student.university.edu</t>
  </si>
  <si>
    <t>001-235-598-9262x566</t>
  </si>
  <si>
    <t>Gerald Mcdonald</t>
  </si>
  <si>
    <t>gerald.mcdonald423@student.university.edu</t>
  </si>
  <si>
    <t>458-962-4150</t>
  </si>
  <si>
    <t>Brandon Cook</t>
  </si>
  <si>
    <t>brandon.cook932@student.university.edu</t>
  </si>
  <si>
    <t>001-302-611-9017x075</t>
  </si>
  <si>
    <t>Gregory Flores</t>
  </si>
  <si>
    <t>Gregory</t>
  </si>
  <si>
    <t>gregory.flores184@student.university.edu</t>
  </si>
  <si>
    <t>+1-215-870-4331x5410</t>
  </si>
  <si>
    <t>Jack Torres</t>
  </si>
  <si>
    <t>Torres</t>
  </si>
  <si>
    <t>jack.torres556@student.university.edu</t>
  </si>
  <si>
    <t>708-525-5598</t>
  </si>
  <si>
    <t>Katie Fisher</t>
  </si>
  <si>
    <t>Katie</t>
  </si>
  <si>
    <t>katie.fisher713@student.university.edu</t>
  </si>
  <si>
    <t>001-449-469-0282x498</t>
  </si>
  <si>
    <t>Robert Morrow</t>
  </si>
  <si>
    <t>Morrow</t>
  </si>
  <si>
    <t>robert.morrow255@student.university.edu</t>
  </si>
  <si>
    <t>696.211.4351x9066</t>
  </si>
  <si>
    <t>Mark Bond</t>
  </si>
  <si>
    <t>Bond</t>
  </si>
  <si>
    <t>mark.bond603@student.university.edu</t>
  </si>
  <si>
    <t>655-379-9802</t>
  </si>
  <si>
    <t>Elizabeth Austin</t>
  </si>
  <si>
    <t>elizabeth.austin496@student.university.edu</t>
  </si>
  <si>
    <t>(363)829-6762</t>
  </si>
  <si>
    <t>Adam Murphy</t>
  </si>
  <si>
    <t>adam.murphy797@student.university.edu</t>
  </si>
  <si>
    <t>709-395-1239x7283</t>
  </si>
  <si>
    <t>Matthew Roberts</t>
  </si>
  <si>
    <t>matthew.roberts921@student.university.edu</t>
  </si>
  <si>
    <t>836-385-2830</t>
  </si>
  <si>
    <t>Ryan Johnson</t>
  </si>
  <si>
    <t>ryan.johnson955@student.university.edu</t>
  </si>
  <si>
    <t>001-900-700-1529x113</t>
  </si>
  <si>
    <t>Pamela Williams</t>
  </si>
  <si>
    <t>pamela.williams155@student.university.edu</t>
  </si>
  <si>
    <t>+1-670-312-7706x3242</t>
  </si>
  <si>
    <t>Robert Lucas</t>
  </si>
  <si>
    <t>robert.lucas579@student.university.edu</t>
  </si>
  <si>
    <t>541.611.5950</t>
  </si>
  <si>
    <t>Gregory Williams</t>
  </si>
  <si>
    <t>gregory.williams915@student.university.edu</t>
  </si>
  <si>
    <t>462-277-6572x565</t>
  </si>
  <si>
    <t>April Webb</t>
  </si>
  <si>
    <t>april.webb917@student.university.edu</t>
  </si>
  <si>
    <t>833.225.8486x89993</t>
  </si>
  <si>
    <t>Kevin Leonard</t>
  </si>
  <si>
    <t>kevin.leonard867@student.university.edu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</si>
</sst>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78575-469B-4056-A09B-8E28F9E1151A}">
  <dimension ref="A1:AV1001"/>
  <sheetViews>
    <sheetView tabSelected="1" workbookViewId="0">
      <selection activeCell="AE11" sqref="AE11"/>
    </sheetView>
  </sheetViews>
  <sheetFormatPr defaultRowHeight="15" x14ac:dyDescent="0.25"/>
  <cols>
    <col min="2" max="2" width="22.28515625" bestFit="1" customWidth="1"/>
    <col min="3" max="3" width="11.28515625" bestFit="1" customWidth="1"/>
    <col min="4" max="4" width="12.28515625" bestFit="1" customWidth="1"/>
    <col min="5" max="5" width="47.42578125" bestFit="1" customWidth="1"/>
    <col min="6" max="6" width="20.28515625" bestFit="1" customWidth="1"/>
    <col min="7" max="7" width="7.42578125" bestFit="1" customWidth="1"/>
    <col min="8" max="8" width="11.140625" bestFit="1" customWidth="1"/>
    <col min="28" max="28" width="16.42578125" bestFit="1" customWidth="1"/>
    <col min="29" max="29" width="17.85546875" bestFit="1" customWidth="1"/>
    <col min="30" max="30" width="17.28515625" bestFit="1" customWidth="1"/>
    <col min="31" max="31" width="8.140625" bestFit="1" customWidth="1"/>
    <col min="32" max="32" width="14.7109375" bestFit="1" customWidth="1"/>
    <col min="33" max="33" width="12.85546875" bestFit="1" customWidth="1"/>
    <col min="34" max="34" width="8.140625" bestFit="1" customWidth="1"/>
    <col min="35" max="35" width="14.7109375" bestFit="1" customWidth="1"/>
    <col min="36" max="36" width="12.85546875" bestFit="1" customWidth="1"/>
    <col min="37" max="37" width="8.140625" bestFit="1" customWidth="1"/>
    <col min="38" max="38" width="14.7109375" bestFit="1" customWidth="1"/>
    <col min="39" max="39" width="8.28515625" bestFit="1" customWidth="1"/>
    <col min="43" max="43" width="22.140625" bestFit="1" customWidth="1"/>
    <col min="44" max="44" width="25" bestFit="1" customWidth="1"/>
    <col min="45" max="45" width="24.7109375" bestFit="1" customWidth="1"/>
    <col min="46" max="46" width="20.8554687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972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s="1">
        <v>38065</v>
      </c>
      <c r="I2">
        <v>22</v>
      </c>
      <c r="J2">
        <v>2004</v>
      </c>
      <c r="K2" s="1">
        <v>45877</v>
      </c>
      <c r="L2">
        <v>2025</v>
      </c>
      <c r="M2" t="s">
        <v>54</v>
      </c>
      <c r="N2">
        <v>2</v>
      </c>
      <c r="O2" t="s">
        <v>55</v>
      </c>
      <c r="P2" t="s">
        <v>56</v>
      </c>
      <c r="Q2">
        <v>36</v>
      </c>
      <c r="R2">
        <v>1</v>
      </c>
      <c r="S2" t="s">
        <v>57</v>
      </c>
      <c r="T2" t="s">
        <v>58</v>
      </c>
      <c r="U2">
        <v>14</v>
      </c>
      <c r="V2">
        <v>15</v>
      </c>
      <c r="W2">
        <v>15</v>
      </c>
      <c r="X2">
        <v>13</v>
      </c>
      <c r="Y2">
        <v>3</v>
      </c>
      <c r="Z2">
        <v>13</v>
      </c>
      <c r="AA2">
        <v>2.8461530000000002</v>
      </c>
      <c r="AB2">
        <v>37</v>
      </c>
      <c r="AC2" t="s">
        <v>59</v>
      </c>
      <c r="AD2" t="s">
        <v>60</v>
      </c>
      <c r="AE2">
        <v>4</v>
      </c>
      <c r="AF2">
        <v>0</v>
      </c>
      <c r="AG2">
        <v>1</v>
      </c>
      <c r="AH2">
        <v>2</v>
      </c>
      <c r="AI2">
        <v>0</v>
      </c>
      <c r="AJ2">
        <v>1</v>
      </c>
      <c r="AK2">
        <v>4</v>
      </c>
      <c r="AL2">
        <v>0</v>
      </c>
      <c r="AM2">
        <v>1</v>
      </c>
      <c r="AN2">
        <v>0</v>
      </c>
      <c r="AO2">
        <v>13</v>
      </c>
      <c r="AP2">
        <v>0</v>
      </c>
      <c r="AQ2">
        <v>100</v>
      </c>
      <c r="AR2" s="2">
        <v>45781.145937499998</v>
      </c>
      <c r="AS2" s="2">
        <v>46084.205925925926</v>
      </c>
      <c r="AT2" t="s">
        <v>61</v>
      </c>
      <c r="AU2" t="s">
        <v>62</v>
      </c>
      <c r="AV2">
        <v>303</v>
      </c>
    </row>
    <row r="3" spans="1:48" x14ac:dyDescent="0.25">
      <c r="A3">
        <v>655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53</v>
      </c>
      <c r="H3" s="1">
        <v>39039</v>
      </c>
      <c r="I3">
        <v>20</v>
      </c>
      <c r="J3">
        <v>2006</v>
      </c>
      <c r="K3" s="1">
        <v>45655</v>
      </c>
      <c r="L3">
        <v>2024</v>
      </c>
      <c r="M3" t="s">
        <v>54</v>
      </c>
      <c r="N3">
        <v>3</v>
      </c>
      <c r="O3" t="s">
        <v>68</v>
      </c>
      <c r="P3" t="s">
        <v>69</v>
      </c>
      <c r="Q3">
        <v>60</v>
      </c>
      <c r="R3">
        <v>1</v>
      </c>
      <c r="S3" t="s">
        <v>57</v>
      </c>
      <c r="T3" t="s">
        <v>58</v>
      </c>
      <c r="U3">
        <v>13</v>
      </c>
      <c r="V3">
        <v>15</v>
      </c>
      <c r="W3">
        <v>15</v>
      </c>
      <c r="X3">
        <v>14</v>
      </c>
      <c r="Y3">
        <v>3</v>
      </c>
      <c r="Z3">
        <v>11</v>
      </c>
      <c r="AA3">
        <v>2</v>
      </c>
      <c r="AB3">
        <v>22</v>
      </c>
      <c r="AC3" t="s">
        <v>70</v>
      </c>
      <c r="AD3" t="s">
        <v>60</v>
      </c>
      <c r="AE3">
        <v>1</v>
      </c>
      <c r="AF3">
        <v>0</v>
      </c>
      <c r="AG3">
        <v>2</v>
      </c>
      <c r="AH3">
        <v>1</v>
      </c>
      <c r="AI3">
        <v>0</v>
      </c>
      <c r="AJ3">
        <v>0</v>
      </c>
      <c r="AK3">
        <v>3</v>
      </c>
      <c r="AL3">
        <v>0</v>
      </c>
      <c r="AM3">
        <v>2</v>
      </c>
      <c r="AN3">
        <v>2</v>
      </c>
      <c r="AO3">
        <v>9</v>
      </c>
      <c r="AP3">
        <v>2</v>
      </c>
      <c r="AQ3">
        <v>81.818181818181003</v>
      </c>
      <c r="AR3" s="2">
        <v>45728.409004629626</v>
      </c>
      <c r="AS3" s="2">
        <v>46082.797511574077</v>
      </c>
      <c r="AT3" t="s">
        <v>61</v>
      </c>
      <c r="AU3" t="s">
        <v>62</v>
      </c>
      <c r="AV3">
        <v>354</v>
      </c>
    </row>
    <row r="4" spans="1:48" x14ac:dyDescent="0.25">
      <c r="A4">
        <v>319</v>
      </c>
      <c r="B4" t="s">
        <v>71</v>
      </c>
      <c r="C4" t="s">
        <v>72</v>
      </c>
      <c r="D4" t="s">
        <v>73</v>
      </c>
      <c r="E4" t="s">
        <v>74</v>
      </c>
      <c r="F4" t="s">
        <v>75</v>
      </c>
      <c r="G4" t="s">
        <v>53</v>
      </c>
      <c r="H4" s="1">
        <v>38560</v>
      </c>
      <c r="I4">
        <v>21</v>
      </c>
      <c r="J4">
        <v>2005</v>
      </c>
      <c r="K4" s="1">
        <v>46084</v>
      </c>
      <c r="L4">
        <v>2026</v>
      </c>
      <c r="M4" t="s">
        <v>54</v>
      </c>
      <c r="N4">
        <v>12</v>
      </c>
      <c r="O4" t="s">
        <v>76</v>
      </c>
      <c r="P4" t="s">
        <v>69</v>
      </c>
      <c r="Q4">
        <v>60</v>
      </c>
      <c r="R4">
        <v>4</v>
      </c>
      <c r="S4" t="s">
        <v>77</v>
      </c>
      <c r="T4" t="s">
        <v>78</v>
      </c>
      <c r="U4">
        <v>15</v>
      </c>
      <c r="V4">
        <v>15</v>
      </c>
      <c r="W4">
        <v>15</v>
      </c>
      <c r="X4">
        <v>14</v>
      </c>
      <c r="Y4">
        <v>3</v>
      </c>
      <c r="Z4">
        <v>13</v>
      </c>
      <c r="AA4">
        <v>1.8846149999999999</v>
      </c>
      <c r="AB4">
        <v>24.5</v>
      </c>
      <c r="AC4" t="s">
        <v>70</v>
      </c>
      <c r="AD4" t="s">
        <v>60</v>
      </c>
      <c r="AE4">
        <v>1</v>
      </c>
      <c r="AF4">
        <v>0</v>
      </c>
      <c r="AG4">
        <v>2</v>
      </c>
      <c r="AH4">
        <v>2</v>
      </c>
      <c r="AI4">
        <v>0</v>
      </c>
      <c r="AJ4">
        <v>1</v>
      </c>
      <c r="AK4">
        <v>1</v>
      </c>
      <c r="AL4">
        <v>0</v>
      </c>
      <c r="AM4">
        <v>3</v>
      </c>
      <c r="AN4">
        <v>3</v>
      </c>
      <c r="AO4">
        <v>10</v>
      </c>
      <c r="AP4">
        <v>3</v>
      </c>
      <c r="AQ4">
        <v>76.923076923075996</v>
      </c>
      <c r="AR4" s="2">
        <v>45737.04074074074</v>
      </c>
      <c r="AS4" s="2">
        <v>46049.805625000001</v>
      </c>
      <c r="AT4" t="s">
        <v>61</v>
      </c>
      <c r="AU4" t="s">
        <v>62</v>
      </c>
      <c r="AV4">
        <v>312</v>
      </c>
    </row>
    <row r="5" spans="1:48" x14ac:dyDescent="0.25">
      <c r="A5">
        <v>519</v>
      </c>
      <c r="B5" t="s">
        <v>79</v>
      </c>
      <c r="C5" t="s">
        <v>80</v>
      </c>
      <c r="D5" t="s">
        <v>81</v>
      </c>
      <c r="E5" t="s">
        <v>82</v>
      </c>
      <c r="F5" t="s">
        <v>83</v>
      </c>
      <c r="G5" t="s">
        <v>53</v>
      </c>
      <c r="H5" s="1">
        <v>38909</v>
      </c>
      <c r="I5">
        <v>20</v>
      </c>
      <c r="J5">
        <v>2006</v>
      </c>
      <c r="K5" s="1">
        <v>45802</v>
      </c>
      <c r="L5">
        <v>2025</v>
      </c>
      <c r="M5" t="s">
        <v>54</v>
      </c>
      <c r="N5">
        <v>5</v>
      </c>
      <c r="O5" t="s">
        <v>84</v>
      </c>
      <c r="P5" t="s">
        <v>56</v>
      </c>
      <c r="Q5">
        <v>36</v>
      </c>
      <c r="R5">
        <v>2</v>
      </c>
      <c r="S5" t="s">
        <v>85</v>
      </c>
      <c r="T5" t="s">
        <v>86</v>
      </c>
      <c r="U5">
        <v>14</v>
      </c>
      <c r="V5">
        <v>15</v>
      </c>
      <c r="W5">
        <v>15</v>
      </c>
      <c r="X5">
        <v>15</v>
      </c>
      <c r="Y5">
        <v>3</v>
      </c>
      <c r="Z5">
        <v>15</v>
      </c>
      <c r="AA5">
        <v>2.2666659999999998</v>
      </c>
      <c r="AB5">
        <v>34</v>
      </c>
      <c r="AC5" t="s">
        <v>70</v>
      </c>
      <c r="AD5" t="s">
        <v>60</v>
      </c>
      <c r="AE5">
        <v>1</v>
      </c>
      <c r="AF5">
        <v>0</v>
      </c>
      <c r="AG5">
        <v>2</v>
      </c>
      <c r="AH5">
        <v>4</v>
      </c>
      <c r="AI5">
        <v>0</v>
      </c>
      <c r="AJ5">
        <v>2</v>
      </c>
      <c r="AK5">
        <v>2</v>
      </c>
      <c r="AL5">
        <v>0</v>
      </c>
      <c r="AM5">
        <v>2</v>
      </c>
      <c r="AN5">
        <v>2</v>
      </c>
      <c r="AO5">
        <v>13</v>
      </c>
      <c r="AP5">
        <v>2</v>
      </c>
      <c r="AQ5">
        <v>86.666666666666003</v>
      </c>
      <c r="AR5" s="2">
        <v>45734.699074074073</v>
      </c>
      <c r="AS5" s="2">
        <v>46077.465046296296</v>
      </c>
      <c r="AT5" t="s">
        <v>61</v>
      </c>
      <c r="AU5" t="s">
        <v>62</v>
      </c>
      <c r="AV5">
        <v>343</v>
      </c>
    </row>
    <row r="6" spans="1:48" x14ac:dyDescent="0.25">
      <c r="A6">
        <v>36</v>
      </c>
      <c r="B6" t="s">
        <v>87</v>
      </c>
      <c r="C6" t="s">
        <v>88</v>
      </c>
      <c r="D6" t="s">
        <v>89</v>
      </c>
      <c r="E6" t="s">
        <v>90</v>
      </c>
      <c r="F6">
        <v>4498027874</v>
      </c>
      <c r="G6" t="s">
        <v>53</v>
      </c>
      <c r="H6" s="1">
        <v>37777</v>
      </c>
      <c r="I6">
        <v>23</v>
      </c>
      <c r="J6">
        <v>2003</v>
      </c>
      <c r="K6" s="1">
        <v>45343</v>
      </c>
      <c r="L6">
        <v>2024</v>
      </c>
      <c r="M6" t="s">
        <v>54</v>
      </c>
      <c r="N6">
        <v>15</v>
      </c>
      <c r="O6" t="s">
        <v>91</v>
      </c>
      <c r="P6" t="s">
        <v>69</v>
      </c>
      <c r="Q6">
        <v>60</v>
      </c>
      <c r="R6">
        <v>5</v>
      </c>
      <c r="S6" t="s">
        <v>92</v>
      </c>
      <c r="T6" t="s">
        <v>93</v>
      </c>
      <c r="U6">
        <v>14</v>
      </c>
      <c r="V6">
        <v>15</v>
      </c>
      <c r="W6">
        <v>15</v>
      </c>
      <c r="X6">
        <v>12</v>
      </c>
      <c r="Y6">
        <v>3</v>
      </c>
      <c r="Z6">
        <v>12</v>
      </c>
      <c r="AA6">
        <v>2.6666660000000002</v>
      </c>
      <c r="AB6">
        <v>32</v>
      </c>
      <c r="AC6" t="s">
        <v>70</v>
      </c>
      <c r="AD6" t="s">
        <v>60</v>
      </c>
      <c r="AE6">
        <v>3</v>
      </c>
      <c r="AF6">
        <v>0</v>
      </c>
      <c r="AG6">
        <v>1</v>
      </c>
      <c r="AH6">
        <v>2</v>
      </c>
      <c r="AI6">
        <v>0</v>
      </c>
      <c r="AJ6">
        <v>3</v>
      </c>
      <c r="AK6">
        <v>1</v>
      </c>
      <c r="AL6">
        <v>0</v>
      </c>
      <c r="AM6">
        <v>1</v>
      </c>
      <c r="AN6">
        <v>1</v>
      </c>
      <c r="AO6">
        <v>11</v>
      </c>
      <c r="AP6">
        <v>1</v>
      </c>
      <c r="AQ6">
        <v>91.666666666666003</v>
      </c>
      <c r="AR6" s="2">
        <v>45787.714780092596</v>
      </c>
      <c r="AS6" s="2">
        <v>46065.474398148152</v>
      </c>
      <c r="AT6" t="s">
        <v>61</v>
      </c>
      <c r="AU6" t="s">
        <v>62</v>
      </c>
      <c r="AV6">
        <v>278</v>
      </c>
    </row>
    <row r="7" spans="1:48" x14ac:dyDescent="0.25">
      <c r="A7">
        <v>330</v>
      </c>
      <c r="B7" t="s">
        <v>94</v>
      </c>
      <c r="C7" t="s">
        <v>95</v>
      </c>
      <c r="D7" t="s">
        <v>96</v>
      </c>
      <c r="E7" t="s">
        <v>97</v>
      </c>
      <c r="F7" t="s">
        <v>98</v>
      </c>
      <c r="G7" t="s">
        <v>53</v>
      </c>
      <c r="H7" s="1">
        <v>37020</v>
      </c>
      <c r="I7">
        <v>25</v>
      </c>
      <c r="J7">
        <v>2001</v>
      </c>
      <c r="K7" s="1">
        <v>45138</v>
      </c>
      <c r="L7">
        <v>2023</v>
      </c>
      <c r="M7" t="s">
        <v>54</v>
      </c>
      <c r="N7">
        <v>3</v>
      </c>
      <c r="O7" t="s">
        <v>68</v>
      </c>
      <c r="P7" t="s">
        <v>69</v>
      </c>
      <c r="Q7">
        <v>60</v>
      </c>
      <c r="R7">
        <v>1</v>
      </c>
      <c r="S7" t="s">
        <v>57</v>
      </c>
      <c r="T7" t="s">
        <v>58</v>
      </c>
      <c r="U7">
        <v>13</v>
      </c>
      <c r="V7">
        <v>15</v>
      </c>
      <c r="W7">
        <v>15</v>
      </c>
      <c r="X7">
        <v>13</v>
      </c>
      <c r="Y7">
        <v>3</v>
      </c>
      <c r="Z7">
        <v>12</v>
      </c>
      <c r="AA7">
        <v>2.5833330000000001</v>
      </c>
      <c r="AB7">
        <v>31</v>
      </c>
      <c r="AC7" t="s">
        <v>59</v>
      </c>
      <c r="AD7" t="s">
        <v>60</v>
      </c>
      <c r="AE7">
        <v>2</v>
      </c>
      <c r="AF7">
        <v>0</v>
      </c>
      <c r="AG7">
        <v>1</v>
      </c>
      <c r="AH7">
        <v>4</v>
      </c>
      <c r="AI7">
        <v>0</v>
      </c>
      <c r="AJ7">
        <v>1</v>
      </c>
      <c r="AK7">
        <v>1</v>
      </c>
      <c r="AL7">
        <v>0</v>
      </c>
      <c r="AM7">
        <v>3</v>
      </c>
      <c r="AN7">
        <v>0</v>
      </c>
      <c r="AO7">
        <v>12</v>
      </c>
      <c r="AP7">
        <v>0</v>
      </c>
      <c r="AQ7">
        <v>100</v>
      </c>
      <c r="AR7" s="2">
        <v>45742.714594907404</v>
      </c>
      <c r="AS7" s="2">
        <v>46084.251122685186</v>
      </c>
      <c r="AT7" t="s">
        <v>61</v>
      </c>
      <c r="AU7" t="s">
        <v>62</v>
      </c>
      <c r="AV7">
        <v>342</v>
      </c>
    </row>
    <row r="8" spans="1:48" x14ac:dyDescent="0.25">
      <c r="A8">
        <v>505</v>
      </c>
      <c r="B8" t="s">
        <v>99</v>
      </c>
      <c r="C8" t="s">
        <v>100</v>
      </c>
      <c r="D8" t="s">
        <v>101</v>
      </c>
      <c r="E8" t="s">
        <v>102</v>
      </c>
      <c r="F8" t="s">
        <v>103</v>
      </c>
      <c r="G8" t="s">
        <v>104</v>
      </c>
      <c r="H8" s="1">
        <v>37690</v>
      </c>
      <c r="I8">
        <v>23</v>
      </c>
      <c r="J8">
        <v>2003</v>
      </c>
      <c r="K8" s="1">
        <v>45935</v>
      </c>
      <c r="L8">
        <v>2025</v>
      </c>
      <c r="M8" t="s">
        <v>54</v>
      </c>
      <c r="N8">
        <v>14</v>
      </c>
      <c r="O8" t="s">
        <v>105</v>
      </c>
      <c r="P8" t="s">
        <v>56</v>
      </c>
      <c r="Q8">
        <v>36</v>
      </c>
      <c r="R8">
        <v>5</v>
      </c>
      <c r="S8" t="s">
        <v>92</v>
      </c>
      <c r="T8" t="s">
        <v>93</v>
      </c>
      <c r="U8">
        <v>13</v>
      </c>
      <c r="V8">
        <v>15</v>
      </c>
      <c r="W8">
        <v>15</v>
      </c>
      <c r="X8">
        <v>13</v>
      </c>
      <c r="Y8">
        <v>3</v>
      </c>
      <c r="Z8">
        <v>11</v>
      </c>
      <c r="AA8">
        <v>2.318181</v>
      </c>
      <c r="AB8">
        <v>25.5</v>
      </c>
      <c r="AC8" t="s">
        <v>70</v>
      </c>
      <c r="AD8" t="s">
        <v>60</v>
      </c>
      <c r="AE8">
        <v>3</v>
      </c>
      <c r="AF8">
        <v>0</v>
      </c>
      <c r="AG8">
        <v>1</v>
      </c>
      <c r="AH8">
        <v>1</v>
      </c>
      <c r="AI8">
        <v>0</v>
      </c>
      <c r="AJ8">
        <v>2</v>
      </c>
      <c r="AK8">
        <v>1</v>
      </c>
      <c r="AL8">
        <v>0</v>
      </c>
      <c r="AM8">
        <v>0</v>
      </c>
      <c r="AN8">
        <v>3</v>
      </c>
      <c r="AO8">
        <v>8</v>
      </c>
      <c r="AP8">
        <v>3</v>
      </c>
      <c r="AQ8">
        <v>72.727272727271995</v>
      </c>
      <c r="AR8" s="2">
        <v>45727.905416666668</v>
      </c>
      <c r="AS8" s="2">
        <v>46047.254965277774</v>
      </c>
      <c r="AT8" t="s">
        <v>61</v>
      </c>
      <c r="AU8" t="s">
        <v>62</v>
      </c>
      <c r="AV8">
        <v>320</v>
      </c>
    </row>
    <row r="9" spans="1:48" x14ac:dyDescent="0.25">
      <c r="A9">
        <v>428</v>
      </c>
      <c r="B9" t="s">
        <v>106</v>
      </c>
      <c r="C9" t="s">
        <v>107</v>
      </c>
      <c r="D9" t="s">
        <v>108</v>
      </c>
      <c r="E9" t="s">
        <v>109</v>
      </c>
      <c r="F9" t="s">
        <v>110</v>
      </c>
      <c r="G9" t="s">
        <v>53</v>
      </c>
      <c r="H9" s="1">
        <v>36657</v>
      </c>
      <c r="I9">
        <v>26</v>
      </c>
      <c r="J9">
        <v>2000</v>
      </c>
      <c r="K9" s="1">
        <v>44885</v>
      </c>
      <c r="L9">
        <v>2022</v>
      </c>
      <c r="M9" t="s">
        <v>111</v>
      </c>
      <c r="N9">
        <v>2</v>
      </c>
      <c r="O9" t="s">
        <v>55</v>
      </c>
      <c r="P9" t="s">
        <v>56</v>
      </c>
      <c r="Q9">
        <v>36</v>
      </c>
      <c r="R9">
        <v>1</v>
      </c>
      <c r="S9" t="s">
        <v>57</v>
      </c>
      <c r="T9" t="s">
        <v>58</v>
      </c>
      <c r="U9">
        <v>14</v>
      </c>
      <c r="V9">
        <v>15</v>
      </c>
      <c r="W9">
        <v>15</v>
      </c>
      <c r="X9">
        <v>12</v>
      </c>
      <c r="Y9">
        <v>3</v>
      </c>
      <c r="Z9">
        <v>13</v>
      </c>
      <c r="AA9">
        <v>2.230769</v>
      </c>
      <c r="AB9">
        <v>29</v>
      </c>
      <c r="AC9" t="s">
        <v>70</v>
      </c>
      <c r="AD9" t="s">
        <v>112</v>
      </c>
      <c r="AE9">
        <v>0</v>
      </c>
      <c r="AF9">
        <v>0</v>
      </c>
      <c r="AG9">
        <v>2</v>
      </c>
      <c r="AH9">
        <v>3</v>
      </c>
      <c r="AI9">
        <v>0</v>
      </c>
      <c r="AJ9">
        <v>2</v>
      </c>
      <c r="AK9">
        <v>3</v>
      </c>
      <c r="AL9">
        <v>0</v>
      </c>
      <c r="AM9">
        <v>2</v>
      </c>
      <c r="AN9">
        <v>1</v>
      </c>
      <c r="AO9">
        <v>12</v>
      </c>
      <c r="AP9">
        <v>1</v>
      </c>
      <c r="AQ9">
        <v>92.307692307691994</v>
      </c>
      <c r="AR9" s="2">
        <v>45762.335358796299</v>
      </c>
      <c r="AS9" s="2">
        <v>46061.451643518521</v>
      </c>
      <c r="AT9" t="s">
        <v>61</v>
      </c>
      <c r="AU9" t="s">
        <v>62</v>
      </c>
      <c r="AV9">
        <v>299</v>
      </c>
    </row>
    <row r="10" spans="1:48" x14ac:dyDescent="0.25">
      <c r="A10">
        <v>440</v>
      </c>
      <c r="B10" t="s">
        <v>113</v>
      </c>
      <c r="C10" t="s">
        <v>114</v>
      </c>
      <c r="D10" t="s">
        <v>115</v>
      </c>
      <c r="E10" t="s">
        <v>116</v>
      </c>
      <c r="F10" t="s">
        <v>117</v>
      </c>
      <c r="G10" t="s">
        <v>53</v>
      </c>
      <c r="H10" s="1">
        <v>38043</v>
      </c>
      <c r="I10">
        <v>22</v>
      </c>
      <c r="J10">
        <v>2004</v>
      </c>
      <c r="K10" s="1">
        <v>44750</v>
      </c>
      <c r="L10">
        <v>2022</v>
      </c>
      <c r="M10" t="s">
        <v>54</v>
      </c>
      <c r="N10">
        <v>10</v>
      </c>
      <c r="O10" t="s">
        <v>118</v>
      </c>
      <c r="P10" t="s">
        <v>119</v>
      </c>
      <c r="Q10">
        <v>120</v>
      </c>
      <c r="R10">
        <v>4</v>
      </c>
      <c r="S10" t="s">
        <v>77</v>
      </c>
      <c r="T10" t="s">
        <v>78</v>
      </c>
      <c r="U10">
        <v>15</v>
      </c>
      <c r="V10">
        <v>15</v>
      </c>
      <c r="W10">
        <v>15</v>
      </c>
      <c r="X10">
        <v>15</v>
      </c>
      <c r="Y10">
        <v>3</v>
      </c>
      <c r="Z10">
        <v>12</v>
      </c>
      <c r="AA10">
        <v>2.75</v>
      </c>
      <c r="AB10">
        <v>33</v>
      </c>
      <c r="AC10" t="s">
        <v>70</v>
      </c>
      <c r="AD10" t="s">
        <v>60</v>
      </c>
      <c r="AE10">
        <v>1</v>
      </c>
      <c r="AF10">
        <v>0</v>
      </c>
      <c r="AG10">
        <v>3</v>
      </c>
      <c r="AH10">
        <v>4</v>
      </c>
      <c r="AI10">
        <v>0</v>
      </c>
      <c r="AJ10">
        <v>1</v>
      </c>
      <c r="AK10">
        <v>2</v>
      </c>
      <c r="AL10">
        <v>0</v>
      </c>
      <c r="AM10">
        <v>0</v>
      </c>
      <c r="AN10">
        <v>1</v>
      </c>
      <c r="AO10">
        <v>11</v>
      </c>
      <c r="AP10">
        <v>1</v>
      </c>
      <c r="AQ10">
        <v>91.666666666666003</v>
      </c>
      <c r="AR10" s="2">
        <v>45754.031527777777</v>
      </c>
      <c r="AS10" s="2">
        <v>46059.073182870372</v>
      </c>
      <c r="AT10" t="s">
        <v>61</v>
      </c>
      <c r="AU10" t="s">
        <v>62</v>
      </c>
      <c r="AV10">
        <v>305</v>
      </c>
    </row>
    <row r="11" spans="1:48" x14ac:dyDescent="0.25">
      <c r="A11">
        <v>860</v>
      </c>
      <c r="B11" t="s">
        <v>120</v>
      </c>
      <c r="C11" t="s">
        <v>121</v>
      </c>
      <c r="D11" t="s">
        <v>122</v>
      </c>
      <c r="E11" t="s">
        <v>123</v>
      </c>
      <c r="F11" t="s">
        <v>124</v>
      </c>
      <c r="G11" t="s">
        <v>53</v>
      </c>
      <c r="H11" s="1">
        <v>38945</v>
      </c>
      <c r="I11">
        <v>20</v>
      </c>
      <c r="J11">
        <v>2006</v>
      </c>
      <c r="K11" s="1">
        <v>46072</v>
      </c>
      <c r="L11">
        <v>2026</v>
      </c>
      <c r="M11" t="s">
        <v>54</v>
      </c>
      <c r="N11">
        <v>8</v>
      </c>
      <c r="O11" t="s">
        <v>125</v>
      </c>
      <c r="P11" t="s">
        <v>56</v>
      </c>
      <c r="Q11">
        <v>36</v>
      </c>
      <c r="R11">
        <v>3</v>
      </c>
      <c r="S11" t="s">
        <v>126</v>
      </c>
      <c r="T11" t="s">
        <v>127</v>
      </c>
      <c r="U11">
        <v>12</v>
      </c>
      <c r="V11">
        <v>15</v>
      </c>
      <c r="W11">
        <v>15</v>
      </c>
      <c r="X11">
        <v>12</v>
      </c>
      <c r="Y11">
        <v>3</v>
      </c>
      <c r="Z11">
        <v>15</v>
      </c>
      <c r="AA11">
        <v>2.2000000000000002</v>
      </c>
      <c r="AB11">
        <v>33</v>
      </c>
      <c r="AC11" t="s">
        <v>70</v>
      </c>
      <c r="AD11" t="s">
        <v>60</v>
      </c>
      <c r="AE11">
        <v>1</v>
      </c>
      <c r="AF11">
        <v>0</v>
      </c>
      <c r="AG11">
        <v>1</v>
      </c>
      <c r="AH11">
        <v>3</v>
      </c>
      <c r="AI11">
        <v>0</v>
      </c>
      <c r="AJ11">
        <v>3</v>
      </c>
      <c r="AK11">
        <v>4</v>
      </c>
      <c r="AL11">
        <v>0</v>
      </c>
      <c r="AM11">
        <v>1</v>
      </c>
      <c r="AN11">
        <v>2</v>
      </c>
      <c r="AO11">
        <v>13</v>
      </c>
      <c r="AP11">
        <v>2</v>
      </c>
      <c r="AQ11">
        <v>86.666666666666003</v>
      </c>
      <c r="AR11" s="2">
        <v>45751.935706018521</v>
      </c>
      <c r="AS11" s="2">
        <v>46024.319490740738</v>
      </c>
      <c r="AT11" t="s">
        <v>61</v>
      </c>
      <c r="AU11" t="s">
        <v>62</v>
      </c>
      <c r="AV11">
        <v>273</v>
      </c>
    </row>
    <row r="12" spans="1:48" x14ac:dyDescent="0.25">
      <c r="A12">
        <v>574</v>
      </c>
      <c r="B12" t="s">
        <v>128</v>
      </c>
      <c r="C12" t="s">
        <v>129</v>
      </c>
      <c r="D12" t="s">
        <v>130</v>
      </c>
      <c r="E12" t="s">
        <v>131</v>
      </c>
      <c r="F12" t="s">
        <v>132</v>
      </c>
      <c r="G12" t="s">
        <v>53</v>
      </c>
      <c r="H12" s="1">
        <v>35319</v>
      </c>
      <c r="I12">
        <v>30</v>
      </c>
      <c r="J12">
        <v>1996</v>
      </c>
      <c r="K12" s="1">
        <v>45641</v>
      </c>
      <c r="L12">
        <v>2024</v>
      </c>
      <c r="M12" t="s">
        <v>54</v>
      </c>
      <c r="N12">
        <v>6</v>
      </c>
      <c r="O12" t="s">
        <v>133</v>
      </c>
      <c r="P12" t="s">
        <v>69</v>
      </c>
      <c r="Q12">
        <v>60</v>
      </c>
      <c r="R12">
        <v>2</v>
      </c>
      <c r="S12" t="s">
        <v>85</v>
      </c>
      <c r="T12" t="s">
        <v>86</v>
      </c>
      <c r="U12">
        <v>14</v>
      </c>
      <c r="V12">
        <v>15</v>
      </c>
      <c r="W12">
        <v>15</v>
      </c>
      <c r="X12">
        <v>11</v>
      </c>
      <c r="Y12">
        <v>3</v>
      </c>
      <c r="Z12">
        <v>13</v>
      </c>
      <c r="AA12">
        <v>2.8461530000000002</v>
      </c>
      <c r="AB12">
        <v>37</v>
      </c>
      <c r="AC12" t="s">
        <v>70</v>
      </c>
      <c r="AD12" t="s">
        <v>60</v>
      </c>
      <c r="AE12">
        <v>4</v>
      </c>
      <c r="AF12">
        <v>0</v>
      </c>
      <c r="AG12">
        <v>3</v>
      </c>
      <c r="AH12">
        <v>0</v>
      </c>
      <c r="AI12">
        <v>0</v>
      </c>
      <c r="AJ12">
        <v>3</v>
      </c>
      <c r="AK12">
        <v>1</v>
      </c>
      <c r="AL12">
        <v>0</v>
      </c>
      <c r="AM12">
        <v>1</v>
      </c>
      <c r="AN12">
        <v>1</v>
      </c>
      <c r="AO12">
        <v>12</v>
      </c>
      <c r="AP12">
        <v>1</v>
      </c>
      <c r="AQ12">
        <v>92.307692307691994</v>
      </c>
      <c r="AR12" s="2">
        <v>45731.456400462965</v>
      </c>
      <c r="AS12" s="2">
        <v>46043.449756944443</v>
      </c>
      <c r="AT12" t="s">
        <v>61</v>
      </c>
      <c r="AU12" t="s">
        <v>62</v>
      </c>
      <c r="AV12">
        <v>312</v>
      </c>
    </row>
    <row r="13" spans="1:48" x14ac:dyDescent="0.25">
      <c r="A13">
        <v>335</v>
      </c>
      <c r="B13" t="s">
        <v>134</v>
      </c>
      <c r="C13" t="s">
        <v>135</v>
      </c>
      <c r="D13" t="s">
        <v>136</v>
      </c>
      <c r="E13" t="s">
        <v>137</v>
      </c>
      <c r="F13" t="s">
        <v>138</v>
      </c>
      <c r="G13" t="s">
        <v>53</v>
      </c>
      <c r="H13" s="1">
        <v>38103</v>
      </c>
      <c r="I13">
        <v>22</v>
      </c>
      <c r="J13">
        <v>2004</v>
      </c>
      <c r="K13" s="1">
        <v>45824</v>
      </c>
      <c r="L13">
        <v>2025</v>
      </c>
      <c r="M13" t="s">
        <v>54</v>
      </c>
      <c r="N13">
        <v>18</v>
      </c>
      <c r="O13" t="s">
        <v>139</v>
      </c>
      <c r="P13" t="s">
        <v>69</v>
      </c>
      <c r="Q13">
        <v>60</v>
      </c>
      <c r="R13">
        <v>6</v>
      </c>
      <c r="S13" t="s">
        <v>140</v>
      </c>
      <c r="T13" t="s">
        <v>141</v>
      </c>
      <c r="U13">
        <v>15</v>
      </c>
      <c r="V13">
        <v>15</v>
      </c>
      <c r="W13">
        <v>15</v>
      </c>
      <c r="X13">
        <v>15</v>
      </c>
      <c r="Y13">
        <v>3</v>
      </c>
      <c r="Z13">
        <v>12</v>
      </c>
      <c r="AA13">
        <v>1.7083330000000001</v>
      </c>
      <c r="AB13">
        <v>20.5</v>
      </c>
      <c r="AC13" t="s">
        <v>70</v>
      </c>
      <c r="AD13" t="s">
        <v>60</v>
      </c>
      <c r="AE13">
        <v>1</v>
      </c>
      <c r="AF13">
        <v>0</v>
      </c>
      <c r="AG13">
        <v>1</v>
      </c>
      <c r="AH13">
        <v>1</v>
      </c>
      <c r="AI13">
        <v>0</v>
      </c>
      <c r="AJ13">
        <v>2</v>
      </c>
      <c r="AK13">
        <v>0</v>
      </c>
      <c r="AL13">
        <v>0</v>
      </c>
      <c r="AM13">
        <v>5</v>
      </c>
      <c r="AN13">
        <v>2</v>
      </c>
      <c r="AO13">
        <v>10</v>
      </c>
      <c r="AP13">
        <v>2</v>
      </c>
      <c r="AQ13">
        <v>83.333333333333002</v>
      </c>
      <c r="AR13" s="2">
        <v>45741.839733796296</v>
      </c>
      <c r="AS13" s="2">
        <v>46065.264178240737</v>
      </c>
      <c r="AT13" t="s">
        <v>61</v>
      </c>
      <c r="AU13" t="s">
        <v>62</v>
      </c>
      <c r="AV13">
        <v>324</v>
      </c>
    </row>
    <row r="14" spans="1:48" x14ac:dyDescent="0.25">
      <c r="A14">
        <v>400</v>
      </c>
      <c r="B14" t="s">
        <v>142</v>
      </c>
      <c r="C14" t="s">
        <v>143</v>
      </c>
      <c r="D14" t="s">
        <v>144</v>
      </c>
      <c r="E14" t="s">
        <v>145</v>
      </c>
      <c r="F14">
        <f>1-342-976-2467</f>
        <v>-3784</v>
      </c>
      <c r="G14" t="s">
        <v>53</v>
      </c>
      <c r="H14" s="1">
        <v>37897</v>
      </c>
      <c r="I14">
        <v>23</v>
      </c>
      <c r="J14">
        <v>2003</v>
      </c>
      <c r="K14" s="1">
        <v>45626</v>
      </c>
      <c r="L14">
        <v>2024</v>
      </c>
      <c r="M14" t="s">
        <v>54</v>
      </c>
      <c r="N14">
        <v>13</v>
      </c>
      <c r="O14" t="s">
        <v>146</v>
      </c>
      <c r="P14" t="s">
        <v>119</v>
      </c>
      <c r="Q14">
        <v>120</v>
      </c>
      <c r="R14">
        <v>5</v>
      </c>
      <c r="S14" t="s">
        <v>92</v>
      </c>
      <c r="T14" t="s">
        <v>93</v>
      </c>
      <c r="U14">
        <v>15</v>
      </c>
      <c r="V14">
        <v>15</v>
      </c>
      <c r="W14">
        <v>15</v>
      </c>
      <c r="X14">
        <v>12</v>
      </c>
      <c r="Y14">
        <v>3</v>
      </c>
      <c r="Z14">
        <v>11</v>
      </c>
      <c r="AA14">
        <v>2.6818179999999998</v>
      </c>
      <c r="AB14">
        <v>29.5</v>
      </c>
      <c r="AC14" t="s">
        <v>70</v>
      </c>
      <c r="AD14" t="s">
        <v>60</v>
      </c>
      <c r="AE14">
        <v>4</v>
      </c>
      <c r="AF14">
        <v>0</v>
      </c>
      <c r="AG14">
        <v>0</v>
      </c>
      <c r="AH14">
        <v>2</v>
      </c>
      <c r="AI14">
        <v>0</v>
      </c>
      <c r="AJ14">
        <v>1</v>
      </c>
      <c r="AK14">
        <v>2</v>
      </c>
      <c r="AL14">
        <v>0</v>
      </c>
      <c r="AM14">
        <v>1</v>
      </c>
      <c r="AN14">
        <v>1</v>
      </c>
      <c r="AO14">
        <v>10</v>
      </c>
      <c r="AP14">
        <v>1</v>
      </c>
      <c r="AQ14">
        <v>90.909090909089997</v>
      </c>
      <c r="AR14" s="2">
        <v>45738.623159722221</v>
      </c>
      <c r="AS14" s="2">
        <v>46080.854756944442</v>
      </c>
      <c r="AT14" t="s">
        <v>61</v>
      </c>
      <c r="AU14" t="s">
        <v>62</v>
      </c>
      <c r="AV14">
        <v>342</v>
      </c>
    </row>
    <row r="15" spans="1:48" x14ac:dyDescent="0.25">
      <c r="A15">
        <v>321</v>
      </c>
      <c r="B15" t="s">
        <v>147</v>
      </c>
      <c r="C15" t="s">
        <v>148</v>
      </c>
      <c r="D15" t="s">
        <v>149</v>
      </c>
      <c r="E15" t="s">
        <v>150</v>
      </c>
      <c r="F15">
        <v>9234557702</v>
      </c>
      <c r="G15" t="s">
        <v>53</v>
      </c>
      <c r="H15" s="1">
        <v>37741</v>
      </c>
      <c r="I15">
        <v>23</v>
      </c>
      <c r="J15">
        <v>2003</v>
      </c>
      <c r="K15" s="1">
        <v>45928</v>
      </c>
      <c r="L15">
        <v>2025</v>
      </c>
      <c r="M15" t="s">
        <v>111</v>
      </c>
      <c r="N15">
        <v>9</v>
      </c>
      <c r="O15" t="s">
        <v>151</v>
      </c>
      <c r="P15" t="s">
        <v>69</v>
      </c>
      <c r="Q15">
        <v>60</v>
      </c>
      <c r="R15">
        <v>3</v>
      </c>
      <c r="S15" t="s">
        <v>126</v>
      </c>
      <c r="T15" t="s">
        <v>127</v>
      </c>
      <c r="U15">
        <v>15</v>
      </c>
      <c r="V15">
        <v>15</v>
      </c>
      <c r="W15">
        <v>15</v>
      </c>
      <c r="X15">
        <v>14</v>
      </c>
      <c r="Y15">
        <v>3</v>
      </c>
      <c r="Z15">
        <v>13</v>
      </c>
      <c r="AA15">
        <v>2.3846150000000002</v>
      </c>
      <c r="AB15">
        <v>31</v>
      </c>
      <c r="AC15" t="s">
        <v>70</v>
      </c>
      <c r="AD15" t="s">
        <v>60</v>
      </c>
      <c r="AE15">
        <v>2</v>
      </c>
      <c r="AF15">
        <v>0</v>
      </c>
      <c r="AG15">
        <v>3</v>
      </c>
      <c r="AH15">
        <v>1</v>
      </c>
      <c r="AI15">
        <v>0</v>
      </c>
      <c r="AJ15">
        <v>1</v>
      </c>
      <c r="AK15">
        <v>2</v>
      </c>
      <c r="AL15">
        <v>0</v>
      </c>
      <c r="AM15">
        <v>3</v>
      </c>
      <c r="AN15">
        <v>1</v>
      </c>
      <c r="AO15">
        <v>12</v>
      </c>
      <c r="AP15">
        <v>1</v>
      </c>
      <c r="AQ15">
        <v>92.307692307691994</v>
      </c>
      <c r="AR15" s="2">
        <v>45763.297118055554</v>
      </c>
      <c r="AS15" s="2">
        <v>46037.051944444444</v>
      </c>
      <c r="AT15" t="s">
        <v>61</v>
      </c>
      <c r="AU15" t="s">
        <v>62</v>
      </c>
      <c r="AV15">
        <v>274</v>
      </c>
    </row>
    <row r="16" spans="1:48" x14ac:dyDescent="0.25">
      <c r="A16">
        <v>324</v>
      </c>
      <c r="B16" t="s">
        <v>152</v>
      </c>
      <c r="C16" t="s">
        <v>153</v>
      </c>
      <c r="D16" t="s">
        <v>154</v>
      </c>
      <c r="E16" t="s">
        <v>155</v>
      </c>
      <c r="F16" t="s">
        <v>156</v>
      </c>
      <c r="G16" t="s">
        <v>104</v>
      </c>
      <c r="H16" s="1">
        <v>35666</v>
      </c>
      <c r="I16">
        <v>29</v>
      </c>
      <c r="J16">
        <v>1997</v>
      </c>
      <c r="K16" s="1">
        <v>45974</v>
      </c>
      <c r="L16">
        <v>2025</v>
      </c>
      <c r="M16" t="s">
        <v>54</v>
      </c>
      <c r="N16">
        <v>1</v>
      </c>
      <c r="O16" t="s">
        <v>157</v>
      </c>
      <c r="P16" t="s">
        <v>119</v>
      </c>
      <c r="Q16">
        <v>120</v>
      </c>
      <c r="R16">
        <v>1</v>
      </c>
      <c r="S16" t="s">
        <v>57</v>
      </c>
      <c r="T16" t="s">
        <v>58</v>
      </c>
      <c r="U16">
        <v>12</v>
      </c>
      <c r="V16">
        <v>14</v>
      </c>
      <c r="W16">
        <v>14</v>
      </c>
      <c r="X16">
        <v>13</v>
      </c>
      <c r="Y16">
        <v>3</v>
      </c>
      <c r="Z16">
        <v>11</v>
      </c>
      <c r="AA16">
        <v>2.0909089999999999</v>
      </c>
      <c r="AB16">
        <v>23</v>
      </c>
      <c r="AC16" t="s">
        <v>59</v>
      </c>
      <c r="AD16" t="s">
        <v>112</v>
      </c>
      <c r="AE16">
        <v>0</v>
      </c>
      <c r="AF16">
        <v>0</v>
      </c>
      <c r="AG16">
        <v>0</v>
      </c>
      <c r="AH16">
        <v>3</v>
      </c>
      <c r="AI16">
        <v>0</v>
      </c>
      <c r="AJ16">
        <v>2</v>
      </c>
      <c r="AK16">
        <v>3</v>
      </c>
      <c r="AL16">
        <v>0</v>
      </c>
      <c r="AM16">
        <v>3</v>
      </c>
      <c r="AN16">
        <v>0</v>
      </c>
      <c r="AO16">
        <v>11</v>
      </c>
      <c r="AP16">
        <v>0</v>
      </c>
      <c r="AQ16">
        <v>100</v>
      </c>
      <c r="AR16" s="2">
        <v>45752.282685185186</v>
      </c>
      <c r="AS16" s="2">
        <v>46044.612002314818</v>
      </c>
      <c r="AT16" t="s">
        <v>61</v>
      </c>
      <c r="AU16" t="s">
        <v>62</v>
      </c>
      <c r="AV16">
        <v>292</v>
      </c>
    </row>
    <row r="17" spans="1:48" x14ac:dyDescent="0.25">
      <c r="A17">
        <v>753</v>
      </c>
      <c r="B17" t="s">
        <v>158</v>
      </c>
      <c r="C17" t="s">
        <v>153</v>
      </c>
      <c r="D17" t="s">
        <v>159</v>
      </c>
      <c r="E17" t="s">
        <v>160</v>
      </c>
      <c r="F17" t="s">
        <v>161</v>
      </c>
      <c r="G17" t="s">
        <v>104</v>
      </c>
      <c r="H17" s="1">
        <v>36073</v>
      </c>
      <c r="I17">
        <v>28</v>
      </c>
      <c r="J17">
        <v>1998</v>
      </c>
      <c r="K17" s="1">
        <v>45164</v>
      </c>
      <c r="L17">
        <v>2023</v>
      </c>
      <c r="M17" t="s">
        <v>54</v>
      </c>
      <c r="N17">
        <v>19</v>
      </c>
      <c r="O17" t="s">
        <v>162</v>
      </c>
      <c r="P17" t="s">
        <v>119</v>
      </c>
      <c r="Q17">
        <v>120</v>
      </c>
      <c r="R17">
        <v>7</v>
      </c>
      <c r="S17" t="s">
        <v>163</v>
      </c>
      <c r="T17" t="s">
        <v>164</v>
      </c>
      <c r="U17">
        <v>13</v>
      </c>
      <c r="V17">
        <v>14</v>
      </c>
      <c r="W17">
        <v>14</v>
      </c>
      <c r="X17">
        <v>11</v>
      </c>
      <c r="Y17">
        <v>3</v>
      </c>
      <c r="Z17">
        <v>10</v>
      </c>
      <c r="AA17">
        <v>2.5499999999999998</v>
      </c>
      <c r="AB17">
        <v>25.5</v>
      </c>
      <c r="AC17" t="s">
        <v>70</v>
      </c>
      <c r="AD17" t="s">
        <v>60</v>
      </c>
      <c r="AE17">
        <v>2</v>
      </c>
      <c r="AF17">
        <v>0</v>
      </c>
      <c r="AG17">
        <v>2</v>
      </c>
      <c r="AH17">
        <v>2</v>
      </c>
      <c r="AI17">
        <v>0</v>
      </c>
      <c r="AJ17">
        <v>1</v>
      </c>
      <c r="AK17">
        <v>0</v>
      </c>
      <c r="AL17">
        <v>0</v>
      </c>
      <c r="AM17">
        <v>2</v>
      </c>
      <c r="AN17">
        <v>1</v>
      </c>
      <c r="AO17">
        <v>9</v>
      </c>
      <c r="AP17">
        <v>1</v>
      </c>
      <c r="AQ17">
        <v>90</v>
      </c>
      <c r="AR17" s="2">
        <v>45723.893865740742</v>
      </c>
      <c r="AS17" s="2">
        <v>45993.870671296296</v>
      </c>
      <c r="AT17" t="s">
        <v>61</v>
      </c>
      <c r="AU17" t="s">
        <v>62</v>
      </c>
      <c r="AV17">
        <v>270</v>
      </c>
    </row>
    <row r="18" spans="1:48" x14ac:dyDescent="0.25">
      <c r="A18">
        <v>217</v>
      </c>
      <c r="B18" t="s">
        <v>165</v>
      </c>
      <c r="C18" t="s">
        <v>166</v>
      </c>
      <c r="D18" t="s">
        <v>167</v>
      </c>
      <c r="E18" t="s">
        <v>168</v>
      </c>
      <c r="F18" t="s">
        <v>169</v>
      </c>
      <c r="G18" t="s">
        <v>104</v>
      </c>
      <c r="H18" s="1">
        <v>35118</v>
      </c>
      <c r="I18">
        <v>30</v>
      </c>
      <c r="J18">
        <v>1996</v>
      </c>
      <c r="K18" s="1">
        <v>45343</v>
      </c>
      <c r="L18">
        <v>2024</v>
      </c>
      <c r="M18" t="s">
        <v>54</v>
      </c>
      <c r="N18">
        <v>10</v>
      </c>
      <c r="O18" t="s">
        <v>118</v>
      </c>
      <c r="P18" t="s">
        <v>119</v>
      </c>
      <c r="Q18">
        <v>120</v>
      </c>
      <c r="R18">
        <v>4</v>
      </c>
      <c r="S18" t="s">
        <v>77</v>
      </c>
      <c r="T18" t="s">
        <v>78</v>
      </c>
      <c r="U18">
        <v>12</v>
      </c>
      <c r="V18">
        <v>14</v>
      </c>
      <c r="W18">
        <v>14</v>
      </c>
      <c r="X18">
        <v>13</v>
      </c>
      <c r="Y18">
        <v>3</v>
      </c>
      <c r="Z18">
        <v>13</v>
      </c>
      <c r="AA18">
        <v>2.6153840000000002</v>
      </c>
      <c r="AB18">
        <v>34</v>
      </c>
      <c r="AC18" t="s">
        <v>70</v>
      </c>
      <c r="AD18" t="s">
        <v>60</v>
      </c>
      <c r="AE18">
        <v>2</v>
      </c>
      <c r="AF18">
        <v>0</v>
      </c>
      <c r="AG18">
        <v>2</v>
      </c>
      <c r="AH18">
        <v>4</v>
      </c>
      <c r="AI18">
        <v>0</v>
      </c>
      <c r="AJ18">
        <v>2</v>
      </c>
      <c r="AK18">
        <v>1</v>
      </c>
      <c r="AL18">
        <v>0</v>
      </c>
      <c r="AM18">
        <v>0</v>
      </c>
      <c r="AN18">
        <v>2</v>
      </c>
      <c r="AO18">
        <v>11</v>
      </c>
      <c r="AP18">
        <v>2</v>
      </c>
      <c r="AQ18">
        <v>84.615384615384002</v>
      </c>
      <c r="AR18" s="2">
        <v>45743.701828703706</v>
      </c>
      <c r="AS18" s="2">
        <v>46067.259409722225</v>
      </c>
      <c r="AT18" t="s">
        <v>61</v>
      </c>
      <c r="AU18" t="s">
        <v>62</v>
      </c>
      <c r="AV18">
        <v>324</v>
      </c>
    </row>
    <row r="19" spans="1:48" x14ac:dyDescent="0.25">
      <c r="A19">
        <v>525</v>
      </c>
      <c r="B19" t="s">
        <v>170</v>
      </c>
      <c r="C19" t="s">
        <v>171</v>
      </c>
      <c r="D19" t="s">
        <v>172</v>
      </c>
      <c r="E19" t="s">
        <v>173</v>
      </c>
      <c r="F19" t="s">
        <v>174</v>
      </c>
      <c r="G19" t="s">
        <v>104</v>
      </c>
      <c r="H19" s="1">
        <v>36640</v>
      </c>
      <c r="I19">
        <v>26</v>
      </c>
      <c r="J19">
        <v>2000</v>
      </c>
      <c r="K19" s="1">
        <v>45411</v>
      </c>
      <c r="L19">
        <v>2024</v>
      </c>
      <c r="M19" t="s">
        <v>111</v>
      </c>
      <c r="N19">
        <v>8</v>
      </c>
      <c r="O19" t="s">
        <v>125</v>
      </c>
      <c r="P19" t="s">
        <v>56</v>
      </c>
      <c r="Q19">
        <v>36</v>
      </c>
      <c r="R19">
        <v>3</v>
      </c>
      <c r="S19" t="s">
        <v>126</v>
      </c>
      <c r="T19" t="s">
        <v>127</v>
      </c>
      <c r="U19">
        <v>13</v>
      </c>
      <c r="V19">
        <v>14</v>
      </c>
      <c r="W19">
        <v>14</v>
      </c>
      <c r="X19">
        <v>13</v>
      </c>
      <c r="Y19">
        <v>3</v>
      </c>
      <c r="Z19">
        <v>11</v>
      </c>
      <c r="AA19">
        <v>2.454545</v>
      </c>
      <c r="AB19">
        <v>27</v>
      </c>
      <c r="AC19" t="s">
        <v>59</v>
      </c>
      <c r="AD19" t="s">
        <v>60</v>
      </c>
      <c r="AE19">
        <v>1</v>
      </c>
      <c r="AF19">
        <v>0</v>
      </c>
      <c r="AG19">
        <v>0</v>
      </c>
      <c r="AH19">
        <v>3</v>
      </c>
      <c r="AI19">
        <v>0</v>
      </c>
      <c r="AJ19">
        <v>2</v>
      </c>
      <c r="AK19">
        <v>4</v>
      </c>
      <c r="AL19">
        <v>0</v>
      </c>
      <c r="AM19">
        <v>1</v>
      </c>
      <c r="AN19">
        <v>0</v>
      </c>
      <c r="AO19">
        <v>11</v>
      </c>
      <c r="AP19">
        <v>0</v>
      </c>
      <c r="AQ19">
        <v>100</v>
      </c>
      <c r="AR19" s="2">
        <v>45722.288958333331</v>
      </c>
      <c r="AS19" s="2">
        <v>46036.93540509259</v>
      </c>
      <c r="AT19" t="s">
        <v>61</v>
      </c>
      <c r="AU19" t="s">
        <v>62</v>
      </c>
      <c r="AV19">
        <v>314</v>
      </c>
    </row>
    <row r="20" spans="1:48" x14ac:dyDescent="0.25">
      <c r="A20">
        <v>695</v>
      </c>
      <c r="B20" t="s">
        <v>175</v>
      </c>
      <c r="C20" t="s">
        <v>176</v>
      </c>
      <c r="D20" t="s">
        <v>177</v>
      </c>
      <c r="E20" t="s">
        <v>178</v>
      </c>
      <c r="F20" t="s">
        <v>179</v>
      </c>
      <c r="G20" t="s">
        <v>53</v>
      </c>
      <c r="H20" s="1">
        <v>36271</v>
      </c>
      <c r="I20">
        <v>27</v>
      </c>
      <c r="J20">
        <v>1999</v>
      </c>
      <c r="K20" s="1">
        <v>44886</v>
      </c>
      <c r="L20">
        <v>2022</v>
      </c>
      <c r="M20" t="s">
        <v>54</v>
      </c>
      <c r="N20">
        <v>20</v>
      </c>
      <c r="O20" t="s">
        <v>180</v>
      </c>
      <c r="P20" t="s">
        <v>56</v>
      </c>
      <c r="Q20">
        <v>36</v>
      </c>
      <c r="R20">
        <v>7</v>
      </c>
      <c r="S20" t="s">
        <v>163</v>
      </c>
      <c r="T20" t="s">
        <v>164</v>
      </c>
      <c r="U20">
        <v>12</v>
      </c>
      <c r="V20">
        <v>14</v>
      </c>
      <c r="W20">
        <v>14</v>
      </c>
      <c r="X20">
        <v>12</v>
      </c>
      <c r="Y20">
        <v>3</v>
      </c>
      <c r="Z20">
        <v>9</v>
      </c>
      <c r="AA20">
        <v>2.6111110000000002</v>
      </c>
      <c r="AB20">
        <v>23.5</v>
      </c>
      <c r="AC20" t="s">
        <v>70</v>
      </c>
      <c r="AD20" t="s">
        <v>60</v>
      </c>
      <c r="AE20">
        <v>1</v>
      </c>
      <c r="AF20">
        <v>0</v>
      </c>
      <c r="AG20">
        <v>5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2</v>
      </c>
      <c r="AO20">
        <v>7</v>
      </c>
      <c r="AP20">
        <v>2</v>
      </c>
      <c r="AQ20">
        <v>77.777777777777004</v>
      </c>
      <c r="AR20" s="2">
        <v>45769.724062499998</v>
      </c>
      <c r="AS20" s="2">
        <v>46025.548379629632</v>
      </c>
      <c r="AT20" t="s">
        <v>61</v>
      </c>
      <c r="AU20" t="s">
        <v>62</v>
      </c>
      <c r="AV20">
        <v>256</v>
      </c>
    </row>
    <row r="21" spans="1:48" x14ac:dyDescent="0.25">
      <c r="A21">
        <v>597</v>
      </c>
      <c r="B21" t="s">
        <v>181</v>
      </c>
      <c r="C21" t="s">
        <v>182</v>
      </c>
      <c r="D21" t="s">
        <v>183</v>
      </c>
      <c r="E21" t="s">
        <v>184</v>
      </c>
      <c r="F21" t="s">
        <v>185</v>
      </c>
      <c r="G21" t="s">
        <v>104</v>
      </c>
      <c r="H21" s="1">
        <v>39318</v>
      </c>
      <c r="I21">
        <v>19</v>
      </c>
      <c r="J21">
        <v>2007</v>
      </c>
      <c r="K21" s="1">
        <v>46075</v>
      </c>
      <c r="L21">
        <v>2026</v>
      </c>
      <c r="M21" t="s">
        <v>54</v>
      </c>
      <c r="N21">
        <v>6</v>
      </c>
      <c r="O21" t="s">
        <v>133</v>
      </c>
      <c r="P21" t="s">
        <v>69</v>
      </c>
      <c r="Q21">
        <v>60</v>
      </c>
      <c r="R21">
        <v>2</v>
      </c>
      <c r="S21" t="s">
        <v>85</v>
      </c>
      <c r="T21" t="s">
        <v>86</v>
      </c>
      <c r="U21">
        <v>12</v>
      </c>
      <c r="V21">
        <v>14</v>
      </c>
      <c r="W21">
        <v>14</v>
      </c>
      <c r="X21">
        <v>14</v>
      </c>
      <c r="Y21">
        <v>3</v>
      </c>
      <c r="Z21">
        <v>11</v>
      </c>
      <c r="AA21">
        <v>1.90909</v>
      </c>
      <c r="AB21">
        <v>21</v>
      </c>
      <c r="AC21" t="s">
        <v>70</v>
      </c>
      <c r="AD21" t="s">
        <v>112</v>
      </c>
      <c r="AE21">
        <v>0</v>
      </c>
      <c r="AF21">
        <v>0</v>
      </c>
      <c r="AG21">
        <v>1</v>
      </c>
      <c r="AH21">
        <v>1</v>
      </c>
      <c r="AI21">
        <v>0</v>
      </c>
      <c r="AJ21">
        <v>3</v>
      </c>
      <c r="AK21">
        <v>3</v>
      </c>
      <c r="AL21">
        <v>0</v>
      </c>
      <c r="AM21">
        <v>1</v>
      </c>
      <c r="AN21">
        <v>2</v>
      </c>
      <c r="AO21">
        <v>9</v>
      </c>
      <c r="AP21">
        <v>2</v>
      </c>
      <c r="AQ21">
        <v>81.818181818181003</v>
      </c>
      <c r="AR21" s="2">
        <v>45724.013252314813</v>
      </c>
      <c r="AS21" s="2">
        <v>46031.749664351853</v>
      </c>
      <c r="AT21" t="s">
        <v>61</v>
      </c>
      <c r="AU21" t="s">
        <v>62</v>
      </c>
      <c r="AV21">
        <v>307</v>
      </c>
    </row>
    <row r="22" spans="1:48" x14ac:dyDescent="0.25">
      <c r="A22">
        <v>629</v>
      </c>
      <c r="B22" t="s">
        <v>186</v>
      </c>
      <c r="C22" t="s">
        <v>187</v>
      </c>
      <c r="D22" t="s">
        <v>188</v>
      </c>
      <c r="E22" t="s">
        <v>189</v>
      </c>
      <c r="F22">
        <v>3046254882</v>
      </c>
      <c r="G22" t="s">
        <v>104</v>
      </c>
      <c r="H22" s="1">
        <v>35440</v>
      </c>
      <c r="I22">
        <v>29</v>
      </c>
      <c r="J22">
        <v>1997</v>
      </c>
      <c r="K22" s="1">
        <v>45695</v>
      </c>
      <c r="L22">
        <v>2025</v>
      </c>
      <c r="M22" t="s">
        <v>54</v>
      </c>
      <c r="N22">
        <v>20</v>
      </c>
      <c r="O22" t="s">
        <v>180</v>
      </c>
      <c r="P22" t="s">
        <v>56</v>
      </c>
      <c r="Q22">
        <v>36</v>
      </c>
      <c r="R22">
        <v>7</v>
      </c>
      <c r="S22" t="s">
        <v>163</v>
      </c>
      <c r="T22" t="s">
        <v>164</v>
      </c>
      <c r="U22">
        <v>14</v>
      </c>
      <c r="V22">
        <v>14</v>
      </c>
      <c r="W22">
        <v>14</v>
      </c>
      <c r="X22">
        <v>13</v>
      </c>
      <c r="Y22">
        <v>3</v>
      </c>
      <c r="Z22">
        <v>11</v>
      </c>
      <c r="AA22">
        <v>3.2272720000000001</v>
      </c>
      <c r="AB22">
        <v>35.5</v>
      </c>
      <c r="AC22" t="s">
        <v>70</v>
      </c>
      <c r="AD22" t="s">
        <v>60</v>
      </c>
      <c r="AE22">
        <v>5</v>
      </c>
      <c r="AF22">
        <v>0</v>
      </c>
      <c r="AG22">
        <v>1</v>
      </c>
      <c r="AH22">
        <v>4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10</v>
      </c>
      <c r="AP22">
        <v>1</v>
      </c>
      <c r="AQ22">
        <v>90.909090909089997</v>
      </c>
      <c r="AR22" s="2">
        <v>45749.772523148145</v>
      </c>
      <c r="AS22" s="2">
        <v>46043.584502314814</v>
      </c>
      <c r="AT22" t="s">
        <v>61</v>
      </c>
      <c r="AU22" t="s">
        <v>62</v>
      </c>
      <c r="AV22">
        <v>294</v>
      </c>
    </row>
    <row r="23" spans="1:48" x14ac:dyDescent="0.25">
      <c r="A23">
        <v>195</v>
      </c>
      <c r="B23" t="s">
        <v>190</v>
      </c>
      <c r="C23" t="s">
        <v>191</v>
      </c>
      <c r="D23" t="s">
        <v>192</v>
      </c>
      <c r="E23" t="s">
        <v>193</v>
      </c>
      <c r="F23" t="s">
        <v>194</v>
      </c>
      <c r="G23" t="s">
        <v>53</v>
      </c>
      <c r="H23" s="1">
        <v>39100</v>
      </c>
      <c r="I23">
        <v>19</v>
      </c>
      <c r="J23">
        <v>2007</v>
      </c>
      <c r="K23" s="1">
        <v>45219</v>
      </c>
      <c r="L23">
        <v>2023</v>
      </c>
      <c r="M23" t="s">
        <v>54</v>
      </c>
      <c r="N23">
        <v>10</v>
      </c>
      <c r="O23" t="s">
        <v>118</v>
      </c>
      <c r="P23" t="s">
        <v>119</v>
      </c>
      <c r="Q23">
        <v>120</v>
      </c>
      <c r="R23">
        <v>4</v>
      </c>
      <c r="S23" t="s">
        <v>77</v>
      </c>
      <c r="T23" t="s">
        <v>78</v>
      </c>
      <c r="U23">
        <v>14</v>
      </c>
      <c r="V23">
        <v>14</v>
      </c>
      <c r="W23">
        <v>14</v>
      </c>
      <c r="X23">
        <v>11</v>
      </c>
      <c r="Y23">
        <v>3</v>
      </c>
      <c r="Z23">
        <v>12</v>
      </c>
      <c r="AA23">
        <v>2.25</v>
      </c>
      <c r="AB23">
        <v>27</v>
      </c>
      <c r="AC23" t="s">
        <v>70</v>
      </c>
      <c r="AD23" t="s">
        <v>60</v>
      </c>
      <c r="AE23">
        <v>1</v>
      </c>
      <c r="AF23">
        <v>0</v>
      </c>
      <c r="AG23">
        <v>0</v>
      </c>
      <c r="AH23">
        <v>4</v>
      </c>
      <c r="AI23">
        <v>0</v>
      </c>
      <c r="AJ23">
        <v>2</v>
      </c>
      <c r="AK23">
        <v>2</v>
      </c>
      <c r="AL23">
        <v>0</v>
      </c>
      <c r="AM23">
        <v>2</v>
      </c>
      <c r="AN23">
        <v>1</v>
      </c>
      <c r="AO23">
        <v>11</v>
      </c>
      <c r="AP23">
        <v>1</v>
      </c>
      <c r="AQ23">
        <v>91.666666666666003</v>
      </c>
      <c r="AR23" s="2">
        <v>45738.692395833335</v>
      </c>
      <c r="AS23" s="2">
        <v>46031.752500000002</v>
      </c>
      <c r="AT23" t="s">
        <v>61</v>
      </c>
      <c r="AU23" t="s">
        <v>62</v>
      </c>
      <c r="AV23">
        <v>293</v>
      </c>
    </row>
    <row r="24" spans="1:48" x14ac:dyDescent="0.25">
      <c r="A24">
        <v>231</v>
      </c>
      <c r="B24" t="s">
        <v>195</v>
      </c>
      <c r="C24" t="s">
        <v>196</v>
      </c>
      <c r="D24" t="s">
        <v>197</v>
      </c>
      <c r="E24" t="s">
        <v>198</v>
      </c>
      <c r="F24" t="s">
        <v>199</v>
      </c>
      <c r="G24" t="s">
        <v>53</v>
      </c>
      <c r="H24" s="1">
        <v>36574</v>
      </c>
      <c r="I24">
        <v>26</v>
      </c>
      <c r="J24">
        <v>2000</v>
      </c>
      <c r="K24" s="1">
        <v>45788</v>
      </c>
      <c r="L24">
        <v>2025</v>
      </c>
      <c r="M24" t="s">
        <v>54</v>
      </c>
      <c r="N24">
        <v>20</v>
      </c>
      <c r="O24" t="s">
        <v>180</v>
      </c>
      <c r="P24" t="s">
        <v>56</v>
      </c>
      <c r="Q24">
        <v>36</v>
      </c>
      <c r="R24">
        <v>7</v>
      </c>
      <c r="S24" t="s">
        <v>163</v>
      </c>
      <c r="T24" t="s">
        <v>164</v>
      </c>
      <c r="U24">
        <v>13</v>
      </c>
      <c r="V24">
        <v>14</v>
      </c>
      <c r="W24">
        <v>14</v>
      </c>
      <c r="X24">
        <v>11</v>
      </c>
      <c r="Y24">
        <v>3</v>
      </c>
      <c r="Z24">
        <v>10</v>
      </c>
      <c r="AA24">
        <v>2.4500000000000002</v>
      </c>
      <c r="AB24">
        <v>24.5</v>
      </c>
      <c r="AC24" t="s">
        <v>59</v>
      </c>
      <c r="AD24" t="s">
        <v>60</v>
      </c>
      <c r="AE24">
        <v>1</v>
      </c>
      <c r="AF24">
        <v>0</v>
      </c>
      <c r="AG24">
        <v>2</v>
      </c>
      <c r="AH24">
        <v>1</v>
      </c>
      <c r="AI24">
        <v>0</v>
      </c>
      <c r="AJ24">
        <v>1</v>
      </c>
      <c r="AK24">
        <v>3</v>
      </c>
      <c r="AL24">
        <v>0</v>
      </c>
      <c r="AM24">
        <v>2</v>
      </c>
      <c r="AN24">
        <v>0</v>
      </c>
      <c r="AO24">
        <v>10</v>
      </c>
      <c r="AP24">
        <v>0</v>
      </c>
      <c r="AQ24">
        <v>100</v>
      </c>
      <c r="AR24" s="2">
        <v>45740.879305555558</v>
      </c>
      <c r="AS24" s="2">
        <v>46072.52616898148</v>
      </c>
      <c r="AT24" t="s">
        <v>61</v>
      </c>
      <c r="AU24" t="s">
        <v>62</v>
      </c>
      <c r="AV24">
        <v>332</v>
      </c>
    </row>
    <row r="25" spans="1:48" x14ac:dyDescent="0.25">
      <c r="A25">
        <v>999</v>
      </c>
      <c r="B25" t="s">
        <v>200</v>
      </c>
      <c r="C25" t="s">
        <v>201</v>
      </c>
      <c r="D25" t="s">
        <v>202</v>
      </c>
      <c r="E25" t="s">
        <v>203</v>
      </c>
      <c r="F25" t="s">
        <v>204</v>
      </c>
      <c r="G25" t="s">
        <v>53</v>
      </c>
      <c r="H25" s="1">
        <v>35365</v>
      </c>
      <c r="I25">
        <v>30</v>
      </c>
      <c r="J25">
        <v>1996</v>
      </c>
      <c r="K25" s="1">
        <v>45967</v>
      </c>
      <c r="L25">
        <v>2025</v>
      </c>
      <c r="M25" t="s">
        <v>54</v>
      </c>
      <c r="N25">
        <v>2</v>
      </c>
      <c r="O25" t="s">
        <v>55</v>
      </c>
      <c r="P25" t="s">
        <v>56</v>
      </c>
      <c r="Q25">
        <v>36</v>
      </c>
      <c r="R25">
        <v>1</v>
      </c>
      <c r="S25" t="s">
        <v>57</v>
      </c>
      <c r="T25" t="s">
        <v>58</v>
      </c>
      <c r="U25">
        <v>14</v>
      </c>
      <c r="V25">
        <v>14</v>
      </c>
      <c r="W25">
        <v>14</v>
      </c>
      <c r="X25">
        <v>13</v>
      </c>
      <c r="Y25">
        <v>3</v>
      </c>
      <c r="Z25">
        <v>12</v>
      </c>
      <c r="AA25">
        <v>2.3333330000000001</v>
      </c>
      <c r="AB25">
        <v>28</v>
      </c>
      <c r="AC25" t="s">
        <v>70</v>
      </c>
      <c r="AD25" t="s">
        <v>112</v>
      </c>
      <c r="AE25">
        <v>0</v>
      </c>
      <c r="AF25">
        <v>0</v>
      </c>
      <c r="AG25">
        <v>1</v>
      </c>
      <c r="AH25">
        <v>5</v>
      </c>
      <c r="AI25">
        <v>0</v>
      </c>
      <c r="AJ25">
        <v>1</v>
      </c>
      <c r="AK25">
        <v>3</v>
      </c>
      <c r="AL25">
        <v>0</v>
      </c>
      <c r="AM25">
        <v>1</v>
      </c>
      <c r="AN25">
        <v>1</v>
      </c>
      <c r="AO25">
        <v>11</v>
      </c>
      <c r="AP25">
        <v>1</v>
      </c>
      <c r="AQ25">
        <v>91.666666666666003</v>
      </c>
      <c r="AR25" s="2">
        <v>45776.136203703703</v>
      </c>
      <c r="AS25" s="2">
        <v>46002.772199074076</v>
      </c>
      <c r="AT25" t="s">
        <v>61</v>
      </c>
      <c r="AU25" t="s">
        <v>62</v>
      </c>
      <c r="AV25">
        <v>226</v>
      </c>
    </row>
    <row r="26" spans="1:48" x14ac:dyDescent="0.25">
      <c r="A26">
        <v>460</v>
      </c>
      <c r="B26" t="s">
        <v>205</v>
      </c>
      <c r="C26" t="s">
        <v>206</v>
      </c>
      <c r="D26" t="s">
        <v>207</v>
      </c>
      <c r="E26" t="s">
        <v>208</v>
      </c>
      <c r="F26" t="s">
        <v>209</v>
      </c>
      <c r="G26" t="s">
        <v>104</v>
      </c>
      <c r="H26" s="1">
        <v>36546</v>
      </c>
      <c r="I26">
        <v>26</v>
      </c>
      <c r="J26">
        <v>2000</v>
      </c>
      <c r="K26" s="1">
        <v>45834</v>
      </c>
      <c r="L26">
        <v>2025</v>
      </c>
      <c r="M26" t="s">
        <v>54</v>
      </c>
      <c r="N26">
        <v>2</v>
      </c>
      <c r="O26" t="s">
        <v>55</v>
      </c>
      <c r="P26" t="s">
        <v>56</v>
      </c>
      <c r="Q26">
        <v>36</v>
      </c>
      <c r="R26">
        <v>1</v>
      </c>
      <c r="S26" t="s">
        <v>57</v>
      </c>
      <c r="T26" t="s">
        <v>58</v>
      </c>
      <c r="U26">
        <v>14</v>
      </c>
      <c r="V26">
        <v>14</v>
      </c>
      <c r="W26">
        <v>14</v>
      </c>
      <c r="X26">
        <v>13</v>
      </c>
      <c r="Y26">
        <v>3</v>
      </c>
      <c r="Z26">
        <v>10</v>
      </c>
      <c r="AA26">
        <v>2.7</v>
      </c>
      <c r="AB26">
        <v>27</v>
      </c>
      <c r="AC26" t="s">
        <v>59</v>
      </c>
      <c r="AD26" t="s">
        <v>60</v>
      </c>
      <c r="AE26">
        <v>2</v>
      </c>
      <c r="AF26">
        <v>0</v>
      </c>
      <c r="AG26">
        <v>3</v>
      </c>
      <c r="AH26">
        <v>0</v>
      </c>
      <c r="AI26">
        <v>0</v>
      </c>
      <c r="AJ26">
        <v>1</v>
      </c>
      <c r="AK26">
        <v>2</v>
      </c>
      <c r="AL26">
        <v>0</v>
      </c>
      <c r="AM26">
        <v>2</v>
      </c>
      <c r="AN26">
        <v>0</v>
      </c>
      <c r="AO26">
        <v>10</v>
      </c>
      <c r="AP26">
        <v>0</v>
      </c>
      <c r="AQ26">
        <v>100</v>
      </c>
      <c r="AR26" s="2">
        <v>45755.807627314818</v>
      </c>
      <c r="AS26" s="2">
        <v>46068.898958333331</v>
      </c>
      <c r="AT26" t="s">
        <v>61</v>
      </c>
      <c r="AU26" t="s">
        <v>62</v>
      </c>
      <c r="AV26">
        <v>313</v>
      </c>
    </row>
    <row r="27" spans="1:48" x14ac:dyDescent="0.25">
      <c r="A27">
        <v>833</v>
      </c>
      <c r="B27" t="s">
        <v>210</v>
      </c>
      <c r="C27" t="s">
        <v>211</v>
      </c>
      <c r="D27" t="s">
        <v>212</v>
      </c>
      <c r="E27" t="s">
        <v>213</v>
      </c>
      <c r="F27" t="s">
        <v>214</v>
      </c>
      <c r="G27" t="s">
        <v>53</v>
      </c>
      <c r="H27" s="1">
        <v>37355</v>
      </c>
      <c r="I27">
        <v>24</v>
      </c>
      <c r="J27">
        <v>2002</v>
      </c>
      <c r="K27" s="1">
        <v>45713</v>
      </c>
      <c r="L27">
        <v>2025</v>
      </c>
      <c r="M27" t="s">
        <v>54</v>
      </c>
      <c r="N27">
        <v>4</v>
      </c>
      <c r="O27" t="s">
        <v>215</v>
      </c>
      <c r="P27" t="s">
        <v>119</v>
      </c>
      <c r="Q27">
        <v>120</v>
      </c>
      <c r="R27">
        <v>2</v>
      </c>
      <c r="S27" t="s">
        <v>85</v>
      </c>
      <c r="T27" t="s">
        <v>86</v>
      </c>
      <c r="U27">
        <v>13</v>
      </c>
      <c r="V27">
        <v>14</v>
      </c>
      <c r="W27">
        <v>14</v>
      </c>
      <c r="X27">
        <v>14</v>
      </c>
      <c r="Y27">
        <v>3</v>
      </c>
      <c r="Z27">
        <v>11</v>
      </c>
      <c r="AA27">
        <v>2.0909089999999999</v>
      </c>
      <c r="AB27">
        <v>23</v>
      </c>
      <c r="AC27" t="s">
        <v>70</v>
      </c>
      <c r="AD27" t="s">
        <v>60</v>
      </c>
      <c r="AE27">
        <v>2</v>
      </c>
      <c r="AF27">
        <v>0</v>
      </c>
      <c r="AG27">
        <v>1</v>
      </c>
      <c r="AH27">
        <v>3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4</v>
      </c>
      <c r="AO27">
        <v>7</v>
      </c>
      <c r="AP27">
        <v>4</v>
      </c>
      <c r="AQ27">
        <v>63.636363636363001</v>
      </c>
      <c r="AR27" s="2">
        <v>45735.055208333331</v>
      </c>
      <c r="AS27" s="2">
        <v>46083.130995370368</v>
      </c>
      <c r="AT27" t="s">
        <v>61</v>
      </c>
      <c r="AU27" t="s">
        <v>62</v>
      </c>
      <c r="AV27">
        <v>348</v>
      </c>
    </row>
    <row r="28" spans="1:48" x14ac:dyDescent="0.25">
      <c r="A28">
        <v>30</v>
      </c>
      <c r="B28" t="s">
        <v>216</v>
      </c>
      <c r="C28" t="s">
        <v>217</v>
      </c>
      <c r="D28" t="s">
        <v>218</v>
      </c>
      <c r="E28" t="s">
        <v>219</v>
      </c>
      <c r="F28" t="s">
        <v>220</v>
      </c>
      <c r="G28" t="s">
        <v>104</v>
      </c>
      <c r="H28" s="1">
        <v>37036</v>
      </c>
      <c r="I28">
        <v>25</v>
      </c>
      <c r="J28">
        <v>2001</v>
      </c>
      <c r="K28" s="1">
        <v>45122</v>
      </c>
      <c r="L28">
        <v>2023</v>
      </c>
      <c r="M28" t="s">
        <v>54</v>
      </c>
      <c r="N28">
        <v>3</v>
      </c>
      <c r="O28" t="s">
        <v>68</v>
      </c>
      <c r="P28" t="s">
        <v>69</v>
      </c>
      <c r="Q28">
        <v>60</v>
      </c>
      <c r="R28">
        <v>1</v>
      </c>
      <c r="S28" t="s">
        <v>57</v>
      </c>
      <c r="T28" t="s">
        <v>58</v>
      </c>
      <c r="U28">
        <v>13</v>
      </c>
      <c r="V28">
        <v>14</v>
      </c>
      <c r="W28">
        <v>14</v>
      </c>
      <c r="X28">
        <v>13</v>
      </c>
      <c r="Y28">
        <v>3</v>
      </c>
      <c r="Z28">
        <v>13</v>
      </c>
      <c r="AA28">
        <v>2.5384609999999999</v>
      </c>
      <c r="AB28">
        <v>33</v>
      </c>
      <c r="AC28" t="s">
        <v>59</v>
      </c>
      <c r="AD28" t="s">
        <v>60</v>
      </c>
      <c r="AE28">
        <v>4</v>
      </c>
      <c r="AF28">
        <v>0</v>
      </c>
      <c r="AG28">
        <v>2</v>
      </c>
      <c r="AH28">
        <v>0</v>
      </c>
      <c r="AI28">
        <v>0</v>
      </c>
      <c r="AJ28">
        <v>2</v>
      </c>
      <c r="AK28">
        <v>0</v>
      </c>
      <c r="AL28">
        <v>0</v>
      </c>
      <c r="AM28">
        <v>5</v>
      </c>
      <c r="AN28">
        <v>0</v>
      </c>
      <c r="AO28">
        <v>13</v>
      </c>
      <c r="AP28">
        <v>0</v>
      </c>
      <c r="AQ28">
        <v>100</v>
      </c>
      <c r="AR28" s="2">
        <v>45723.692916666667</v>
      </c>
      <c r="AS28" s="2">
        <v>46083.124745370369</v>
      </c>
      <c r="AT28" t="s">
        <v>61</v>
      </c>
      <c r="AU28" t="s">
        <v>62</v>
      </c>
      <c r="AV28">
        <v>360</v>
      </c>
    </row>
    <row r="29" spans="1:48" x14ac:dyDescent="0.25">
      <c r="A29">
        <v>781</v>
      </c>
      <c r="B29" t="s">
        <v>221</v>
      </c>
      <c r="C29" t="s">
        <v>153</v>
      </c>
      <c r="D29" t="s">
        <v>222</v>
      </c>
      <c r="E29" t="s">
        <v>223</v>
      </c>
      <c r="F29" t="s">
        <v>224</v>
      </c>
      <c r="G29" t="s">
        <v>104</v>
      </c>
      <c r="H29" s="1">
        <v>37620</v>
      </c>
      <c r="I29">
        <v>24</v>
      </c>
      <c r="J29">
        <v>2002</v>
      </c>
      <c r="K29" s="1">
        <v>45487</v>
      </c>
      <c r="L29">
        <v>2024</v>
      </c>
      <c r="M29" t="s">
        <v>225</v>
      </c>
      <c r="N29">
        <v>5</v>
      </c>
      <c r="O29" t="s">
        <v>84</v>
      </c>
      <c r="P29" t="s">
        <v>56</v>
      </c>
      <c r="Q29">
        <v>36</v>
      </c>
      <c r="R29">
        <v>2</v>
      </c>
      <c r="S29" t="s">
        <v>85</v>
      </c>
      <c r="T29" t="s">
        <v>86</v>
      </c>
      <c r="U29">
        <v>14</v>
      </c>
      <c r="V29">
        <v>14</v>
      </c>
      <c r="W29">
        <v>14</v>
      </c>
      <c r="X29">
        <v>12</v>
      </c>
      <c r="Y29">
        <v>3</v>
      </c>
      <c r="Z29">
        <v>13</v>
      </c>
      <c r="AA29">
        <v>2.192307</v>
      </c>
      <c r="AB29">
        <v>28.5</v>
      </c>
      <c r="AC29" t="s">
        <v>70</v>
      </c>
      <c r="AD29" t="s">
        <v>60</v>
      </c>
      <c r="AE29">
        <v>3</v>
      </c>
      <c r="AF29">
        <v>0</v>
      </c>
      <c r="AG29">
        <v>2</v>
      </c>
      <c r="AH29">
        <v>1</v>
      </c>
      <c r="AI29">
        <v>0</v>
      </c>
      <c r="AJ29">
        <v>1</v>
      </c>
      <c r="AK29">
        <v>1</v>
      </c>
      <c r="AL29">
        <v>0</v>
      </c>
      <c r="AM29">
        <v>2</v>
      </c>
      <c r="AN29">
        <v>3</v>
      </c>
      <c r="AO29">
        <v>10</v>
      </c>
      <c r="AP29">
        <v>3</v>
      </c>
      <c r="AQ29">
        <v>76.923076923075996</v>
      </c>
      <c r="AR29" s="2">
        <v>45730.316921296297</v>
      </c>
      <c r="AS29" s="2">
        <v>46039.068541666667</v>
      </c>
      <c r="AT29" t="s">
        <v>61</v>
      </c>
      <c r="AU29" t="s">
        <v>62</v>
      </c>
      <c r="AV29">
        <v>309</v>
      </c>
    </row>
    <row r="30" spans="1:48" x14ac:dyDescent="0.25">
      <c r="A30">
        <v>445</v>
      </c>
      <c r="B30" t="s">
        <v>226</v>
      </c>
      <c r="C30" t="s">
        <v>227</v>
      </c>
      <c r="D30" t="s">
        <v>228</v>
      </c>
      <c r="E30" t="s">
        <v>229</v>
      </c>
      <c r="F30" t="s">
        <v>230</v>
      </c>
      <c r="G30" t="s">
        <v>53</v>
      </c>
      <c r="H30" s="1">
        <v>39283</v>
      </c>
      <c r="I30">
        <v>19</v>
      </c>
      <c r="J30">
        <v>2007</v>
      </c>
      <c r="K30" s="1">
        <v>45379</v>
      </c>
      <c r="L30">
        <v>2024</v>
      </c>
      <c r="M30" t="s">
        <v>54</v>
      </c>
      <c r="N30">
        <v>7</v>
      </c>
      <c r="O30" t="s">
        <v>231</v>
      </c>
      <c r="P30" t="s">
        <v>119</v>
      </c>
      <c r="Q30">
        <v>120</v>
      </c>
      <c r="R30">
        <v>3</v>
      </c>
      <c r="S30" t="s">
        <v>126</v>
      </c>
      <c r="T30" t="s">
        <v>127</v>
      </c>
      <c r="U30">
        <v>14</v>
      </c>
      <c r="V30">
        <v>14</v>
      </c>
      <c r="W30">
        <v>14</v>
      </c>
      <c r="X30">
        <v>11</v>
      </c>
      <c r="Y30">
        <v>3</v>
      </c>
      <c r="Z30">
        <v>11</v>
      </c>
      <c r="AA30">
        <v>2.5909089999999999</v>
      </c>
      <c r="AB30">
        <v>28.5</v>
      </c>
      <c r="AC30" t="s">
        <v>70</v>
      </c>
      <c r="AD30" t="s">
        <v>60</v>
      </c>
      <c r="AE30">
        <v>1</v>
      </c>
      <c r="AF30">
        <v>0</v>
      </c>
      <c r="AG30">
        <v>1</v>
      </c>
      <c r="AH30">
        <v>5</v>
      </c>
      <c r="AI30">
        <v>0</v>
      </c>
      <c r="AJ30">
        <v>0</v>
      </c>
      <c r="AK30">
        <v>3</v>
      </c>
      <c r="AL30">
        <v>0</v>
      </c>
      <c r="AM30">
        <v>0</v>
      </c>
      <c r="AN30">
        <v>1</v>
      </c>
      <c r="AO30">
        <v>10</v>
      </c>
      <c r="AP30">
        <v>1</v>
      </c>
      <c r="AQ30">
        <v>90.909090909089997</v>
      </c>
      <c r="AR30" s="2">
        <v>45746.817499999997</v>
      </c>
      <c r="AS30" s="2">
        <v>46055.56722222222</v>
      </c>
      <c r="AT30" t="s">
        <v>61</v>
      </c>
      <c r="AU30" t="s">
        <v>62</v>
      </c>
      <c r="AV30">
        <v>309</v>
      </c>
    </row>
    <row r="31" spans="1:48" x14ac:dyDescent="0.25">
      <c r="A31">
        <v>888</v>
      </c>
      <c r="B31" t="s">
        <v>232</v>
      </c>
      <c r="C31" t="s">
        <v>233</v>
      </c>
      <c r="D31" t="s">
        <v>234</v>
      </c>
      <c r="E31" t="s">
        <v>235</v>
      </c>
      <c r="F31" t="s">
        <v>236</v>
      </c>
      <c r="G31" t="s">
        <v>104</v>
      </c>
      <c r="H31" s="1">
        <v>38149</v>
      </c>
      <c r="I31">
        <v>22</v>
      </c>
      <c r="J31">
        <v>2004</v>
      </c>
      <c r="K31" s="1">
        <v>44656</v>
      </c>
      <c r="L31">
        <v>2022</v>
      </c>
      <c r="M31" t="s">
        <v>54</v>
      </c>
      <c r="N31">
        <v>6</v>
      </c>
      <c r="O31" t="s">
        <v>133</v>
      </c>
      <c r="P31" t="s">
        <v>69</v>
      </c>
      <c r="Q31">
        <v>60</v>
      </c>
      <c r="R31">
        <v>2</v>
      </c>
      <c r="S31" t="s">
        <v>85</v>
      </c>
      <c r="T31" t="s">
        <v>86</v>
      </c>
      <c r="U31">
        <v>13</v>
      </c>
      <c r="V31">
        <v>14</v>
      </c>
      <c r="W31">
        <v>14</v>
      </c>
      <c r="X31">
        <v>12</v>
      </c>
      <c r="Y31">
        <v>3</v>
      </c>
      <c r="Z31">
        <v>12</v>
      </c>
      <c r="AA31">
        <v>2.5833330000000001</v>
      </c>
      <c r="AB31">
        <v>31</v>
      </c>
      <c r="AC31" t="s">
        <v>59</v>
      </c>
      <c r="AD31" t="s">
        <v>60</v>
      </c>
      <c r="AE31">
        <v>1</v>
      </c>
      <c r="AF31">
        <v>0</v>
      </c>
      <c r="AG31">
        <v>2</v>
      </c>
      <c r="AH31">
        <v>4</v>
      </c>
      <c r="AI31">
        <v>0</v>
      </c>
      <c r="AJ31">
        <v>0</v>
      </c>
      <c r="AK31">
        <v>3</v>
      </c>
      <c r="AL31">
        <v>0</v>
      </c>
      <c r="AM31">
        <v>2</v>
      </c>
      <c r="AN31">
        <v>0</v>
      </c>
      <c r="AO31">
        <v>12</v>
      </c>
      <c r="AP31">
        <v>0</v>
      </c>
      <c r="AQ31">
        <v>100</v>
      </c>
      <c r="AR31" s="2">
        <v>45732.042870370373</v>
      </c>
      <c r="AS31" s="2">
        <v>46048.965370370373</v>
      </c>
      <c r="AT31" t="s">
        <v>61</v>
      </c>
      <c r="AU31" t="s">
        <v>62</v>
      </c>
      <c r="AV31">
        <v>316</v>
      </c>
    </row>
    <row r="32" spans="1:48" x14ac:dyDescent="0.25">
      <c r="A32">
        <v>628</v>
      </c>
      <c r="B32" t="s">
        <v>237</v>
      </c>
      <c r="C32" t="s">
        <v>238</v>
      </c>
      <c r="D32" t="s">
        <v>239</v>
      </c>
      <c r="E32" t="s">
        <v>240</v>
      </c>
      <c r="F32" t="s">
        <v>241</v>
      </c>
      <c r="G32" t="s">
        <v>104</v>
      </c>
      <c r="H32" s="1">
        <v>35015</v>
      </c>
      <c r="I32">
        <v>31</v>
      </c>
      <c r="J32">
        <v>1995</v>
      </c>
      <c r="K32" s="1">
        <v>45071</v>
      </c>
      <c r="L32">
        <v>2023</v>
      </c>
      <c r="M32" t="s">
        <v>54</v>
      </c>
      <c r="N32">
        <v>12</v>
      </c>
      <c r="O32" t="s">
        <v>76</v>
      </c>
      <c r="P32" t="s">
        <v>69</v>
      </c>
      <c r="Q32">
        <v>60</v>
      </c>
      <c r="R32">
        <v>4</v>
      </c>
      <c r="S32" t="s">
        <v>77</v>
      </c>
      <c r="T32" t="s">
        <v>78</v>
      </c>
      <c r="U32">
        <v>13</v>
      </c>
      <c r="V32">
        <v>14</v>
      </c>
      <c r="W32">
        <v>14</v>
      </c>
      <c r="X32">
        <v>11</v>
      </c>
      <c r="Y32">
        <v>3</v>
      </c>
      <c r="Z32">
        <v>11</v>
      </c>
      <c r="AA32">
        <v>2.1363629999999998</v>
      </c>
      <c r="AB32">
        <v>23.5</v>
      </c>
      <c r="AC32" t="s">
        <v>70</v>
      </c>
      <c r="AD32" t="s">
        <v>60</v>
      </c>
      <c r="AE32">
        <v>1</v>
      </c>
      <c r="AF32">
        <v>0</v>
      </c>
      <c r="AG32">
        <v>2</v>
      </c>
      <c r="AH32">
        <v>0</v>
      </c>
      <c r="AI32">
        <v>0</v>
      </c>
      <c r="AJ32">
        <v>3</v>
      </c>
      <c r="AK32">
        <v>1</v>
      </c>
      <c r="AL32">
        <v>0</v>
      </c>
      <c r="AM32">
        <v>3</v>
      </c>
      <c r="AN32">
        <v>1</v>
      </c>
      <c r="AO32">
        <v>10</v>
      </c>
      <c r="AP32">
        <v>1</v>
      </c>
      <c r="AQ32">
        <v>90.909090909089997</v>
      </c>
      <c r="AR32" s="2">
        <v>45737.804884259262</v>
      </c>
      <c r="AS32" s="2">
        <v>46085.879513888889</v>
      </c>
      <c r="AT32" t="s">
        <v>61</v>
      </c>
      <c r="AU32" t="s">
        <v>62</v>
      </c>
      <c r="AV32">
        <v>348</v>
      </c>
    </row>
    <row r="33" spans="1:48" x14ac:dyDescent="0.25">
      <c r="A33">
        <v>941</v>
      </c>
      <c r="B33" t="s">
        <v>242</v>
      </c>
      <c r="C33" t="s">
        <v>243</v>
      </c>
      <c r="D33" t="s">
        <v>244</v>
      </c>
      <c r="E33" t="s">
        <v>245</v>
      </c>
      <c r="F33" t="s">
        <v>246</v>
      </c>
      <c r="G33" t="s">
        <v>104</v>
      </c>
      <c r="H33" s="1">
        <v>35471</v>
      </c>
      <c r="I33">
        <v>29</v>
      </c>
      <c r="J33">
        <v>1997</v>
      </c>
      <c r="K33" s="1">
        <v>44653</v>
      </c>
      <c r="L33">
        <v>2022</v>
      </c>
      <c r="M33" t="s">
        <v>54</v>
      </c>
      <c r="N33">
        <v>1</v>
      </c>
      <c r="O33" t="s">
        <v>157</v>
      </c>
      <c r="P33" t="s">
        <v>119</v>
      </c>
      <c r="Q33">
        <v>120</v>
      </c>
      <c r="R33">
        <v>1</v>
      </c>
      <c r="S33" t="s">
        <v>57</v>
      </c>
      <c r="T33" t="s">
        <v>58</v>
      </c>
      <c r="U33">
        <v>14</v>
      </c>
      <c r="V33">
        <v>14</v>
      </c>
      <c r="W33">
        <v>14</v>
      </c>
      <c r="X33">
        <v>12</v>
      </c>
      <c r="Y33">
        <v>3</v>
      </c>
      <c r="Z33">
        <v>12</v>
      </c>
      <c r="AA33">
        <v>2.4583330000000001</v>
      </c>
      <c r="AB33">
        <v>29.5</v>
      </c>
      <c r="AC33" t="s">
        <v>70</v>
      </c>
      <c r="AD33" t="s">
        <v>60</v>
      </c>
      <c r="AE33">
        <v>2</v>
      </c>
      <c r="AF33">
        <v>0</v>
      </c>
      <c r="AG33">
        <v>2</v>
      </c>
      <c r="AH33">
        <v>2</v>
      </c>
      <c r="AI33">
        <v>0</v>
      </c>
      <c r="AJ33">
        <v>1</v>
      </c>
      <c r="AK33">
        <v>3</v>
      </c>
      <c r="AL33">
        <v>0</v>
      </c>
      <c r="AM33">
        <v>0</v>
      </c>
      <c r="AN33">
        <v>2</v>
      </c>
      <c r="AO33">
        <v>10</v>
      </c>
      <c r="AP33">
        <v>2</v>
      </c>
      <c r="AQ33">
        <v>83.333333333333002</v>
      </c>
      <c r="AR33" s="2">
        <v>45728.853877314818</v>
      </c>
      <c r="AS33" s="2">
        <v>45963.844351851854</v>
      </c>
      <c r="AT33" t="s">
        <v>61</v>
      </c>
      <c r="AU33" t="s">
        <v>62</v>
      </c>
      <c r="AV33">
        <v>235</v>
      </c>
    </row>
    <row r="34" spans="1:48" x14ac:dyDescent="0.25">
      <c r="A34">
        <v>55</v>
      </c>
      <c r="B34" t="s">
        <v>247</v>
      </c>
      <c r="C34" t="s">
        <v>248</v>
      </c>
      <c r="D34" t="s">
        <v>249</v>
      </c>
      <c r="E34" t="s">
        <v>250</v>
      </c>
      <c r="F34">
        <f>1-639-433-5290</f>
        <v>-6361</v>
      </c>
      <c r="G34" t="s">
        <v>104</v>
      </c>
      <c r="H34" s="1">
        <v>39452</v>
      </c>
      <c r="I34">
        <v>18</v>
      </c>
      <c r="J34">
        <v>2008</v>
      </c>
      <c r="K34" s="1">
        <v>45414</v>
      </c>
      <c r="L34">
        <v>2024</v>
      </c>
      <c r="M34" t="s">
        <v>54</v>
      </c>
      <c r="N34">
        <v>15</v>
      </c>
      <c r="O34" t="s">
        <v>91</v>
      </c>
      <c r="P34" t="s">
        <v>69</v>
      </c>
      <c r="Q34">
        <v>60</v>
      </c>
      <c r="R34">
        <v>5</v>
      </c>
      <c r="S34" t="s">
        <v>92</v>
      </c>
      <c r="T34" t="s">
        <v>93</v>
      </c>
      <c r="U34">
        <v>12</v>
      </c>
      <c r="V34">
        <v>14</v>
      </c>
      <c r="W34">
        <v>14</v>
      </c>
      <c r="X34">
        <v>12</v>
      </c>
      <c r="Y34">
        <v>3</v>
      </c>
      <c r="Z34">
        <v>12</v>
      </c>
      <c r="AA34">
        <v>1.9583330000000001</v>
      </c>
      <c r="AB34">
        <v>23.5</v>
      </c>
      <c r="AC34" t="s">
        <v>70</v>
      </c>
      <c r="AD34" t="s">
        <v>60</v>
      </c>
      <c r="AE34">
        <v>2</v>
      </c>
      <c r="AF34">
        <v>0</v>
      </c>
      <c r="AG34">
        <v>0</v>
      </c>
      <c r="AH34">
        <v>1</v>
      </c>
      <c r="AI34">
        <v>0</v>
      </c>
      <c r="AJ34">
        <v>3</v>
      </c>
      <c r="AK34">
        <v>2</v>
      </c>
      <c r="AL34">
        <v>0</v>
      </c>
      <c r="AM34">
        <v>1</v>
      </c>
      <c r="AN34">
        <v>3</v>
      </c>
      <c r="AO34">
        <v>9</v>
      </c>
      <c r="AP34">
        <v>3</v>
      </c>
      <c r="AQ34">
        <v>75</v>
      </c>
      <c r="AR34" s="2">
        <v>45734.8903125</v>
      </c>
      <c r="AS34" s="2">
        <v>46061.918680555558</v>
      </c>
      <c r="AT34" t="s">
        <v>61</v>
      </c>
      <c r="AU34" t="s">
        <v>62</v>
      </c>
      <c r="AV34">
        <v>327</v>
      </c>
    </row>
    <row r="35" spans="1:48" x14ac:dyDescent="0.25">
      <c r="A35">
        <v>112</v>
      </c>
      <c r="B35" t="s">
        <v>251</v>
      </c>
      <c r="C35" t="s">
        <v>252</v>
      </c>
      <c r="D35" t="s">
        <v>253</v>
      </c>
      <c r="E35" t="s">
        <v>254</v>
      </c>
      <c r="F35" t="s">
        <v>255</v>
      </c>
      <c r="G35" t="s">
        <v>53</v>
      </c>
      <c r="H35" s="1">
        <v>38313</v>
      </c>
      <c r="I35">
        <v>22</v>
      </c>
      <c r="J35">
        <v>2004</v>
      </c>
      <c r="K35" s="1">
        <v>45509</v>
      </c>
      <c r="L35">
        <v>2024</v>
      </c>
      <c r="M35" t="s">
        <v>54</v>
      </c>
      <c r="N35">
        <v>2</v>
      </c>
      <c r="O35" t="s">
        <v>55</v>
      </c>
      <c r="P35" t="s">
        <v>56</v>
      </c>
      <c r="Q35">
        <v>36</v>
      </c>
      <c r="R35">
        <v>1</v>
      </c>
      <c r="S35" t="s">
        <v>57</v>
      </c>
      <c r="T35" t="s">
        <v>58</v>
      </c>
      <c r="U35">
        <v>12</v>
      </c>
      <c r="V35">
        <v>14</v>
      </c>
      <c r="W35">
        <v>14</v>
      </c>
      <c r="X35">
        <v>10</v>
      </c>
      <c r="Y35">
        <v>3</v>
      </c>
      <c r="Z35">
        <v>11</v>
      </c>
      <c r="AA35">
        <v>3.1363629999999998</v>
      </c>
      <c r="AB35">
        <v>34.5</v>
      </c>
      <c r="AC35" t="s">
        <v>59</v>
      </c>
      <c r="AD35" t="s">
        <v>60</v>
      </c>
      <c r="AE35">
        <v>4</v>
      </c>
      <c r="AF35">
        <v>0</v>
      </c>
      <c r="AG35">
        <v>3</v>
      </c>
      <c r="AH35">
        <v>1</v>
      </c>
      <c r="AI35">
        <v>0</v>
      </c>
      <c r="AJ35">
        <v>0</v>
      </c>
      <c r="AK35">
        <v>2</v>
      </c>
      <c r="AL35">
        <v>0</v>
      </c>
      <c r="AM35">
        <v>1</v>
      </c>
      <c r="AN35">
        <v>0</v>
      </c>
      <c r="AO35">
        <v>11</v>
      </c>
      <c r="AP35">
        <v>0</v>
      </c>
      <c r="AQ35">
        <v>100</v>
      </c>
      <c r="AR35" s="2">
        <v>45756.759085648147</v>
      </c>
      <c r="AS35" s="2">
        <v>46070.693090277775</v>
      </c>
      <c r="AT35" t="s">
        <v>61</v>
      </c>
      <c r="AU35" t="s">
        <v>62</v>
      </c>
      <c r="AV35">
        <v>314</v>
      </c>
    </row>
    <row r="36" spans="1:48" x14ac:dyDescent="0.25">
      <c r="A36">
        <v>772</v>
      </c>
      <c r="B36" t="s">
        <v>256</v>
      </c>
      <c r="C36" t="s">
        <v>257</v>
      </c>
      <c r="D36" t="s">
        <v>258</v>
      </c>
      <c r="E36" t="s">
        <v>259</v>
      </c>
      <c r="F36" t="s">
        <v>260</v>
      </c>
      <c r="G36" t="s">
        <v>104</v>
      </c>
      <c r="H36" s="1">
        <v>36788</v>
      </c>
      <c r="I36">
        <v>26</v>
      </c>
      <c r="J36">
        <v>2000</v>
      </c>
      <c r="K36" s="1">
        <v>44662</v>
      </c>
      <c r="L36">
        <v>2022</v>
      </c>
      <c r="M36" t="s">
        <v>54</v>
      </c>
      <c r="N36">
        <v>4</v>
      </c>
      <c r="O36" t="s">
        <v>215</v>
      </c>
      <c r="P36" t="s">
        <v>119</v>
      </c>
      <c r="Q36">
        <v>120</v>
      </c>
      <c r="R36">
        <v>2</v>
      </c>
      <c r="S36" t="s">
        <v>85</v>
      </c>
      <c r="T36" t="s">
        <v>86</v>
      </c>
      <c r="U36">
        <v>14</v>
      </c>
      <c r="V36">
        <v>14</v>
      </c>
      <c r="W36">
        <v>14</v>
      </c>
      <c r="X36">
        <v>14</v>
      </c>
      <c r="Y36">
        <v>3</v>
      </c>
      <c r="Z36">
        <v>13</v>
      </c>
      <c r="AA36">
        <v>1.692307</v>
      </c>
      <c r="AB36">
        <v>22</v>
      </c>
      <c r="AC36" t="s">
        <v>70</v>
      </c>
      <c r="AD36" t="s">
        <v>60</v>
      </c>
      <c r="AE36">
        <v>1</v>
      </c>
      <c r="AF36">
        <v>0</v>
      </c>
      <c r="AG36">
        <v>1</v>
      </c>
      <c r="AH36">
        <v>0</v>
      </c>
      <c r="AI36">
        <v>0</v>
      </c>
      <c r="AJ36">
        <v>3</v>
      </c>
      <c r="AK36">
        <v>2</v>
      </c>
      <c r="AL36">
        <v>0</v>
      </c>
      <c r="AM36">
        <v>3</v>
      </c>
      <c r="AN36">
        <v>3</v>
      </c>
      <c r="AO36">
        <v>10</v>
      </c>
      <c r="AP36">
        <v>3</v>
      </c>
      <c r="AQ36">
        <v>76.923076923075996</v>
      </c>
      <c r="AR36" s="2">
        <v>45758.20039351852</v>
      </c>
      <c r="AS36" s="2">
        <v>46047.59611111111</v>
      </c>
      <c r="AT36" t="s">
        <v>61</v>
      </c>
      <c r="AU36" t="s">
        <v>62</v>
      </c>
      <c r="AV36">
        <v>289</v>
      </c>
    </row>
    <row r="37" spans="1:48" x14ac:dyDescent="0.25">
      <c r="A37">
        <v>590</v>
      </c>
      <c r="B37" t="s">
        <v>261</v>
      </c>
      <c r="C37" t="s">
        <v>262</v>
      </c>
      <c r="D37" t="s">
        <v>154</v>
      </c>
      <c r="E37" t="s">
        <v>263</v>
      </c>
      <c r="F37" t="s">
        <v>264</v>
      </c>
      <c r="G37" t="s">
        <v>53</v>
      </c>
      <c r="H37" s="1">
        <v>37306</v>
      </c>
      <c r="I37">
        <v>24</v>
      </c>
      <c r="J37">
        <v>2002</v>
      </c>
      <c r="K37" s="1">
        <v>45770</v>
      </c>
      <c r="L37">
        <v>2025</v>
      </c>
      <c r="M37" t="s">
        <v>54</v>
      </c>
      <c r="N37">
        <v>3</v>
      </c>
      <c r="O37" t="s">
        <v>68</v>
      </c>
      <c r="P37" t="s">
        <v>69</v>
      </c>
      <c r="Q37">
        <v>60</v>
      </c>
      <c r="R37">
        <v>1</v>
      </c>
      <c r="S37" t="s">
        <v>57</v>
      </c>
      <c r="T37" t="s">
        <v>58</v>
      </c>
      <c r="U37">
        <v>12</v>
      </c>
      <c r="V37">
        <v>14</v>
      </c>
      <c r="W37">
        <v>14</v>
      </c>
      <c r="X37">
        <v>12</v>
      </c>
      <c r="Y37">
        <v>3</v>
      </c>
      <c r="Z37">
        <v>11</v>
      </c>
      <c r="AA37">
        <v>2.6818179999999998</v>
      </c>
      <c r="AB37">
        <v>29.5</v>
      </c>
      <c r="AC37" t="s">
        <v>70</v>
      </c>
      <c r="AD37" t="s">
        <v>60</v>
      </c>
      <c r="AE37">
        <v>4</v>
      </c>
      <c r="AF37">
        <v>0</v>
      </c>
      <c r="AG37">
        <v>1</v>
      </c>
      <c r="AH37">
        <v>1</v>
      </c>
      <c r="AI37">
        <v>0</v>
      </c>
      <c r="AJ37">
        <v>2</v>
      </c>
      <c r="AK37">
        <v>0</v>
      </c>
      <c r="AL37">
        <v>0</v>
      </c>
      <c r="AM37">
        <v>2</v>
      </c>
      <c r="AN37">
        <v>1</v>
      </c>
      <c r="AO37">
        <v>10</v>
      </c>
      <c r="AP37">
        <v>1</v>
      </c>
      <c r="AQ37">
        <v>90.909090909089997</v>
      </c>
      <c r="AR37" s="2">
        <v>45729.912777777776</v>
      </c>
      <c r="AS37" s="2">
        <v>46078.291689814818</v>
      </c>
      <c r="AT37" t="s">
        <v>61</v>
      </c>
      <c r="AU37" t="s">
        <v>62</v>
      </c>
      <c r="AV37">
        <v>349</v>
      </c>
    </row>
    <row r="38" spans="1:48" x14ac:dyDescent="0.25">
      <c r="A38">
        <v>166</v>
      </c>
      <c r="B38" t="s">
        <v>265</v>
      </c>
      <c r="C38" t="s">
        <v>266</v>
      </c>
      <c r="D38" t="s">
        <v>267</v>
      </c>
      <c r="E38" t="s">
        <v>268</v>
      </c>
      <c r="F38" t="s">
        <v>269</v>
      </c>
      <c r="G38" t="s">
        <v>53</v>
      </c>
      <c r="H38" s="1">
        <v>38685</v>
      </c>
      <c r="I38">
        <v>21</v>
      </c>
      <c r="J38">
        <v>2005</v>
      </c>
      <c r="K38" s="1">
        <v>45460</v>
      </c>
      <c r="L38">
        <v>2024</v>
      </c>
      <c r="M38" t="s">
        <v>54</v>
      </c>
      <c r="N38">
        <v>1</v>
      </c>
      <c r="O38" t="s">
        <v>157</v>
      </c>
      <c r="P38" t="s">
        <v>119</v>
      </c>
      <c r="Q38">
        <v>120</v>
      </c>
      <c r="R38">
        <v>1</v>
      </c>
      <c r="S38" t="s">
        <v>57</v>
      </c>
      <c r="T38" t="s">
        <v>58</v>
      </c>
      <c r="U38">
        <v>14</v>
      </c>
      <c r="V38">
        <v>14</v>
      </c>
      <c r="W38">
        <v>14</v>
      </c>
      <c r="X38">
        <v>14</v>
      </c>
      <c r="Y38">
        <v>3</v>
      </c>
      <c r="Z38">
        <v>11</v>
      </c>
      <c r="AA38">
        <v>2.40909</v>
      </c>
      <c r="AB38">
        <v>26.5</v>
      </c>
      <c r="AC38" t="s">
        <v>70</v>
      </c>
      <c r="AD38" t="s">
        <v>60</v>
      </c>
      <c r="AE38">
        <v>2</v>
      </c>
      <c r="AF38">
        <v>0</v>
      </c>
      <c r="AG38">
        <v>0</v>
      </c>
      <c r="AH38">
        <v>4</v>
      </c>
      <c r="AI38">
        <v>0</v>
      </c>
      <c r="AJ38">
        <v>1</v>
      </c>
      <c r="AK38">
        <v>1</v>
      </c>
      <c r="AL38">
        <v>0</v>
      </c>
      <c r="AM38">
        <v>2</v>
      </c>
      <c r="AN38">
        <v>1</v>
      </c>
      <c r="AO38">
        <v>10</v>
      </c>
      <c r="AP38">
        <v>1</v>
      </c>
      <c r="AQ38">
        <v>90.909090909089997</v>
      </c>
      <c r="AR38" s="2">
        <v>45726.862835648149</v>
      </c>
      <c r="AS38" s="2">
        <v>46058.263506944444</v>
      </c>
      <c r="AT38" t="s">
        <v>61</v>
      </c>
      <c r="AU38" t="s">
        <v>62</v>
      </c>
      <c r="AV38">
        <v>332</v>
      </c>
    </row>
    <row r="39" spans="1:48" x14ac:dyDescent="0.25">
      <c r="A39">
        <v>596</v>
      </c>
      <c r="B39" t="s">
        <v>270</v>
      </c>
      <c r="C39" t="s">
        <v>271</v>
      </c>
      <c r="D39" t="s">
        <v>272</v>
      </c>
      <c r="E39" t="s">
        <v>273</v>
      </c>
      <c r="F39" t="s">
        <v>274</v>
      </c>
      <c r="G39" t="s">
        <v>53</v>
      </c>
      <c r="H39" s="1">
        <v>38477</v>
      </c>
      <c r="I39">
        <v>21</v>
      </c>
      <c r="J39">
        <v>2005</v>
      </c>
      <c r="K39" s="1">
        <v>45366</v>
      </c>
      <c r="L39">
        <v>2024</v>
      </c>
      <c r="M39" t="s">
        <v>111</v>
      </c>
      <c r="N39">
        <v>2</v>
      </c>
      <c r="O39" t="s">
        <v>55</v>
      </c>
      <c r="P39" t="s">
        <v>56</v>
      </c>
      <c r="Q39">
        <v>36</v>
      </c>
      <c r="R39">
        <v>1</v>
      </c>
      <c r="S39" t="s">
        <v>57</v>
      </c>
      <c r="T39" t="s">
        <v>58</v>
      </c>
      <c r="U39">
        <v>13</v>
      </c>
      <c r="V39">
        <v>14</v>
      </c>
      <c r="W39">
        <v>14</v>
      </c>
      <c r="X39">
        <v>13</v>
      </c>
      <c r="Y39">
        <v>3</v>
      </c>
      <c r="Z39">
        <v>10</v>
      </c>
      <c r="AA39">
        <v>2.4500000000000002</v>
      </c>
      <c r="AB39">
        <v>24.5</v>
      </c>
      <c r="AC39" t="s">
        <v>59</v>
      </c>
      <c r="AD39" t="s">
        <v>112</v>
      </c>
      <c r="AE39">
        <v>0</v>
      </c>
      <c r="AF39">
        <v>0</v>
      </c>
      <c r="AG39">
        <v>2</v>
      </c>
      <c r="AH39">
        <v>1</v>
      </c>
      <c r="AI39">
        <v>0</v>
      </c>
      <c r="AJ39">
        <v>5</v>
      </c>
      <c r="AK39">
        <v>0</v>
      </c>
      <c r="AL39">
        <v>0</v>
      </c>
      <c r="AM39">
        <v>2</v>
      </c>
      <c r="AN39">
        <v>0</v>
      </c>
      <c r="AO39">
        <v>10</v>
      </c>
      <c r="AP39">
        <v>0</v>
      </c>
      <c r="AQ39">
        <v>100</v>
      </c>
      <c r="AR39" s="2">
        <v>45780.610393518517</v>
      </c>
      <c r="AS39" s="2">
        <v>46049.157083333332</v>
      </c>
      <c r="AT39" t="s">
        <v>61</v>
      </c>
      <c r="AU39" t="s">
        <v>62</v>
      </c>
      <c r="AV39">
        <v>269</v>
      </c>
    </row>
    <row r="40" spans="1:48" x14ac:dyDescent="0.25">
      <c r="A40">
        <v>581</v>
      </c>
      <c r="B40" t="s">
        <v>275</v>
      </c>
      <c r="C40" t="s">
        <v>276</v>
      </c>
      <c r="D40" t="s">
        <v>277</v>
      </c>
      <c r="E40" t="s">
        <v>278</v>
      </c>
      <c r="F40" t="s">
        <v>279</v>
      </c>
      <c r="G40" t="s">
        <v>53</v>
      </c>
      <c r="H40" s="1">
        <v>37551</v>
      </c>
      <c r="I40">
        <v>24</v>
      </c>
      <c r="J40">
        <v>2002</v>
      </c>
      <c r="K40" s="1">
        <v>45183</v>
      </c>
      <c r="L40">
        <v>2023</v>
      </c>
      <c r="M40" t="s">
        <v>54</v>
      </c>
      <c r="N40">
        <v>16</v>
      </c>
      <c r="O40" t="s">
        <v>280</v>
      </c>
      <c r="P40" t="s">
        <v>119</v>
      </c>
      <c r="Q40">
        <v>120</v>
      </c>
      <c r="R40">
        <v>6</v>
      </c>
      <c r="S40" t="s">
        <v>140</v>
      </c>
      <c r="T40" t="s">
        <v>141</v>
      </c>
      <c r="U40">
        <v>14</v>
      </c>
      <c r="V40">
        <v>14</v>
      </c>
      <c r="W40">
        <v>14</v>
      </c>
      <c r="X40">
        <v>13</v>
      </c>
      <c r="Y40">
        <v>3</v>
      </c>
      <c r="Z40">
        <v>14</v>
      </c>
      <c r="AA40">
        <v>1.6071420000000001</v>
      </c>
      <c r="AB40">
        <v>22.5</v>
      </c>
      <c r="AC40" t="s">
        <v>70</v>
      </c>
      <c r="AD40" t="s">
        <v>281</v>
      </c>
      <c r="AE40">
        <v>0</v>
      </c>
      <c r="AF40">
        <v>0</v>
      </c>
      <c r="AG40">
        <v>3</v>
      </c>
      <c r="AH40">
        <v>0</v>
      </c>
      <c r="AI40">
        <v>0</v>
      </c>
      <c r="AJ40">
        <v>2</v>
      </c>
      <c r="AK40">
        <v>2</v>
      </c>
      <c r="AL40">
        <v>0</v>
      </c>
      <c r="AM40">
        <v>3</v>
      </c>
      <c r="AN40">
        <v>4</v>
      </c>
      <c r="AO40">
        <v>10</v>
      </c>
      <c r="AP40">
        <v>4</v>
      </c>
      <c r="AQ40">
        <v>71.428571428571004</v>
      </c>
      <c r="AR40" s="2">
        <v>45750.727858796294</v>
      </c>
      <c r="AS40" s="2">
        <v>46065.191192129627</v>
      </c>
      <c r="AT40" t="s">
        <v>61</v>
      </c>
      <c r="AU40" t="s">
        <v>62</v>
      </c>
      <c r="AV40">
        <v>315</v>
      </c>
    </row>
    <row r="41" spans="1:48" x14ac:dyDescent="0.25">
      <c r="A41">
        <v>458</v>
      </c>
      <c r="B41" t="s">
        <v>282</v>
      </c>
      <c r="C41" t="s">
        <v>283</v>
      </c>
      <c r="D41" t="s">
        <v>284</v>
      </c>
      <c r="E41" t="s">
        <v>285</v>
      </c>
      <c r="F41">
        <f>1-720-843-3971</f>
        <v>-5533</v>
      </c>
      <c r="G41" t="s">
        <v>104</v>
      </c>
      <c r="H41" s="1">
        <v>37559</v>
      </c>
      <c r="I41">
        <v>24</v>
      </c>
      <c r="J41">
        <v>2002</v>
      </c>
      <c r="K41" s="1">
        <v>45343</v>
      </c>
      <c r="L41">
        <v>2024</v>
      </c>
      <c r="M41" t="s">
        <v>111</v>
      </c>
      <c r="N41">
        <v>18</v>
      </c>
      <c r="O41" t="s">
        <v>139</v>
      </c>
      <c r="P41" t="s">
        <v>69</v>
      </c>
      <c r="Q41">
        <v>60</v>
      </c>
      <c r="R41">
        <v>6</v>
      </c>
      <c r="S41" t="s">
        <v>140</v>
      </c>
      <c r="T41" t="s">
        <v>141</v>
      </c>
      <c r="U41">
        <v>12</v>
      </c>
      <c r="V41">
        <v>14</v>
      </c>
      <c r="W41">
        <v>14</v>
      </c>
      <c r="X41">
        <v>11</v>
      </c>
      <c r="Y41">
        <v>3</v>
      </c>
      <c r="Z41">
        <v>12</v>
      </c>
      <c r="AA41">
        <v>2.0833330000000001</v>
      </c>
      <c r="AB41">
        <v>25</v>
      </c>
      <c r="AC41" t="s">
        <v>70</v>
      </c>
      <c r="AD41" t="s">
        <v>60</v>
      </c>
      <c r="AE41">
        <v>1</v>
      </c>
      <c r="AF41">
        <v>0</v>
      </c>
      <c r="AG41">
        <v>1</v>
      </c>
      <c r="AH41">
        <v>2</v>
      </c>
      <c r="AI41">
        <v>0</v>
      </c>
      <c r="AJ41">
        <v>3</v>
      </c>
      <c r="AK41">
        <v>1</v>
      </c>
      <c r="AL41">
        <v>0</v>
      </c>
      <c r="AM41">
        <v>2</v>
      </c>
      <c r="AN41">
        <v>2</v>
      </c>
      <c r="AO41">
        <v>10</v>
      </c>
      <c r="AP41">
        <v>2</v>
      </c>
      <c r="AQ41">
        <v>83.333333333333002</v>
      </c>
      <c r="AR41" s="2">
        <v>45734.193344907406</v>
      </c>
      <c r="AS41" s="2">
        <v>46027.856874999998</v>
      </c>
      <c r="AT41" t="s">
        <v>61</v>
      </c>
      <c r="AU41" t="s">
        <v>62</v>
      </c>
      <c r="AV41">
        <v>293</v>
      </c>
    </row>
    <row r="42" spans="1:48" x14ac:dyDescent="0.25">
      <c r="A42">
        <v>40</v>
      </c>
      <c r="B42" t="s">
        <v>286</v>
      </c>
      <c r="C42" t="s">
        <v>143</v>
      </c>
      <c r="D42" t="s">
        <v>253</v>
      </c>
      <c r="E42" t="s">
        <v>287</v>
      </c>
      <c r="F42" t="s">
        <v>288</v>
      </c>
      <c r="G42" t="s">
        <v>53</v>
      </c>
      <c r="H42" s="1">
        <v>36584</v>
      </c>
      <c r="I42">
        <v>26</v>
      </c>
      <c r="J42">
        <v>2000</v>
      </c>
      <c r="K42" s="1">
        <v>45971</v>
      </c>
      <c r="L42">
        <v>2025</v>
      </c>
      <c r="M42" t="s">
        <v>54</v>
      </c>
      <c r="N42">
        <v>13</v>
      </c>
      <c r="O42" t="s">
        <v>146</v>
      </c>
      <c r="P42" t="s">
        <v>119</v>
      </c>
      <c r="Q42">
        <v>120</v>
      </c>
      <c r="R42">
        <v>5</v>
      </c>
      <c r="S42" t="s">
        <v>92</v>
      </c>
      <c r="T42" t="s">
        <v>93</v>
      </c>
      <c r="U42">
        <v>12</v>
      </c>
      <c r="V42">
        <v>14</v>
      </c>
      <c r="W42">
        <v>14</v>
      </c>
      <c r="X42">
        <v>11</v>
      </c>
      <c r="Y42">
        <v>3</v>
      </c>
      <c r="Z42">
        <v>12</v>
      </c>
      <c r="AA42">
        <v>2.0833330000000001</v>
      </c>
      <c r="AB42">
        <v>25</v>
      </c>
      <c r="AC42" t="s">
        <v>70</v>
      </c>
      <c r="AD42" t="s">
        <v>60</v>
      </c>
      <c r="AE42">
        <v>3</v>
      </c>
      <c r="AF42">
        <v>0</v>
      </c>
      <c r="AG42">
        <v>2</v>
      </c>
      <c r="AH42">
        <v>1</v>
      </c>
      <c r="AI42">
        <v>0</v>
      </c>
      <c r="AJ42">
        <v>0</v>
      </c>
      <c r="AK42">
        <v>1</v>
      </c>
      <c r="AL42">
        <v>0</v>
      </c>
      <c r="AM42">
        <v>1</v>
      </c>
      <c r="AN42">
        <v>4</v>
      </c>
      <c r="AO42">
        <v>8</v>
      </c>
      <c r="AP42">
        <v>4</v>
      </c>
      <c r="AQ42">
        <v>66.666666666666003</v>
      </c>
      <c r="AR42" s="2">
        <v>45795.579861111109</v>
      </c>
      <c r="AS42" s="2">
        <v>46048.083113425928</v>
      </c>
      <c r="AT42" t="s">
        <v>61</v>
      </c>
      <c r="AU42" t="s">
        <v>62</v>
      </c>
      <c r="AV42">
        <v>253</v>
      </c>
    </row>
    <row r="43" spans="1:48" x14ac:dyDescent="0.25">
      <c r="A43">
        <v>188</v>
      </c>
      <c r="B43" t="s">
        <v>289</v>
      </c>
      <c r="C43" t="s">
        <v>290</v>
      </c>
      <c r="D43" t="s">
        <v>291</v>
      </c>
      <c r="E43" t="s">
        <v>292</v>
      </c>
      <c r="F43" t="s">
        <v>293</v>
      </c>
      <c r="G43" t="s">
        <v>53</v>
      </c>
      <c r="H43" s="1">
        <v>36999</v>
      </c>
      <c r="I43">
        <v>25</v>
      </c>
      <c r="J43">
        <v>2001</v>
      </c>
      <c r="K43" s="1">
        <v>45932</v>
      </c>
      <c r="L43">
        <v>2025</v>
      </c>
      <c r="M43" t="s">
        <v>54</v>
      </c>
      <c r="N43">
        <v>6</v>
      </c>
      <c r="O43" t="s">
        <v>133</v>
      </c>
      <c r="P43" t="s">
        <v>69</v>
      </c>
      <c r="Q43">
        <v>60</v>
      </c>
      <c r="R43">
        <v>2</v>
      </c>
      <c r="S43" t="s">
        <v>85</v>
      </c>
      <c r="T43" t="s">
        <v>86</v>
      </c>
      <c r="U43">
        <v>13</v>
      </c>
      <c r="V43">
        <v>14</v>
      </c>
      <c r="W43">
        <v>14</v>
      </c>
      <c r="X43">
        <v>13</v>
      </c>
      <c r="Y43">
        <v>3</v>
      </c>
      <c r="Z43">
        <v>11</v>
      </c>
      <c r="AA43">
        <v>2.954545</v>
      </c>
      <c r="AB43">
        <v>32.5</v>
      </c>
      <c r="AC43" t="s">
        <v>59</v>
      </c>
      <c r="AD43" t="s">
        <v>60</v>
      </c>
      <c r="AE43">
        <v>4</v>
      </c>
      <c r="AF43">
        <v>0</v>
      </c>
      <c r="AG43">
        <v>2</v>
      </c>
      <c r="AH43">
        <v>1</v>
      </c>
      <c r="AI43">
        <v>0</v>
      </c>
      <c r="AJ43">
        <v>1</v>
      </c>
      <c r="AK43">
        <v>1</v>
      </c>
      <c r="AL43">
        <v>0</v>
      </c>
      <c r="AM43">
        <v>2</v>
      </c>
      <c r="AN43">
        <v>0</v>
      </c>
      <c r="AO43">
        <v>11</v>
      </c>
      <c r="AP43">
        <v>0</v>
      </c>
      <c r="AQ43">
        <v>100</v>
      </c>
      <c r="AR43" s="2">
        <v>45769.398935185185</v>
      </c>
      <c r="AS43" s="2">
        <v>46037.3753125</v>
      </c>
      <c r="AT43" t="s">
        <v>61</v>
      </c>
      <c r="AU43" t="s">
        <v>62</v>
      </c>
      <c r="AV43">
        <v>268</v>
      </c>
    </row>
    <row r="44" spans="1:48" x14ac:dyDescent="0.25">
      <c r="A44">
        <v>85</v>
      </c>
      <c r="B44" t="s">
        <v>294</v>
      </c>
      <c r="C44" t="s">
        <v>295</v>
      </c>
      <c r="D44" t="s">
        <v>296</v>
      </c>
      <c r="E44" t="s">
        <v>297</v>
      </c>
      <c r="F44" t="s">
        <v>298</v>
      </c>
      <c r="G44" t="s">
        <v>104</v>
      </c>
      <c r="H44" s="1">
        <v>35250</v>
      </c>
      <c r="I44">
        <v>30</v>
      </c>
      <c r="J44">
        <v>1996</v>
      </c>
      <c r="K44" s="1">
        <v>45104</v>
      </c>
      <c r="L44">
        <v>2023</v>
      </c>
      <c r="M44" t="s">
        <v>54</v>
      </c>
      <c r="N44">
        <v>5</v>
      </c>
      <c r="O44" t="s">
        <v>84</v>
      </c>
      <c r="P44" t="s">
        <v>56</v>
      </c>
      <c r="Q44">
        <v>36</v>
      </c>
      <c r="R44">
        <v>2</v>
      </c>
      <c r="S44" t="s">
        <v>85</v>
      </c>
      <c r="T44" t="s">
        <v>86</v>
      </c>
      <c r="U44">
        <v>14</v>
      </c>
      <c r="V44">
        <v>14</v>
      </c>
      <c r="W44">
        <v>14</v>
      </c>
      <c r="X44">
        <v>12</v>
      </c>
      <c r="Y44">
        <v>3</v>
      </c>
      <c r="Z44">
        <v>13</v>
      </c>
      <c r="AA44">
        <v>1.7692300000000001</v>
      </c>
      <c r="AB44">
        <v>23</v>
      </c>
      <c r="AC44" t="s">
        <v>70</v>
      </c>
      <c r="AD44" t="s">
        <v>60</v>
      </c>
      <c r="AE44">
        <v>1</v>
      </c>
      <c r="AF44">
        <v>0</v>
      </c>
      <c r="AG44">
        <v>0</v>
      </c>
      <c r="AH44">
        <v>3</v>
      </c>
      <c r="AI44">
        <v>0</v>
      </c>
      <c r="AJ44">
        <v>2</v>
      </c>
      <c r="AK44">
        <v>1</v>
      </c>
      <c r="AL44">
        <v>0</v>
      </c>
      <c r="AM44">
        <v>3</v>
      </c>
      <c r="AN44">
        <v>3</v>
      </c>
      <c r="AO44">
        <v>10</v>
      </c>
      <c r="AP44">
        <v>3</v>
      </c>
      <c r="AQ44">
        <v>76.923076923075996</v>
      </c>
      <c r="AR44" s="2">
        <v>45757.737442129626</v>
      </c>
      <c r="AS44" s="2">
        <v>46018.551134259258</v>
      </c>
      <c r="AT44" t="s">
        <v>61</v>
      </c>
      <c r="AU44" t="s">
        <v>62</v>
      </c>
      <c r="AV44">
        <v>261</v>
      </c>
    </row>
    <row r="45" spans="1:48" x14ac:dyDescent="0.25">
      <c r="A45">
        <v>609</v>
      </c>
      <c r="B45" t="s">
        <v>299</v>
      </c>
      <c r="C45" t="s">
        <v>300</v>
      </c>
      <c r="D45" t="s">
        <v>301</v>
      </c>
      <c r="E45" t="s">
        <v>302</v>
      </c>
      <c r="F45" t="s">
        <v>303</v>
      </c>
      <c r="G45" t="s">
        <v>104</v>
      </c>
      <c r="H45" s="1">
        <v>38625</v>
      </c>
      <c r="I45">
        <v>21</v>
      </c>
      <c r="J45">
        <v>2005</v>
      </c>
      <c r="K45" s="1">
        <v>44914</v>
      </c>
      <c r="L45">
        <v>2022</v>
      </c>
      <c r="M45" t="s">
        <v>54</v>
      </c>
      <c r="N45">
        <v>3</v>
      </c>
      <c r="O45" t="s">
        <v>68</v>
      </c>
      <c r="P45" t="s">
        <v>69</v>
      </c>
      <c r="Q45">
        <v>60</v>
      </c>
      <c r="R45">
        <v>1</v>
      </c>
      <c r="S45" t="s">
        <v>57</v>
      </c>
      <c r="T45" t="s">
        <v>58</v>
      </c>
      <c r="U45">
        <v>13</v>
      </c>
      <c r="V45">
        <v>14</v>
      </c>
      <c r="W45">
        <v>14</v>
      </c>
      <c r="X45">
        <v>11</v>
      </c>
      <c r="Y45">
        <v>3</v>
      </c>
      <c r="Z45">
        <v>12</v>
      </c>
      <c r="AA45">
        <v>2.7916660000000002</v>
      </c>
      <c r="AB45">
        <v>33.5</v>
      </c>
      <c r="AC45" t="s">
        <v>59</v>
      </c>
      <c r="AD45" t="s">
        <v>60</v>
      </c>
      <c r="AE45">
        <v>2</v>
      </c>
      <c r="AF45">
        <v>0</v>
      </c>
      <c r="AG45">
        <v>4</v>
      </c>
      <c r="AH45">
        <v>1</v>
      </c>
      <c r="AI45">
        <v>0</v>
      </c>
      <c r="AJ45">
        <v>1</v>
      </c>
      <c r="AK45">
        <v>2</v>
      </c>
      <c r="AL45">
        <v>0</v>
      </c>
      <c r="AM45">
        <v>2</v>
      </c>
      <c r="AN45">
        <v>0</v>
      </c>
      <c r="AO45">
        <v>12</v>
      </c>
      <c r="AP45">
        <v>0</v>
      </c>
      <c r="AQ45">
        <v>100</v>
      </c>
      <c r="AR45" s="2">
        <v>45793.785717592589</v>
      </c>
      <c r="AS45" s="2">
        <v>46075.332025462965</v>
      </c>
      <c r="AT45" t="s">
        <v>61</v>
      </c>
      <c r="AU45" t="s">
        <v>62</v>
      </c>
      <c r="AV45">
        <v>282</v>
      </c>
    </row>
    <row r="46" spans="1:48" x14ac:dyDescent="0.25">
      <c r="A46">
        <v>28</v>
      </c>
      <c r="B46" t="s">
        <v>304</v>
      </c>
      <c r="C46" t="s">
        <v>305</v>
      </c>
      <c r="D46" t="s">
        <v>306</v>
      </c>
      <c r="E46" t="s">
        <v>307</v>
      </c>
      <c r="F46" t="s">
        <v>308</v>
      </c>
      <c r="G46" t="s">
        <v>53</v>
      </c>
      <c r="H46" s="1">
        <v>39496</v>
      </c>
      <c r="I46">
        <v>18</v>
      </c>
      <c r="J46">
        <v>2008</v>
      </c>
      <c r="K46" s="1">
        <v>45429</v>
      </c>
      <c r="L46">
        <v>2024</v>
      </c>
      <c r="M46" t="s">
        <v>54</v>
      </c>
      <c r="N46">
        <v>8</v>
      </c>
      <c r="O46" t="s">
        <v>125</v>
      </c>
      <c r="P46" t="s">
        <v>56</v>
      </c>
      <c r="Q46">
        <v>36</v>
      </c>
      <c r="R46">
        <v>3</v>
      </c>
      <c r="S46" t="s">
        <v>126</v>
      </c>
      <c r="T46" t="s">
        <v>127</v>
      </c>
      <c r="U46">
        <v>13</v>
      </c>
      <c r="V46">
        <v>14</v>
      </c>
      <c r="W46">
        <v>14</v>
      </c>
      <c r="X46">
        <v>11</v>
      </c>
      <c r="Y46">
        <v>3</v>
      </c>
      <c r="Z46">
        <v>14</v>
      </c>
      <c r="AA46">
        <v>2.3928569999999998</v>
      </c>
      <c r="AB46">
        <v>33.5</v>
      </c>
      <c r="AC46" t="s">
        <v>70</v>
      </c>
      <c r="AD46" t="s">
        <v>60</v>
      </c>
      <c r="AE46">
        <v>3</v>
      </c>
      <c r="AF46">
        <v>0</v>
      </c>
      <c r="AG46">
        <v>2</v>
      </c>
      <c r="AH46">
        <v>1</v>
      </c>
      <c r="AI46">
        <v>0</v>
      </c>
      <c r="AJ46">
        <v>3</v>
      </c>
      <c r="AK46">
        <v>1</v>
      </c>
      <c r="AL46">
        <v>0</v>
      </c>
      <c r="AM46">
        <v>2</v>
      </c>
      <c r="AN46">
        <v>2</v>
      </c>
      <c r="AO46">
        <v>12</v>
      </c>
      <c r="AP46">
        <v>2</v>
      </c>
      <c r="AQ46">
        <v>85.714285714284998</v>
      </c>
      <c r="AR46" s="2">
        <v>45723.402303240742</v>
      </c>
      <c r="AS46" s="2">
        <v>46043.905648148146</v>
      </c>
      <c r="AT46" t="s">
        <v>61</v>
      </c>
      <c r="AU46" t="s">
        <v>62</v>
      </c>
      <c r="AV46">
        <v>320</v>
      </c>
    </row>
    <row r="47" spans="1:48" x14ac:dyDescent="0.25">
      <c r="A47">
        <v>342</v>
      </c>
      <c r="B47" t="s">
        <v>309</v>
      </c>
      <c r="C47" t="s">
        <v>310</v>
      </c>
      <c r="D47" t="s">
        <v>311</v>
      </c>
      <c r="E47" t="s">
        <v>312</v>
      </c>
      <c r="F47" t="s">
        <v>313</v>
      </c>
      <c r="G47" t="s">
        <v>53</v>
      </c>
      <c r="H47" s="1">
        <v>38836</v>
      </c>
      <c r="I47">
        <v>20</v>
      </c>
      <c r="J47">
        <v>2006</v>
      </c>
      <c r="K47" s="1">
        <v>44645</v>
      </c>
      <c r="L47">
        <v>2022</v>
      </c>
      <c r="M47" t="s">
        <v>111</v>
      </c>
      <c r="N47">
        <v>12</v>
      </c>
      <c r="O47" t="s">
        <v>76</v>
      </c>
      <c r="P47" t="s">
        <v>69</v>
      </c>
      <c r="Q47">
        <v>60</v>
      </c>
      <c r="R47">
        <v>4</v>
      </c>
      <c r="S47" t="s">
        <v>77</v>
      </c>
      <c r="T47" t="s">
        <v>78</v>
      </c>
      <c r="U47">
        <v>13</v>
      </c>
      <c r="V47">
        <v>14</v>
      </c>
      <c r="W47">
        <v>14</v>
      </c>
      <c r="X47">
        <v>12</v>
      </c>
      <c r="Y47">
        <v>3</v>
      </c>
      <c r="Z47">
        <v>11</v>
      </c>
      <c r="AA47">
        <v>1.818181</v>
      </c>
      <c r="AB47">
        <v>20</v>
      </c>
      <c r="AC47" t="s">
        <v>70</v>
      </c>
      <c r="AD47" t="s">
        <v>60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4</v>
      </c>
      <c r="AK47">
        <v>2</v>
      </c>
      <c r="AL47">
        <v>0</v>
      </c>
      <c r="AM47">
        <v>2</v>
      </c>
      <c r="AN47">
        <v>2</v>
      </c>
      <c r="AO47">
        <v>9</v>
      </c>
      <c r="AP47">
        <v>2</v>
      </c>
      <c r="AQ47">
        <v>81.818181818181003</v>
      </c>
      <c r="AR47" s="2">
        <v>45739.646979166668</v>
      </c>
      <c r="AS47" s="2">
        <v>46059.455821759257</v>
      </c>
      <c r="AT47" t="s">
        <v>61</v>
      </c>
      <c r="AU47" t="s">
        <v>62</v>
      </c>
      <c r="AV47">
        <v>320</v>
      </c>
    </row>
    <row r="48" spans="1:48" x14ac:dyDescent="0.25">
      <c r="A48">
        <v>950</v>
      </c>
      <c r="B48" t="s">
        <v>314</v>
      </c>
      <c r="C48" t="s">
        <v>315</v>
      </c>
      <c r="D48" t="s">
        <v>316</v>
      </c>
      <c r="E48" t="s">
        <v>317</v>
      </c>
      <c r="F48" t="s">
        <v>318</v>
      </c>
      <c r="G48" t="s">
        <v>104</v>
      </c>
      <c r="H48" s="1">
        <v>39291</v>
      </c>
      <c r="I48">
        <v>19</v>
      </c>
      <c r="J48">
        <v>2007</v>
      </c>
      <c r="K48" s="1">
        <v>45245</v>
      </c>
      <c r="L48">
        <v>2023</v>
      </c>
      <c r="M48" t="s">
        <v>54</v>
      </c>
      <c r="N48">
        <v>13</v>
      </c>
      <c r="O48" t="s">
        <v>146</v>
      </c>
      <c r="P48" t="s">
        <v>119</v>
      </c>
      <c r="Q48">
        <v>120</v>
      </c>
      <c r="R48">
        <v>5</v>
      </c>
      <c r="S48" t="s">
        <v>92</v>
      </c>
      <c r="T48" t="s">
        <v>93</v>
      </c>
      <c r="U48">
        <v>13</v>
      </c>
      <c r="V48">
        <v>14</v>
      </c>
      <c r="W48">
        <v>14</v>
      </c>
      <c r="X48">
        <v>13</v>
      </c>
      <c r="Y48">
        <v>3</v>
      </c>
      <c r="Z48">
        <v>10</v>
      </c>
      <c r="AA48">
        <v>1.65</v>
      </c>
      <c r="AB48">
        <v>16.5</v>
      </c>
      <c r="AC48" t="s">
        <v>70</v>
      </c>
      <c r="AD48" t="s">
        <v>60</v>
      </c>
      <c r="AE48">
        <v>2</v>
      </c>
      <c r="AF48">
        <v>0</v>
      </c>
      <c r="AG48">
        <v>1</v>
      </c>
      <c r="AH48">
        <v>1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5</v>
      </c>
      <c r="AO48">
        <v>5</v>
      </c>
      <c r="AP48">
        <v>5</v>
      </c>
      <c r="AQ48">
        <v>50</v>
      </c>
      <c r="AR48" s="2">
        <v>45728.766261574077</v>
      </c>
      <c r="AS48" s="2">
        <v>46051.844872685186</v>
      </c>
      <c r="AT48" t="s">
        <v>61</v>
      </c>
      <c r="AU48" t="s">
        <v>62</v>
      </c>
      <c r="AV48">
        <v>323</v>
      </c>
    </row>
    <row r="49" spans="1:48" x14ac:dyDescent="0.25">
      <c r="A49">
        <v>916</v>
      </c>
      <c r="B49" t="s">
        <v>319</v>
      </c>
      <c r="C49" t="s">
        <v>153</v>
      </c>
      <c r="D49" t="s">
        <v>320</v>
      </c>
      <c r="E49" t="s">
        <v>321</v>
      </c>
      <c r="F49" t="s">
        <v>322</v>
      </c>
      <c r="G49" t="s">
        <v>104</v>
      </c>
      <c r="H49" s="1">
        <v>38563</v>
      </c>
      <c r="I49">
        <v>21</v>
      </c>
      <c r="J49">
        <v>2005</v>
      </c>
      <c r="K49" s="1">
        <v>45169</v>
      </c>
      <c r="L49">
        <v>2023</v>
      </c>
      <c r="M49" t="s">
        <v>54</v>
      </c>
      <c r="N49">
        <v>1</v>
      </c>
      <c r="O49" t="s">
        <v>157</v>
      </c>
      <c r="P49" t="s">
        <v>119</v>
      </c>
      <c r="Q49">
        <v>120</v>
      </c>
      <c r="R49">
        <v>1</v>
      </c>
      <c r="S49" t="s">
        <v>57</v>
      </c>
      <c r="T49" t="s">
        <v>58</v>
      </c>
      <c r="U49">
        <v>13</v>
      </c>
      <c r="V49">
        <v>14</v>
      </c>
      <c r="W49">
        <v>14</v>
      </c>
      <c r="X49">
        <v>9</v>
      </c>
      <c r="Y49">
        <v>3</v>
      </c>
      <c r="Z49">
        <v>11</v>
      </c>
      <c r="AA49">
        <v>2.954545</v>
      </c>
      <c r="AB49">
        <v>32.5</v>
      </c>
      <c r="AC49" t="s">
        <v>59</v>
      </c>
      <c r="AD49" t="s">
        <v>60</v>
      </c>
      <c r="AE49">
        <v>4</v>
      </c>
      <c r="AF49">
        <v>0</v>
      </c>
      <c r="AG49">
        <v>1</v>
      </c>
      <c r="AH49">
        <v>2</v>
      </c>
      <c r="AI49">
        <v>0</v>
      </c>
      <c r="AJ49">
        <v>2</v>
      </c>
      <c r="AK49">
        <v>0</v>
      </c>
      <c r="AL49">
        <v>0</v>
      </c>
      <c r="AM49">
        <v>2</v>
      </c>
      <c r="AN49">
        <v>0</v>
      </c>
      <c r="AO49">
        <v>11</v>
      </c>
      <c r="AP49">
        <v>0</v>
      </c>
      <c r="AQ49">
        <v>100</v>
      </c>
      <c r="AR49" s="2">
        <v>45748.779930555553</v>
      </c>
      <c r="AS49" s="2">
        <v>46062.588831018518</v>
      </c>
      <c r="AT49" t="s">
        <v>61</v>
      </c>
      <c r="AU49" t="s">
        <v>62</v>
      </c>
      <c r="AV49">
        <v>314</v>
      </c>
    </row>
    <row r="50" spans="1:48" x14ac:dyDescent="0.25">
      <c r="A50">
        <v>252</v>
      </c>
      <c r="B50" t="s">
        <v>323</v>
      </c>
      <c r="C50" t="s">
        <v>153</v>
      </c>
      <c r="D50" t="s">
        <v>65</v>
      </c>
      <c r="E50" t="s">
        <v>324</v>
      </c>
      <c r="F50" t="s">
        <v>325</v>
      </c>
      <c r="G50" t="s">
        <v>104</v>
      </c>
      <c r="H50" s="1">
        <v>38029</v>
      </c>
      <c r="I50">
        <v>22</v>
      </c>
      <c r="J50">
        <v>2004</v>
      </c>
      <c r="K50" s="1">
        <v>45086</v>
      </c>
      <c r="L50">
        <v>2023</v>
      </c>
      <c r="M50" t="s">
        <v>54</v>
      </c>
      <c r="N50">
        <v>15</v>
      </c>
      <c r="O50" t="s">
        <v>91</v>
      </c>
      <c r="P50" t="s">
        <v>69</v>
      </c>
      <c r="Q50">
        <v>60</v>
      </c>
      <c r="R50">
        <v>5</v>
      </c>
      <c r="S50" t="s">
        <v>92</v>
      </c>
      <c r="T50" t="s">
        <v>93</v>
      </c>
      <c r="U50">
        <v>14</v>
      </c>
      <c r="V50">
        <v>14</v>
      </c>
      <c r="W50">
        <v>14</v>
      </c>
      <c r="X50">
        <v>13</v>
      </c>
      <c r="Y50">
        <v>3</v>
      </c>
      <c r="Z50">
        <v>14</v>
      </c>
      <c r="AA50">
        <v>2.321428</v>
      </c>
      <c r="AB50">
        <v>32.5</v>
      </c>
      <c r="AC50" t="s">
        <v>70</v>
      </c>
      <c r="AD50" t="s">
        <v>60</v>
      </c>
      <c r="AE50">
        <v>2</v>
      </c>
      <c r="AF50">
        <v>0</v>
      </c>
      <c r="AG50">
        <v>3</v>
      </c>
      <c r="AH50">
        <v>2</v>
      </c>
      <c r="AI50">
        <v>0</v>
      </c>
      <c r="AJ50">
        <v>0</v>
      </c>
      <c r="AK50">
        <v>3</v>
      </c>
      <c r="AL50">
        <v>0</v>
      </c>
      <c r="AM50">
        <v>2</v>
      </c>
      <c r="AN50">
        <v>2</v>
      </c>
      <c r="AO50">
        <v>12</v>
      </c>
      <c r="AP50">
        <v>2</v>
      </c>
      <c r="AQ50">
        <v>85.714285714284998</v>
      </c>
      <c r="AR50" s="2">
        <v>45752.28025462963</v>
      </c>
      <c r="AS50" s="2">
        <v>46082.708680555559</v>
      </c>
      <c r="AT50" t="s">
        <v>61</v>
      </c>
      <c r="AU50" t="s">
        <v>62</v>
      </c>
      <c r="AV50">
        <v>330</v>
      </c>
    </row>
    <row r="51" spans="1:48" x14ac:dyDescent="0.25">
      <c r="A51">
        <v>577</v>
      </c>
      <c r="B51" t="s">
        <v>326</v>
      </c>
      <c r="C51" t="s">
        <v>327</v>
      </c>
      <c r="D51" t="s">
        <v>144</v>
      </c>
      <c r="E51" t="s">
        <v>328</v>
      </c>
      <c r="F51" t="s">
        <v>329</v>
      </c>
      <c r="G51" t="s">
        <v>104</v>
      </c>
      <c r="H51" s="1">
        <v>36053</v>
      </c>
      <c r="I51">
        <v>28</v>
      </c>
      <c r="J51">
        <v>1998</v>
      </c>
      <c r="K51" s="1">
        <v>44759</v>
      </c>
      <c r="L51">
        <v>2022</v>
      </c>
      <c r="M51" t="s">
        <v>54</v>
      </c>
      <c r="N51">
        <v>14</v>
      </c>
      <c r="O51" t="s">
        <v>105</v>
      </c>
      <c r="P51" t="s">
        <v>56</v>
      </c>
      <c r="Q51">
        <v>36</v>
      </c>
      <c r="R51">
        <v>5</v>
      </c>
      <c r="S51" t="s">
        <v>92</v>
      </c>
      <c r="T51" t="s">
        <v>93</v>
      </c>
      <c r="U51">
        <v>14</v>
      </c>
      <c r="V51">
        <v>14</v>
      </c>
      <c r="W51">
        <v>14</v>
      </c>
      <c r="X51">
        <v>11</v>
      </c>
      <c r="Y51">
        <v>3</v>
      </c>
      <c r="Z51">
        <v>10</v>
      </c>
      <c r="AA51">
        <v>2.6</v>
      </c>
      <c r="AB51">
        <v>26</v>
      </c>
      <c r="AC51" t="s">
        <v>59</v>
      </c>
      <c r="AD51" t="s">
        <v>60</v>
      </c>
      <c r="AE51">
        <v>1</v>
      </c>
      <c r="AF51">
        <v>0</v>
      </c>
      <c r="AG51">
        <v>2</v>
      </c>
      <c r="AH51">
        <v>2</v>
      </c>
      <c r="AI51">
        <v>0</v>
      </c>
      <c r="AJ51">
        <v>2</v>
      </c>
      <c r="AK51">
        <v>1</v>
      </c>
      <c r="AL51">
        <v>0</v>
      </c>
      <c r="AM51">
        <v>2</v>
      </c>
      <c r="AN51">
        <v>0</v>
      </c>
      <c r="AO51">
        <v>10</v>
      </c>
      <c r="AP51">
        <v>0</v>
      </c>
      <c r="AQ51">
        <v>100</v>
      </c>
      <c r="AR51" s="2">
        <v>45760.305509259262</v>
      </c>
      <c r="AS51" s="2">
        <v>46075.180393518516</v>
      </c>
      <c r="AT51" t="s">
        <v>61</v>
      </c>
      <c r="AU51" t="s">
        <v>62</v>
      </c>
      <c r="AV51">
        <v>315</v>
      </c>
    </row>
    <row r="52" spans="1:48" x14ac:dyDescent="0.25">
      <c r="A52">
        <v>744</v>
      </c>
      <c r="B52" t="s">
        <v>330</v>
      </c>
      <c r="C52" t="s">
        <v>331</v>
      </c>
      <c r="D52" t="s">
        <v>332</v>
      </c>
      <c r="E52" t="s">
        <v>333</v>
      </c>
      <c r="F52" t="s">
        <v>334</v>
      </c>
      <c r="G52" t="s">
        <v>104</v>
      </c>
      <c r="H52" s="1">
        <v>39066</v>
      </c>
      <c r="I52">
        <v>20</v>
      </c>
      <c r="J52">
        <v>2006</v>
      </c>
      <c r="K52" s="1">
        <v>44818</v>
      </c>
      <c r="L52">
        <v>2022</v>
      </c>
      <c r="M52" t="s">
        <v>54</v>
      </c>
      <c r="N52">
        <v>13</v>
      </c>
      <c r="O52" t="s">
        <v>146</v>
      </c>
      <c r="P52" t="s">
        <v>119</v>
      </c>
      <c r="Q52">
        <v>120</v>
      </c>
      <c r="R52">
        <v>5</v>
      </c>
      <c r="S52" t="s">
        <v>92</v>
      </c>
      <c r="T52" t="s">
        <v>93</v>
      </c>
      <c r="U52">
        <v>13</v>
      </c>
      <c r="V52">
        <v>14</v>
      </c>
      <c r="W52">
        <v>14</v>
      </c>
      <c r="X52">
        <v>11</v>
      </c>
      <c r="Y52">
        <v>3</v>
      </c>
      <c r="Z52">
        <v>14</v>
      </c>
      <c r="AA52">
        <v>2.3571420000000001</v>
      </c>
      <c r="AB52">
        <v>33</v>
      </c>
      <c r="AC52" t="s">
        <v>59</v>
      </c>
      <c r="AD52" t="s">
        <v>60</v>
      </c>
      <c r="AE52">
        <v>2</v>
      </c>
      <c r="AF52">
        <v>0</v>
      </c>
      <c r="AG52">
        <v>3</v>
      </c>
      <c r="AH52">
        <v>0</v>
      </c>
      <c r="AI52">
        <v>0</v>
      </c>
      <c r="AJ52">
        <v>3</v>
      </c>
      <c r="AK52">
        <v>1</v>
      </c>
      <c r="AL52">
        <v>0</v>
      </c>
      <c r="AM52">
        <v>5</v>
      </c>
      <c r="AN52">
        <v>0</v>
      </c>
      <c r="AO52">
        <v>14</v>
      </c>
      <c r="AP52">
        <v>0</v>
      </c>
      <c r="AQ52">
        <v>100</v>
      </c>
      <c r="AR52" s="2">
        <v>45775.937824074077</v>
      </c>
      <c r="AS52" s="2">
        <v>46045.085717592592</v>
      </c>
      <c r="AT52" t="s">
        <v>61</v>
      </c>
      <c r="AU52" t="s">
        <v>62</v>
      </c>
      <c r="AV52">
        <v>270</v>
      </c>
    </row>
    <row r="53" spans="1:48" x14ac:dyDescent="0.25">
      <c r="A53">
        <v>854</v>
      </c>
      <c r="B53" t="s">
        <v>335</v>
      </c>
      <c r="C53" t="s">
        <v>336</v>
      </c>
      <c r="D53" t="s">
        <v>172</v>
      </c>
      <c r="E53" t="s">
        <v>337</v>
      </c>
      <c r="F53" t="s">
        <v>338</v>
      </c>
      <c r="G53" t="s">
        <v>104</v>
      </c>
      <c r="H53" s="1">
        <v>36745</v>
      </c>
      <c r="I53">
        <v>26</v>
      </c>
      <c r="J53">
        <v>2000</v>
      </c>
      <c r="K53" s="1">
        <v>44657</v>
      </c>
      <c r="L53">
        <v>2022</v>
      </c>
      <c r="M53" t="s">
        <v>54</v>
      </c>
      <c r="N53">
        <v>21</v>
      </c>
      <c r="O53" t="s">
        <v>339</v>
      </c>
      <c r="P53" t="s">
        <v>69</v>
      </c>
      <c r="Q53">
        <v>60</v>
      </c>
      <c r="R53">
        <v>7</v>
      </c>
      <c r="S53" t="s">
        <v>163</v>
      </c>
      <c r="T53" t="s">
        <v>164</v>
      </c>
      <c r="U53">
        <v>13</v>
      </c>
      <c r="V53">
        <v>14</v>
      </c>
      <c r="W53">
        <v>14</v>
      </c>
      <c r="X53">
        <v>13</v>
      </c>
      <c r="Y53">
        <v>3</v>
      </c>
      <c r="Z53">
        <v>11</v>
      </c>
      <c r="AA53">
        <v>1.681818</v>
      </c>
      <c r="AB53">
        <v>18.5</v>
      </c>
      <c r="AC53" t="s">
        <v>70</v>
      </c>
      <c r="AD53" t="s">
        <v>112</v>
      </c>
      <c r="AE53">
        <v>0</v>
      </c>
      <c r="AF53">
        <v>0</v>
      </c>
      <c r="AG53">
        <v>1</v>
      </c>
      <c r="AH53">
        <v>1</v>
      </c>
      <c r="AI53">
        <v>0</v>
      </c>
      <c r="AJ53">
        <v>2</v>
      </c>
      <c r="AK53">
        <v>2</v>
      </c>
      <c r="AL53">
        <v>0</v>
      </c>
      <c r="AM53">
        <v>3</v>
      </c>
      <c r="AN53">
        <v>2</v>
      </c>
      <c r="AO53">
        <v>9</v>
      </c>
      <c r="AP53">
        <v>2</v>
      </c>
      <c r="AQ53">
        <v>81.818181818181003</v>
      </c>
      <c r="AR53" s="2">
        <v>45731.193622685183</v>
      </c>
      <c r="AS53" s="2">
        <v>46043.393587962964</v>
      </c>
      <c r="AT53" t="s">
        <v>61</v>
      </c>
      <c r="AU53" t="s">
        <v>62</v>
      </c>
      <c r="AV53">
        <v>312</v>
      </c>
    </row>
    <row r="54" spans="1:48" x14ac:dyDescent="0.25">
      <c r="A54">
        <v>234</v>
      </c>
      <c r="B54" t="s">
        <v>340</v>
      </c>
      <c r="C54" t="s">
        <v>341</v>
      </c>
      <c r="D54" t="s">
        <v>342</v>
      </c>
      <c r="E54" t="s">
        <v>343</v>
      </c>
      <c r="F54" t="s">
        <v>344</v>
      </c>
      <c r="G54" t="s">
        <v>53</v>
      </c>
      <c r="H54" s="1">
        <v>37960</v>
      </c>
      <c r="I54">
        <v>23</v>
      </c>
      <c r="J54">
        <v>2003</v>
      </c>
      <c r="K54" s="1">
        <v>45406</v>
      </c>
      <c r="L54">
        <v>2024</v>
      </c>
      <c r="M54" t="s">
        <v>54</v>
      </c>
      <c r="N54">
        <v>10</v>
      </c>
      <c r="O54" t="s">
        <v>118</v>
      </c>
      <c r="P54" t="s">
        <v>119</v>
      </c>
      <c r="Q54">
        <v>120</v>
      </c>
      <c r="R54">
        <v>4</v>
      </c>
      <c r="S54" t="s">
        <v>77</v>
      </c>
      <c r="T54" t="s">
        <v>78</v>
      </c>
      <c r="U54">
        <v>13</v>
      </c>
      <c r="V54">
        <v>14</v>
      </c>
      <c r="W54">
        <v>14</v>
      </c>
      <c r="X54">
        <v>11</v>
      </c>
      <c r="Y54">
        <v>3</v>
      </c>
      <c r="Z54">
        <v>11</v>
      </c>
      <c r="AA54">
        <v>1.7727269999999999</v>
      </c>
      <c r="AB54">
        <v>19.5</v>
      </c>
      <c r="AC54" t="s">
        <v>70</v>
      </c>
      <c r="AD54" t="s">
        <v>60</v>
      </c>
      <c r="AE54">
        <v>1</v>
      </c>
      <c r="AF54">
        <v>0</v>
      </c>
      <c r="AG54">
        <v>1</v>
      </c>
      <c r="AH54">
        <v>1</v>
      </c>
      <c r="AI54">
        <v>0</v>
      </c>
      <c r="AJ54">
        <v>2</v>
      </c>
      <c r="AK54">
        <v>1</v>
      </c>
      <c r="AL54">
        <v>0</v>
      </c>
      <c r="AM54">
        <v>2</v>
      </c>
      <c r="AN54">
        <v>3</v>
      </c>
      <c r="AO54">
        <v>8</v>
      </c>
      <c r="AP54">
        <v>3</v>
      </c>
      <c r="AQ54">
        <v>72.727272727271995</v>
      </c>
      <c r="AR54" s="2">
        <v>45725.096342592595</v>
      </c>
      <c r="AS54" s="2">
        <v>46069.619363425925</v>
      </c>
      <c r="AT54" t="s">
        <v>61</v>
      </c>
      <c r="AU54" t="s">
        <v>62</v>
      </c>
      <c r="AV54">
        <v>344</v>
      </c>
    </row>
    <row r="55" spans="1:48" x14ac:dyDescent="0.25">
      <c r="A55">
        <v>261</v>
      </c>
      <c r="B55" t="s">
        <v>345</v>
      </c>
      <c r="C55" t="s">
        <v>346</v>
      </c>
      <c r="D55" t="s">
        <v>347</v>
      </c>
      <c r="E55" t="s">
        <v>348</v>
      </c>
      <c r="F55" t="s">
        <v>349</v>
      </c>
      <c r="G55" t="s">
        <v>104</v>
      </c>
      <c r="H55" s="1">
        <v>35878</v>
      </c>
      <c r="I55">
        <v>28</v>
      </c>
      <c r="J55">
        <v>1998</v>
      </c>
      <c r="K55" s="1">
        <v>44978</v>
      </c>
      <c r="L55">
        <v>2023</v>
      </c>
      <c r="M55" t="s">
        <v>54</v>
      </c>
      <c r="N55">
        <v>17</v>
      </c>
      <c r="O55" t="s">
        <v>350</v>
      </c>
      <c r="P55" t="s">
        <v>56</v>
      </c>
      <c r="Q55">
        <v>36</v>
      </c>
      <c r="R55">
        <v>6</v>
      </c>
      <c r="S55" t="s">
        <v>140</v>
      </c>
      <c r="T55" t="s">
        <v>141</v>
      </c>
      <c r="U55">
        <v>13</v>
      </c>
      <c r="V55">
        <v>14</v>
      </c>
      <c r="W55">
        <v>14</v>
      </c>
      <c r="X55">
        <v>13</v>
      </c>
      <c r="Y55">
        <v>3</v>
      </c>
      <c r="Z55">
        <v>12</v>
      </c>
      <c r="AA55">
        <v>1.9583330000000001</v>
      </c>
      <c r="AB55">
        <v>23.5</v>
      </c>
      <c r="AC55" t="s">
        <v>70</v>
      </c>
      <c r="AD55" t="s">
        <v>60</v>
      </c>
      <c r="AE55">
        <v>2</v>
      </c>
      <c r="AF55">
        <v>0</v>
      </c>
      <c r="AG55">
        <v>1</v>
      </c>
      <c r="AH55">
        <v>3</v>
      </c>
      <c r="AI55">
        <v>0</v>
      </c>
      <c r="AJ55">
        <v>0</v>
      </c>
      <c r="AK55">
        <v>0</v>
      </c>
      <c r="AL55">
        <v>0</v>
      </c>
      <c r="AM55">
        <v>3</v>
      </c>
      <c r="AN55">
        <v>3</v>
      </c>
      <c r="AO55">
        <v>9</v>
      </c>
      <c r="AP55">
        <v>3</v>
      </c>
      <c r="AQ55">
        <v>75</v>
      </c>
      <c r="AR55" s="2">
        <v>45771.299571759257</v>
      </c>
      <c r="AS55" s="2">
        <v>46081.969155092593</v>
      </c>
      <c r="AT55" t="s">
        <v>61</v>
      </c>
      <c r="AU55" t="s">
        <v>62</v>
      </c>
      <c r="AV55">
        <v>310</v>
      </c>
    </row>
    <row r="56" spans="1:48" x14ac:dyDescent="0.25">
      <c r="A56">
        <v>134</v>
      </c>
      <c r="B56" t="s">
        <v>351</v>
      </c>
      <c r="C56" t="s">
        <v>336</v>
      </c>
      <c r="D56" t="s">
        <v>291</v>
      </c>
      <c r="E56" t="s">
        <v>352</v>
      </c>
      <c r="F56" t="s">
        <v>353</v>
      </c>
      <c r="G56" t="s">
        <v>104</v>
      </c>
      <c r="H56" s="1">
        <v>36443</v>
      </c>
      <c r="I56">
        <v>27</v>
      </c>
      <c r="J56">
        <v>1999</v>
      </c>
      <c r="K56" s="1">
        <v>44760</v>
      </c>
      <c r="L56">
        <v>2022</v>
      </c>
      <c r="M56" t="s">
        <v>54</v>
      </c>
      <c r="N56">
        <v>2</v>
      </c>
      <c r="O56" t="s">
        <v>55</v>
      </c>
      <c r="P56" t="s">
        <v>56</v>
      </c>
      <c r="Q56">
        <v>36</v>
      </c>
      <c r="R56">
        <v>1</v>
      </c>
      <c r="S56" t="s">
        <v>57</v>
      </c>
      <c r="T56" t="s">
        <v>58</v>
      </c>
      <c r="U56">
        <v>14</v>
      </c>
      <c r="V56">
        <v>14</v>
      </c>
      <c r="W56">
        <v>14</v>
      </c>
      <c r="X56">
        <v>14</v>
      </c>
      <c r="Y56">
        <v>3</v>
      </c>
      <c r="Z56">
        <v>11</v>
      </c>
      <c r="AA56">
        <v>1.40909</v>
      </c>
      <c r="AB56">
        <v>15.5</v>
      </c>
      <c r="AC56" t="s">
        <v>70</v>
      </c>
      <c r="AD56" t="s">
        <v>60</v>
      </c>
      <c r="AE56">
        <v>1</v>
      </c>
      <c r="AF56">
        <v>0</v>
      </c>
      <c r="AG56">
        <v>0</v>
      </c>
      <c r="AH56">
        <v>1</v>
      </c>
      <c r="AI56">
        <v>0</v>
      </c>
      <c r="AJ56">
        <v>1</v>
      </c>
      <c r="AK56">
        <v>2</v>
      </c>
      <c r="AL56">
        <v>0</v>
      </c>
      <c r="AM56">
        <v>2</v>
      </c>
      <c r="AN56">
        <v>4</v>
      </c>
      <c r="AO56">
        <v>7</v>
      </c>
      <c r="AP56">
        <v>4</v>
      </c>
      <c r="AQ56">
        <v>63.636363636363001</v>
      </c>
      <c r="AR56" s="2">
        <v>45738.588750000003</v>
      </c>
      <c r="AS56" s="2">
        <v>46068.35465277778</v>
      </c>
      <c r="AT56" t="s">
        <v>61</v>
      </c>
      <c r="AU56" t="s">
        <v>62</v>
      </c>
      <c r="AV56">
        <v>330</v>
      </c>
    </row>
    <row r="57" spans="1:48" x14ac:dyDescent="0.25">
      <c r="A57">
        <v>501</v>
      </c>
      <c r="B57" t="s">
        <v>354</v>
      </c>
      <c r="C57" t="s">
        <v>355</v>
      </c>
      <c r="D57" t="s">
        <v>311</v>
      </c>
      <c r="E57" t="s">
        <v>356</v>
      </c>
      <c r="F57" t="s">
        <v>357</v>
      </c>
      <c r="G57" t="s">
        <v>104</v>
      </c>
      <c r="H57" s="1">
        <v>39316</v>
      </c>
      <c r="I57">
        <v>19</v>
      </c>
      <c r="J57">
        <v>2007</v>
      </c>
      <c r="K57" s="1">
        <v>44766</v>
      </c>
      <c r="L57">
        <v>2022</v>
      </c>
      <c r="M57" t="s">
        <v>54</v>
      </c>
      <c r="N57">
        <v>18</v>
      </c>
      <c r="O57" t="s">
        <v>139</v>
      </c>
      <c r="P57" t="s">
        <v>69</v>
      </c>
      <c r="Q57">
        <v>60</v>
      </c>
      <c r="R57">
        <v>6</v>
      </c>
      <c r="S57" t="s">
        <v>140</v>
      </c>
      <c r="T57" t="s">
        <v>141</v>
      </c>
      <c r="U57">
        <v>13</v>
      </c>
      <c r="V57">
        <v>14</v>
      </c>
      <c r="W57">
        <v>14</v>
      </c>
      <c r="X57">
        <v>13</v>
      </c>
      <c r="Y57">
        <v>3</v>
      </c>
      <c r="Z57">
        <v>11</v>
      </c>
      <c r="AA57">
        <v>2.1818179999999998</v>
      </c>
      <c r="AB57">
        <v>24</v>
      </c>
      <c r="AC57" t="s">
        <v>70</v>
      </c>
      <c r="AD57" t="s">
        <v>60</v>
      </c>
      <c r="AE57">
        <v>1</v>
      </c>
      <c r="AF57">
        <v>0</v>
      </c>
      <c r="AG57">
        <v>2</v>
      </c>
      <c r="AH57">
        <v>3</v>
      </c>
      <c r="AI57">
        <v>0</v>
      </c>
      <c r="AJ57">
        <v>0</v>
      </c>
      <c r="AK57">
        <v>1</v>
      </c>
      <c r="AL57">
        <v>0</v>
      </c>
      <c r="AM57">
        <v>2</v>
      </c>
      <c r="AN57">
        <v>2</v>
      </c>
      <c r="AO57">
        <v>9</v>
      </c>
      <c r="AP57">
        <v>2</v>
      </c>
      <c r="AQ57">
        <v>81.818181818181003</v>
      </c>
      <c r="AR57" s="2">
        <v>45754.824791666666</v>
      </c>
      <c r="AS57" s="2">
        <v>46074.973657407405</v>
      </c>
      <c r="AT57" t="s">
        <v>61</v>
      </c>
      <c r="AU57" t="s">
        <v>62</v>
      </c>
      <c r="AV57">
        <v>320</v>
      </c>
    </row>
    <row r="58" spans="1:48" x14ac:dyDescent="0.25">
      <c r="A58">
        <v>416</v>
      </c>
      <c r="B58" t="s">
        <v>358</v>
      </c>
      <c r="C58" t="s">
        <v>359</v>
      </c>
      <c r="D58" t="s">
        <v>360</v>
      </c>
      <c r="E58" t="s">
        <v>361</v>
      </c>
      <c r="F58" t="s">
        <v>362</v>
      </c>
      <c r="G58" t="s">
        <v>53</v>
      </c>
      <c r="H58" s="1">
        <v>38527</v>
      </c>
      <c r="I58">
        <v>21</v>
      </c>
      <c r="J58">
        <v>2005</v>
      </c>
      <c r="K58" s="1">
        <v>45091</v>
      </c>
      <c r="L58">
        <v>2023</v>
      </c>
      <c r="M58" t="s">
        <v>54</v>
      </c>
      <c r="N58">
        <v>1</v>
      </c>
      <c r="O58" t="s">
        <v>157</v>
      </c>
      <c r="P58" t="s">
        <v>119</v>
      </c>
      <c r="Q58">
        <v>120</v>
      </c>
      <c r="R58">
        <v>1</v>
      </c>
      <c r="S58" t="s">
        <v>57</v>
      </c>
      <c r="T58" t="s">
        <v>58</v>
      </c>
      <c r="U58">
        <v>13</v>
      </c>
      <c r="V58">
        <v>14</v>
      </c>
      <c r="W58">
        <v>14</v>
      </c>
      <c r="X58">
        <v>11</v>
      </c>
      <c r="Y58">
        <v>3</v>
      </c>
      <c r="Z58">
        <v>11</v>
      </c>
      <c r="AA58">
        <v>2.5454539999999999</v>
      </c>
      <c r="AB58">
        <v>28</v>
      </c>
      <c r="AC58" t="s">
        <v>70</v>
      </c>
      <c r="AD58" t="s">
        <v>60</v>
      </c>
      <c r="AE58">
        <v>2</v>
      </c>
      <c r="AF58">
        <v>0</v>
      </c>
      <c r="AG58">
        <v>2</v>
      </c>
      <c r="AH58">
        <v>2</v>
      </c>
      <c r="AI58">
        <v>0</v>
      </c>
      <c r="AJ58">
        <v>2</v>
      </c>
      <c r="AK58">
        <v>0</v>
      </c>
      <c r="AL58">
        <v>0</v>
      </c>
      <c r="AM58">
        <v>2</v>
      </c>
      <c r="AN58">
        <v>1</v>
      </c>
      <c r="AO58">
        <v>10</v>
      </c>
      <c r="AP58">
        <v>1</v>
      </c>
      <c r="AQ58">
        <v>90.909090909089997</v>
      </c>
      <c r="AR58" s="2">
        <v>45738.5940625</v>
      </c>
      <c r="AS58" s="2">
        <v>46032.435428240744</v>
      </c>
      <c r="AT58" t="s">
        <v>61</v>
      </c>
      <c r="AU58" t="s">
        <v>62</v>
      </c>
      <c r="AV58">
        <v>294</v>
      </c>
    </row>
    <row r="59" spans="1:48" x14ac:dyDescent="0.25">
      <c r="A59">
        <v>317</v>
      </c>
      <c r="B59" t="s">
        <v>363</v>
      </c>
      <c r="C59" t="s">
        <v>364</v>
      </c>
      <c r="D59" t="s">
        <v>365</v>
      </c>
      <c r="E59" t="s">
        <v>366</v>
      </c>
      <c r="F59" t="s">
        <v>367</v>
      </c>
      <c r="G59" t="s">
        <v>53</v>
      </c>
      <c r="H59" s="1">
        <v>37254</v>
      </c>
      <c r="I59">
        <v>25</v>
      </c>
      <c r="J59">
        <v>2001</v>
      </c>
      <c r="K59" s="1">
        <v>45641</v>
      </c>
      <c r="L59">
        <v>2024</v>
      </c>
      <c r="M59" t="s">
        <v>111</v>
      </c>
      <c r="N59">
        <v>20</v>
      </c>
      <c r="O59" t="s">
        <v>180</v>
      </c>
      <c r="P59" t="s">
        <v>56</v>
      </c>
      <c r="Q59">
        <v>36</v>
      </c>
      <c r="R59">
        <v>7</v>
      </c>
      <c r="S59" t="s">
        <v>163</v>
      </c>
      <c r="T59" t="s">
        <v>164</v>
      </c>
      <c r="U59">
        <v>13</v>
      </c>
      <c r="V59">
        <v>14</v>
      </c>
      <c r="W59">
        <v>14</v>
      </c>
      <c r="X59">
        <v>11</v>
      </c>
      <c r="Y59">
        <v>3</v>
      </c>
      <c r="Z59">
        <v>12</v>
      </c>
      <c r="AA59">
        <v>2.625</v>
      </c>
      <c r="AB59">
        <v>31.5</v>
      </c>
      <c r="AC59" t="s">
        <v>70</v>
      </c>
      <c r="AD59" t="s">
        <v>60</v>
      </c>
      <c r="AE59">
        <v>4</v>
      </c>
      <c r="AF59">
        <v>0</v>
      </c>
      <c r="AG59">
        <v>1</v>
      </c>
      <c r="AH59">
        <v>1</v>
      </c>
      <c r="AI59">
        <v>0</v>
      </c>
      <c r="AJ59">
        <v>2</v>
      </c>
      <c r="AK59">
        <v>1</v>
      </c>
      <c r="AL59">
        <v>0</v>
      </c>
      <c r="AM59">
        <v>2</v>
      </c>
      <c r="AN59">
        <v>1</v>
      </c>
      <c r="AO59">
        <v>11</v>
      </c>
      <c r="AP59">
        <v>1</v>
      </c>
      <c r="AQ59">
        <v>91.666666666666003</v>
      </c>
      <c r="AR59" s="2">
        <v>45738.806122685186</v>
      </c>
      <c r="AS59" s="2">
        <v>46082.344641203701</v>
      </c>
      <c r="AT59" t="s">
        <v>61</v>
      </c>
      <c r="AU59" t="s">
        <v>62</v>
      </c>
      <c r="AV59">
        <v>344</v>
      </c>
    </row>
    <row r="60" spans="1:48" x14ac:dyDescent="0.25">
      <c r="A60">
        <v>913</v>
      </c>
      <c r="B60" t="s">
        <v>368</v>
      </c>
      <c r="C60" t="s">
        <v>369</v>
      </c>
      <c r="D60" t="s">
        <v>370</v>
      </c>
      <c r="E60" t="s">
        <v>371</v>
      </c>
      <c r="F60" t="s">
        <v>372</v>
      </c>
      <c r="G60" t="s">
        <v>53</v>
      </c>
      <c r="H60" s="1">
        <v>38195</v>
      </c>
      <c r="I60">
        <v>22</v>
      </c>
      <c r="J60">
        <v>2004</v>
      </c>
      <c r="K60" s="1">
        <v>45037</v>
      </c>
      <c r="L60">
        <v>2023</v>
      </c>
      <c r="M60" t="s">
        <v>54</v>
      </c>
      <c r="N60">
        <v>18</v>
      </c>
      <c r="O60" t="s">
        <v>139</v>
      </c>
      <c r="P60" t="s">
        <v>69</v>
      </c>
      <c r="Q60">
        <v>60</v>
      </c>
      <c r="R60">
        <v>6</v>
      </c>
      <c r="S60" t="s">
        <v>140</v>
      </c>
      <c r="T60" t="s">
        <v>141</v>
      </c>
      <c r="U60">
        <v>12</v>
      </c>
      <c r="V60">
        <v>14</v>
      </c>
      <c r="W60">
        <v>14</v>
      </c>
      <c r="X60">
        <v>14</v>
      </c>
      <c r="Y60">
        <v>3</v>
      </c>
      <c r="Z60">
        <v>12</v>
      </c>
      <c r="AA60">
        <v>2.7083330000000001</v>
      </c>
      <c r="AB60">
        <v>32.5</v>
      </c>
      <c r="AC60" t="s">
        <v>70</v>
      </c>
      <c r="AD60" t="s">
        <v>60</v>
      </c>
      <c r="AE60">
        <v>3</v>
      </c>
      <c r="AF60">
        <v>0</v>
      </c>
      <c r="AG60">
        <v>2</v>
      </c>
      <c r="AH60">
        <v>3</v>
      </c>
      <c r="AI60">
        <v>0</v>
      </c>
      <c r="AJ60">
        <v>1</v>
      </c>
      <c r="AK60">
        <v>1</v>
      </c>
      <c r="AL60">
        <v>0</v>
      </c>
      <c r="AM60">
        <v>0</v>
      </c>
      <c r="AN60">
        <v>2</v>
      </c>
      <c r="AO60">
        <v>10</v>
      </c>
      <c r="AP60">
        <v>2</v>
      </c>
      <c r="AQ60">
        <v>83.333333333333002</v>
      </c>
      <c r="AR60" s="2">
        <v>45740.141053240739</v>
      </c>
      <c r="AS60" s="2">
        <v>46057.418495370373</v>
      </c>
      <c r="AT60" t="s">
        <v>61</v>
      </c>
      <c r="AU60" t="s">
        <v>62</v>
      </c>
      <c r="AV60">
        <v>317</v>
      </c>
    </row>
    <row r="61" spans="1:48" x14ac:dyDescent="0.25">
      <c r="A61">
        <v>613</v>
      </c>
      <c r="B61" t="s">
        <v>373</v>
      </c>
      <c r="C61" t="s">
        <v>374</v>
      </c>
      <c r="D61" t="s">
        <v>375</v>
      </c>
      <c r="E61" t="s">
        <v>376</v>
      </c>
      <c r="F61" t="s">
        <v>377</v>
      </c>
      <c r="G61" t="s">
        <v>53</v>
      </c>
      <c r="H61" s="1">
        <v>38201</v>
      </c>
      <c r="I61">
        <v>22</v>
      </c>
      <c r="J61">
        <v>2004</v>
      </c>
      <c r="K61" s="1">
        <v>45811</v>
      </c>
      <c r="L61">
        <v>2025</v>
      </c>
      <c r="M61" t="s">
        <v>54</v>
      </c>
      <c r="N61">
        <v>11</v>
      </c>
      <c r="O61" t="s">
        <v>378</v>
      </c>
      <c r="P61" t="s">
        <v>56</v>
      </c>
      <c r="Q61">
        <v>36</v>
      </c>
      <c r="R61">
        <v>4</v>
      </c>
      <c r="S61" t="s">
        <v>77</v>
      </c>
      <c r="T61" t="s">
        <v>78</v>
      </c>
      <c r="U61">
        <v>13</v>
      </c>
      <c r="V61">
        <v>14</v>
      </c>
      <c r="W61">
        <v>14</v>
      </c>
      <c r="X61">
        <v>11</v>
      </c>
      <c r="Y61">
        <v>3</v>
      </c>
      <c r="Z61">
        <v>10</v>
      </c>
      <c r="AA61">
        <v>1.8</v>
      </c>
      <c r="AB61">
        <v>18</v>
      </c>
      <c r="AC61" t="s">
        <v>70</v>
      </c>
      <c r="AD61" t="s">
        <v>60</v>
      </c>
      <c r="AE61">
        <v>1</v>
      </c>
      <c r="AF61">
        <v>0</v>
      </c>
      <c r="AG61">
        <v>0</v>
      </c>
      <c r="AH61">
        <v>1</v>
      </c>
      <c r="AI61">
        <v>0</v>
      </c>
      <c r="AJ61">
        <v>4</v>
      </c>
      <c r="AK61">
        <v>0</v>
      </c>
      <c r="AL61">
        <v>0</v>
      </c>
      <c r="AM61">
        <v>1</v>
      </c>
      <c r="AN61">
        <v>3</v>
      </c>
      <c r="AO61">
        <v>7</v>
      </c>
      <c r="AP61">
        <v>3</v>
      </c>
      <c r="AQ61">
        <v>70</v>
      </c>
      <c r="AR61" s="2">
        <v>45727.93849537037</v>
      </c>
      <c r="AS61" s="2">
        <v>46076.622546296298</v>
      </c>
      <c r="AT61" t="s">
        <v>61</v>
      </c>
      <c r="AU61" t="s">
        <v>62</v>
      </c>
      <c r="AV61">
        <v>349</v>
      </c>
    </row>
    <row r="62" spans="1:48" x14ac:dyDescent="0.25">
      <c r="A62">
        <v>623</v>
      </c>
      <c r="B62" t="s">
        <v>379</v>
      </c>
      <c r="C62" t="s">
        <v>380</v>
      </c>
      <c r="D62" t="s">
        <v>381</v>
      </c>
      <c r="E62" t="s">
        <v>382</v>
      </c>
      <c r="F62" t="s">
        <v>383</v>
      </c>
      <c r="G62" t="s">
        <v>104</v>
      </c>
      <c r="H62" s="1">
        <v>38909</v>
      </c>
      <c r="I62">
        <v>20</v>
      </c>
      <c r="J62">
        <v>2006</v>
      </c>
      <c r="K62" s="1">
        <v>45315</v>
      </c>
      <c r="L62">
        <v>2024</v>
      </c>
      <c r="M62" t="s">
        <v>54</v>
      </c>
      <c r="N62">
        <v>10</v>
      </c>
      <c r="O62" t="s">
        <v>118</v>
      </c>
      <c r="P62" t="s">
        <v>119</v>
      </c>
      <c r="Q62">
        <v>120</v>
      </c>
      <c r="R62">
        <v>4</v>
      </c>
      <c r="S62" t="s">
        <v>77</v>
      </c>
      <c r="T62" t="s">
        <v>78</v>
      </c>
      <c r="U62">
        <v>12</v>
      </c>
      <c r="V62">
        <v>13</v>
      </c>
      <c r="W62">
        <v>13</v>
      </c>
      <c r="X62">
        <v>11</v>
      </c>
      <c r="Y62">
        <v>3</v>
      </c>
      <c r="Z62">
        <v>9</v>
      </c>
      <c r="AA62">
        <v>2.3333330000000001</v>
      </c>
      <c r="AB62">
        <v>21</v>
      </c>
      <c r="AC62" t="s">
        <v>59</v>
      </c>
      <c r="AD62" t="s">
        <v>60</v>
      </c>
      <c r="AE62">
        <v>1</v>
      </c>
      <c r="AF62">
        <v>0</v>
      </c>
      <c r="AG62">
        <v>2</v>
      </c>
      <c r="AH62">
        <v>0</v>
      </c>
      <c r="AI62">
        <v>0</v>
      </c>
      <c r="AJ62">
        <v>2</v>
      </c>
      <c r="AK62">
        <v>1</v>
      </c>
      <c r="AL62">
        <v>0</v>
      </c>
      <c r="AM62">
        <v>3</v>
      </c>
      <c r="AN62">
        <v>0</v>
      </c>
      <c r="AO62">
        <v>9</v>
      </c>
      <c r="AP62">
        <v>0</v>
      </c>
      <c r="AQ62">
        <v>100</v>
      </c>
      <c r="AR62" s="2">
        <v>45725.13853009259</v>
      </c>
      <c r="AS62" s="2">
        <v>46077.702175925922</v>
      </c>
      <c r="AT62" t="s">
        <v>61</v>
      </c>
      <c r="AU62" t="s">
        <v>62</v>
      </c>
      <c r="AV62">
        <v>352</v>
      </c>
    </row>
    <row r="63" spans="1:48" x14ac:dyDescent="0.25">
      <c r="A63">
        <v>73</v>
      </c>
      <c r="B63" t="s">
        <v>384</v>
      </c>
      <c r="C63" t="s">
        <v>385</v>
      </c>
      <c r="D63" t="s">
        <v>386</v>
      </c>
      <c r="E63" t="s">
        <v>387</v>
      </c>
      <c r="F63" t="s">
        <v>388</v>
      </c>
      <c r="G63" t="s">
        <v>53</v>
      </c>
      <c r="H63" s="1">
        <v>37177</v>
      </c>
      <c r="I63">
        <v>25</v>
      </c>
      <c r="J63">
        <v>2001</v>
      </c>
      <c r="K63" s="1">
        <v>44651</v>
      </c>
      <c r="L63">
        <v>2022</v>
      </c>
      <c r="M63" t="s">
        <v>54</v>
      </c>
      <c r="N63">
        <v>10</v>
      </c>
      <c r="O63" t="s">
        <v>118</v>
      </c>
      <c r="P63" t="s">
        <v>119</v>
      </c>
      <c r="Q63">
        <v>120</v>
      </c>
      <c r="R63">
        <v>4</v>
      </c>
      <c r="S63" t="s">
        <v>77</v>
      </c>
      <c r="T63" t="s">
        <v>78</v>
      </c>
      <c r="U63">
        <v>10</v>
      </c>
      <c r="V63">
        <v>13</v>
      </c>
      <c r="W63">
        <v>13</v>
      </c>
      <c r="X63">
        <v>10</v>
      </c>
      <c r="Y63">
        <v>3</v>
      </c>
      <c r="Z63">
        <v>12</v>
      </c>
      <c r="AA63">
        <v>2.0833330000000001</v>
      </c>
      <c r="AB63">
        <v>25</v>
      </c>
      <c r="AC63" t="s">
        <v>59</v>
      </c>
      <c r="AD63" t="s">
        <v>112</v>
      </c>
      <c r="AE63">
        <v>0</v>
      </c>
      <c r="AF63">
        <v>0</v>
      </c>
      <c r="AG63">
        <v>2</v>
      </c>
      <c r="AH63">
        <v>1</v>
      </c>
      <c r="AI63">
        <v>0</v>
      </c>
      <c r="AJ63">
        <v>2</v>
      </c>
      <c r="AK63">
        <v>3</v>
      </c>
      <c r="AL63">
        <v>0</v>
      </c>
      <c r="AM63">
        <v>4</v>
      </c>
      <c r="AN63">
        <v>0</v>
      </c>
      <c r="AO63">
        <v>12</v>
      </c>
      <c r="AP63">
        <v>0</v>
      </c>
      <c r="AQ63">
        <v>100</v>
      </c>
      <c r="AR63" s="2">
        <v>45732.501284722224</v>
      </c>
      <c r="AS63" s="2">
        <v>46077.185254629629</v>
      </c>
      <c r="AT63" t="s">
        <v>61</v>
      </c>
      <c r="AU63" t="s">
        <v>62</v>
      </c>
      <c r="AV63">
        <v>345</v>
      </c>
    </row>
    <row r="64" spans="1:48" x14ac:dyDescent="0.25">
      <c r="A64">
        <v>32</v>
      </c>
      <c r="B64" t="s">
        <v>389</v>
      </c>
      <c r="C64" t="s">
        <v>390</v>
      </c>
      <c r="D64" t="s">
        <v>391</v>
      </c>
      <c r="E64" t="s">
        <v>392</v>
      </c>
      <c r="F64" t="s">
        <v>393</v>
      </c>
      <c r="G64" t="s">
        <v>53</v>
      </c>
      <c r="H64" s="1">
        <v>36019</v>
      </c>
      <c r="I64">
        <v>28</v>
      </c>
      <c r="J64">
        <v>1998</v>
      </c>
      <c r="K64" s="1">
        <v>44743</v>
      </c>
      <c r="L64">
        <v>2022</v>
      </c>
      <c r="M64" t="s">
        <v>54</v>
      </c>
      <c r="N64">
        <v>1</v>
      </c>
      <c r="O64" t="s">
        <v>157</v>
      </c>
      <c r="P64" t="s">
        <v>119</v>
      </c>
      <c r="Q64">
        <v>120</v>
      </c>
      <c r="R64">
        <v>1</v>
      </c>
      <c r="S64" t="s">
        <v>57</v>
      </c>
      <c r="T64" t="s">
        <v>58</v>
      </c>
      <c r="U64">
        <v>12</v>
      </c>
      <c r="V64">
        <v>13</v>
      </c>
      <c r="W64">
        <v>13</v>
      </c>
      <c r="X64">
        <v>12</v>
      </c>
      <c r="Y64">
        <v>3</v>
      </c>
      <c r="Z64">
        <v>10</v>
      </c>
      <c r="AA64">
        <v>2.4</v>
      </c>
      <c r="AB64">
        <v>24</v>
      </c>
      <c r="AC64" t="s">
        <v>70</v>
      </c>
      <c r="AD64" t="s">
        <v>60</v>
      </c>
      <c r="AE64">
        <v>1</v>
      </c>
      <c r="AF64">
        <v>0</v>
      </c>
      <c r="AG64">
        <v>2</v>
      </c>
      <c r="AH64">
        <v>1</v>
      </c>
      <c r="AI64">
        <v>0</v>
      </c>
      <c r="AJ64">
        <v>2</v>
      </c>
      <c r="AK64">
        <v>2</v>
      </c>
      <c r="AL64">
        <v>0</v>
      </c>
      <c r="AM64">
        <v>1</v>
      </c>
      <c r="AN64">
        <v>1</v>
      </c>
      <c r="AO64">
        <v>9</v>
      </c>
      <c r="AP64">
        <v>1</v>
      </c>
      <c r="AQ64">
        <v>90</v>
      </c>
      <c r="AR64" s="2">
        <v>45723.95548611111</v>
      </c>
      <c r="AS64" s="2">
        <v>46028.595868055556</v>
      </c>
      <c r="AT64" t="s">
        <v>61</v>
      </c>
      <c r="AU64" t="s">
        <v>62</v>
      </c>
      <c r="AV64">
        <v>305</v>
      </c>
    </row>
    <row r="65" spans="1:48" x14ac:dyDescent="0.25">
      <c r="A65">
        <v>350</v>
      </c>
      <c r="B65" t="s">
        <v>394</v>
      </c>
      <c r="C65" t="s">
        <v>395</v>
      </c>
      <c r="D65" t="s">
        <v>342</v>
      </c>
      <c r="E65" t="s">
        <v>396</v>
      </c>
      <c r="F65" t="s">
        <v>397</v>
      </c>
      <c r="G65" t="s">
        <v>104</v>
      </c>
      <c r="H65" s="1">
        <v>35446</v>
      </c>
      <c r="I65">
        <v>29</v>
      </c>
      <c r="J65">
        <v>1997</v>
      </c>
      <c r="K65" s="1">
        <v>45748</v>
      </c>
      <c r="L65">
        <v>2025</v>
      </c>
      <c r="M65" t="s">
        <v>54</v>
      </c>
      <c r="N65">
        <v>20</v>
      </c>
      <c r="O65" t="s">
        <v>180</v>
      </c>
      <c r="P65" t="s">
        <v>56</v>
      </c>
      <c r="Q65">
        <v>36</v>
      </c>
      <c r="R65">
        <v>7</v>
      </c>
      <c r="S65" t="s">
        <v>163</v>
      </c>
      <c r="T65" t="s">
        <v>164</v>
      </c>
      <c r="U65">
        <v>11</v>
      </c>
      <c r="V65">
        <v>13</v>
      </c>
      <c r="W65">
        <v>13</v>
      </c>
      <c r="X65">
        <v>11</v>
      </c>
      <c r="Y65">
        <v>3</v>
      </c>
      <c r="Z65">
        <v>12</v>
      </c>
      <c r="AA65">
        <v>2.0833330000000001</v>
      </c>
      <c r="AB65">
        <v>25</v>
      </c>
      <c r="AC65" t="s">
        <v>70</v>
      </c>
      <c r="AD65" t="s">
        <v>60</v>
      </c>
      <c r="AE65">
        <v>2</v>
      </c>
      <c r="AF65">
        <v>0</v>
      </c>
      <c r="AG65">
        <v>1</v>
      </c>
      <c r="AH65">
        <v>1</v>
      </c>
      <c r="AI65">
        <v>0</v>
      </c>
      <c r="AJ65">
        <v>1</v>
      </c>
      <c r="AK65">
        <v>4</v>
      </c>
      <c r="AL65">
        <v>0</v>
      </c>
      <c r="AM65">
        <v>0</v>
      </c>
      <c r="AN65">
        <v>3</v>
      </c>
      <c r="AO65">
        <v>9</v>
      </c>
      <c r="AP65">
        <v>3</v>
      </c>
      <c r="AQ65">
        <v>75</v>
      </c>
      <c r="AR65" s="2">
        <v>45729.20753472222</v>
      </c>
      <c r="AS65" s="2">
        <v>46071.309583333335</v>
      </c>
      <c r="AT65" t="s">
        <v>61</v>
      </c>
      <c r="AU65" t="s">
        <v>62</v>
      </c>
      <c r="AV65">
        <v>342</v>
      </c>
    </row>
    <row r="66" spans="1:48" x14ac:dyDescent="0.25">
      <c r="A66">
        <v>620</v>
      </c>
      <c r="B66" t="s">
        <v>398</v>
      </c>
      <c r="C66" t="s">
        <v>399</v>
      </c>
      <c r="D66" t="s">
        <v>400</v>
      </c>
      <c r="E66" t="s">
        <v>401</v>
      </c>
      <c r="F66" t="s">
        <v>402</v>
      </c>
      <c r="G66" t="s">
        <v>104</v>
      </c>
      <c r="H66" s="1">
        <v>39317</v>
      </c>
      <c r="I66">
        <v>19</v>
      </c>
      <c r="J66">
        <v>2007</v>
      </c>
      <c r="K66" s="1">
        <v>44945</v>
      </c>
      <c r="L66">
        <v>2023</v>
      </c>
      <c r="M66" t="s">
        <v>111</v>
      </c>
      <c r="N66">
        <v>13</v>
      </c>
      <c r="O66" t="s">
        <v>146</v>
      </c>
      <c r="P66" t="s">
        <v>119</v>
      </c>
      <c r="Q66">
        <v>120</v>
      </c>
      <c r="R66">
        <v>5</v>
      </c>
      <c r="S66" t="s">
        <v>92</v>
      </c>
      <c r="T66" t="s">
        <v>93</v>
      </c>
      <c r="U66">
        <v>13</v>
      </c>
      <c r="V66">
        <v>13</v>
      </c>
      <c r="W66">
        <v>13</v>
      </c>
      <c r="X66">
        <v>13</v>
      </c>
      <c r="Y66">
        <v>3</v>
      </c>
      <c r="Z66">
        <v>9</v>
      </c>
      <c r="AA66">
        <v>2.3888880000000001</v>
      </c>
      <c r="AB66">
        <v>21.5</v>
      </c>
      <c r="AC66" t="s">
        <v>70</v>
      </c>
      <c r="AD66" t="s">
        <v>112</v>
      </c>
      <c r="AE66">
        <v>0</v>
      </c>
      <c r="AF66">
        <v>0</v>
      </c>
      <c r="AG66">
        <v>2</v>
      </c>
      <c r="AH66">
        <v>1</v>
      </c>
      <c r="AI66">
        <v>0</v>
      </c>
      <c r="AJ66">
        <v>3</v>
      </c>
      <c r="AK66">
        <v>2</v>
      </c>
      <c r="AL66">
        <v>0</v>
      </c>
      <c r="AM66">
        <v>0</v>
      </c>
      <c r="AN66">
        <v>1</v>
      </c>
      <c r="AO66">
        <v>8</v>
      </c>
      <c r="AP66">
        <v>1</v>
      </c>
      <c r="AQ66">
        <v>88.888888888888005</v>
      </c>
      <c r="AR66" s="2">
        <v>45728.221041666664</v>
      </c>
      <c r="AS66" s="2">
        <v>46026.691817129627</v>
      </c>
      <c r="AT66" t="s">
        <v>61</v>
      </c>
      <c r="AU66" t="s">
        <v>62</v>
      </c>
      <c r="AV66">
        <v>298</v>
      </c>
    </row>
    <row r="67" spans="1:48" x14ac:dyDescent="0.25">
      <c r="A67">
        <v>41</v>
      </c>
      <c r="B67" t="s">
        <v>403</v>
      </c>
      <c r="C67" t="s">
        <v>404</v>
      </c>
      <c r="D67" t="s">
        <v>405</v>
      </c>
      <c r="E67" t="s">
        <v>406</v>
      </c>
      <c r="F67" t="s">
        <v>407</v>
      </c>
      <c r="G67" t="s">
        <v>104</v>
      </c>
      <c r="H67" s="1">
        <v>36883</v>
      </c>
      <c r="I67">
        <v>26</v>
      </c>
      <c r="J67">
        <v>2000</v>
      </c>
      <c r="K67" s="1">
        <v>45332</v>
      </c>
      <c r="L67">
        <v>2024</v>
      </c>
      <c r="M67" t="s">
        <v>54</v>
      </c>
      <c r="N67">
        <v>16</v>
      </c>
      <c r="O67" t="s">
        <v>280</v>
      </c>
      <c r="P67" t="s">
        <v>119</v>
      </c>
      <c r="Q67">
        <v>120</v>
      </c>
      <c r="R67">
        <v>6</v>
      </c>
      <c r="S67" t="s">
        <v>140</v>
      </c>
      <c r="T67" t="s">
        <v>141</v>
      </c>
      <c r="U67">
        <v>12</v>
      </c>
      <c r="V67">
        <v>13</v>
      </c>
      <c r="W67">
        <v>13</v>
      </c>
      <c r="X67">
        <v>12</v>
      </c>
      <c r="Y67">
        <v>3</v>
      </c>
      <c r="Z67">
        <v>10</v>
      </c>
      <c r="AA67">
        <v>1.9</v>
      </c>
      <c r="AB67">
        <v>19</v>
      </c>
      <c r="AC67" t="s">
        <v>70</v>
      </c>
      <c r="AD67" t="s">
        <v>112</v>
      </c>
      <c r="AE67">
        <v>0</v>
      </c>
      <c r="AF67">
        <v>0</v>
      </c>
      <c r="AG67">
        <v>2</v>
      </c>
      <c r="AH67">
        <v>2</v>
      </c>
      <c r="AI67">
        <v>0</v>
      </c>
      <c r="AJ67">
        <v>0</v>
      </c>
      <c r="AK67">
        <v>2</v>
      </c>
      <c r="AL67">
        <v>0</v>
      </c>
      <c r="AM67">
        <v>2</v>
      </c>
      <c r="AN67">
        <v>2</v>
      </c>
      <c r="AO67">
        <v>8</v>
      </c>
      <c r="AP67">
        <v>2</v>
      </c>
      <c r="AQ67">
        <v>80</v>
      </c>
      <c r="AR67" s="2">
        <v>45787.279398148145</v>
      </c>
      <c r="AS67" s="2">
        <v>46065.386967592596</v>
      </c>
      <c r="AT67" t="s">
        <v>61</v>
      </c>
      <c r="AU67" t="s">
        <v>62</v>
      </c>
      <c r="AV67">
        <v>278</v>
      </c>
    </row>
    <row r="68" spans="1:48" x14ac:dyDescent="0.25">
      <c r="A68">
        <v>819</v>
      </c>
      <c r="B68" t="s">
        <v>408</v>
      </c>
      <c r="C68" t="s">
        <v>409</v>
      </c>
      <c r="D68" t="s">
        <v>410</v>
      </c>
      <c r="E68" t="s">
        <v>411</v>
      </c>
      <c r="F68" t="s">
        <v>412</v>
      </c>
      <c r="G68" t="s">
        <v>53</v>
      </c>
      <c r="H68" s="1">
        <v>39186</v>
      </c>
      <c r="I68">
        <v>19</v>
      </c>
      <c r="J68">
        <v>2007</v>
      </c>
      <c r="K68" s="1">
        <v>45146</v>
      </c>
      <c r="L68">
        <v>2023</v>
      </c>
      <c r="M68" t="s">
        <v>54</v>
      </c>
      <c r="N68">
        <v>9</v>
      </c>
      <c r="O68" t="s">
        <v>151</v>
      </c>
      <c r="P68" t="s">
        <v>69</v>
      </c>
      <c r="Q68">
        <v>60</v>
      </c>
      <c r="R68">
        <v>3</v>
      </c>
      <c r="S68" t="s">
        <v>126</v>
      </c>
      <c r="T68" t="s">
        <v>127</v>
      </c>
      <c r="U68">
        <v>13</v>
      </c>
      <c r="V68">
        <v>13</v>
      </c>
      <c r="W68">
        <v>13</v>
      </c>
      <c r="X68">
        <v>10</v>
      </c>
      <c r="Y68">
        <v>3</v>
      </c>
      <c r="Z68">
        <v>11</v>
      </c>
      <c r="AA68">
        <v>2.2727270000000002</v>
      </c>
      <c r="AB68">
        <v>25</v>
      </c>
      <c r="AC68" t="s">
        <v>70</v>
      </c>
      <c r="AD68" t="s">
        <v>60</v>
      </c>
      <c r="AE68">
        <v>2</v>
      </c>
      <c r="AF68">
        <v>0</v>
      </c>
      <c r="AG68">
        <v>1</v>
      </c>
      <c r="AH68">
        <v>2</v>
      </c>
      <c r="AI68">
        <v>0</v>
      </c>
      <c r="AJ68">
        <v>1</v>
      </c>
      <c r="AK68">
        <v>1</v>
      </c>
      <c r="AL68">
        <v>0</v>
      </c>
      <c r="AM68">
        <v>3</v>
      </c>
      <c r="AN68">
        <v>1</v>
      </c>
      <c r="AO68">
        <v>10</v>
      </c>
      <c r="AP68">
        <v>1</v>
      </c>
      <c r="AQ68">
        <v>90.909090909089997</v>
      </c>
      <c r="AR68" s="2">
        <v>45742.580474537041</v>
      </c>
      <c r="AS68" s="2">
        <v>46082.066701388889</v>
      </c>
      <c r="AT68" t="s">
        <v>61</v>
      </c>
      <c r="AU68" t="s">
        <v>62</v>
      </c>
      <c r="AV68">
        <v>340</v>
      </c>
    </row>
    <row r="69" spans="1:48" x14ac:dyDescent="0.25">
      <c r="A69">
        <v>948</v>
      </c>
      <c r="B69" t="s">
        <v>413</v>
      </c>
      <c r="C69" t="s">
        <v>414</v>
      </c>
      <c r="D69" t="s">
        <v>415</v>
      </c>
      <c r="E69" t="s">
        <v>416</v>
      </c>
      <c r="F69" t="s">
        <v>417</v>
      </c>
      <c r="G69" t="s">
        <v>104</v>
      </c>
      <c r="H69" s="1">
        <v>36504</v>
      </c>
      <c r="I69">
        <v>27</v>
      </c>
      <c r="J69">
        <v>1999</v>
      </c>
      <c r="K69" s="1">
        <v>45730</v>
      </c>
      <c r="L69">
        <v>2025</v>
      </c>
      <c r="M69" t="s">
        <v>54</v>
      </c>
      <c r="N69">
        <v>11</v>
      </c>
      <c r="O69" t="s">
        <v>378</v>
      </c>
      <c r="P69" t="s">
        <v>56</v>
      </c>
      <c r="Q69">
        <v>36</v>
      </c>
      <c r="R69">
        <v>4</v>
      </c>
      <c r="S69" t="s">
        <v>77</v>
      </c>
      <c r="T69" t="s">
        <v>78</v>
      </c>
      <c r="U69">
        <v>13</v>
      </c>
      <c r="V69">
        <v>13</v>
      </c>
      <c r="W69">
        <v>13</v>
      </c>
      <c r="X69">
        <v>12</v>
      </c>
      <c r="Y69">
        <v>3</v>
      </c>
      <c r="Z69">
        <v>10</v>
      </c>
      <c r="AA69">
        <v>2.4500000000000002</v>
      </c>
      <c r="AB69">
        <v>24.5</v>
      </c>
      <c r="AC69" t="s">
        <v>70</v>
      </c>
      <c r="AD69" t="s">
        <v>60</v>
      </c>
      <c r="AE69">
        <v>1</v>
      </c>
      <c r="AF69">
        <v>0</v>
      </c>
      <c r="AG69">
        <v>2</v>
      </c>
      <c r="AH69">
        <v>2</v>
      </c>
      <c r="AI69">
        <v>0</v>
      </c>
      <c r="AJ69">
        <v>1</v>
      </c>
      <c r="AK69">
        <v>2</v>
      </c>
      <c r="AL69">
        <v>0</v>
      </c>
      <c r="AM69">
        <v>1</v>
      </c>
      <c r="AN69">
        <v>1</v>
      </c>
      <c r="AO69">
        <v>9</v>
      </c>
      <c r="AP69">
        <v>1</v>
      </c>
      <c r="AQ69">
        <v>90</v>
      </c>
      <c r="AR69" s="2">
        <v>45780.592256944445</v>
      </c>
      <c r="AS69" s="2">
        <v>46070.78875</v>
      </c>
      <c r="AT69" t="s">
        <v>61</v>
      </c>
      <c r="AU69" t="s">
        <v>62</v>
      </c>
      <c r="AV69">
        <v>290</v>
      </c>
    </row>
    <row r="70" spans="1:48" x14ac:dyDescent="0.25">
      <c r="A70">
        <v>23</v>
      </c>
      <c r="B70" t="s">
        <v>418</v>
      </c>
      <c r="C70" t="s">
        <v>419</v>
      </c>
      <c r="D70" t="s">
        <v>420</v>
      </c>
      <c r="E70" t="s">
        <v>421</v>
      </c>
      <c r="F70" t="s">
        <v>422</v>
      </c>
      <c r="G70" t="s">
        <v>104</v>
      </c>
      <c r="H70" s="1">
        <v>37497</v>
      </c>
      <c r="I70">
        <v>24</v>
      </c>
      <c r="J70">
        <v>2002</v>
      </c>
      <c r="K70" s="1">
        <v>45951</v>
      </c>
      <c r="L70">
        <v>2025</v>
      </c>
      <c r="M70" t="s">
        <v>54</v>
      </c>
      <c r="N70">
        <v>8</v>
      </c>
      <c r="O70" t="s">
        <v>125</v>
      </c>
      <c r="P70" t="s">
        <v>56</v>
      </c>
      <c r="Q70">
        <v>36</v>
      </c>
      <c r="R70">
        <v>3</v>
      </c>
      <c r="S70" t="s">
        <v>126</v>
      </c>
      <c r="T70" t="s">
        <v>127</v>
      </c>
      <c r="U70">
        <v>13</v>
      </c>
      <c r="V70">
        <v>13</v>
      </c>
      <c r="W70">
        <v>13</v>
      </c>
      <c r="X70">
        <v>10</v>
      </c>
      <c r="Y70">
        <v>3</v>
      </c>
      <c r="Z70">
        <v>11</v>
      </c>
      <c r="AA70">
        <v>1.90909</v>
      </c>
      <c r="AB70">
        <v>21</v>
      </c>
      <c r="AC70" t="s">
        <v>70</v>
      </c>
      <c r="AD70" t="s">
        <v>112</v>
      </c>
      <c r="AE70">
        <v>0</v>
      </c>
      <c r="AF70">
        <v>0</v>
      </c>
      <c r="AG70">
        <v>2</v>
      </c>
      <c r="AH70">
        <v>2</v>
      </c>
      <c r="AI70">
        <v>0</v>
      </c>
      <c r="AJ70">
        <v>2</v>
      </c>
      <c r="AK70">
        <v>1</v>
      </c>
      <c r="AL70">
        <v>0</v>
      </c>
      <c r="AM70">
        <v>1</v>
      </c>
      <c r="AN70">
        <v>3</v>
      </c>
      <c r="AO70">
        <v>8</v>
      </c>
      <c r="AP70">
        <v>3</v>
      </c>
      <c r="AQ70">
        <v>72.727272727271995</v>
      </c>
      <c r="AR70" s="2">
        <v>45742.68677083333</v>
      </c>
      <c r="AS70" s="2">
        <v>46016.990266203706</v>
      </c>
      <c r="AT70" t="s">
        <v>61</v>
      </c>
      <c r="AU70" t="s">
        <v>62</v>
      </c>
      <c r="AV70">
        <v>274</v>
      </c>
    </row>
    <row r="71" spans="1:48" x14ac:dyDescent="0.25">
      <c r="A71">
        <v>542</v>
      </c>
      <c r="B71" t="s">
        <v>423</v>
      </c>
      <c r="C71" t="s">
        <v>424</v>
      </c>
      <c r="D71" t="s">
        <v>425</v>
      </c>
      <c r="E71" t="s">
        <v>426</v>
      </c>
      <c r="F71" t="s">
        <v>427</v>
      </c>
      <c r="G71" t="s">
        <v>53</v>
      </c>
      <c r="H71" s="1">
        <v>36212</v>
      </c>
      <c r="I71">
        <v>27</v>
      </c>
      <c r="J71">
        <v>1999</v>
      </c>
      <c r="K71" s="1">
        <v>45878</v>
      </c>
      <c r="L71">
        <v>2025</v>
      </c>
      <c r="M71" t="s">
        <v>54</v>
      </c>
      <c r="N71">
        <v>5</v>
      </c>
      <c r="O71" t="s">
        <v>84</v>
      </c>
      <c r="P71" t="s">
        <v>56</v>
      </c>
      <c r="Q71">
        <v>36</v>
      </c>
      <c r="R71">
        <v>2</v>
      </c>
      <c r="S71" t="s">
        <v>85</v>
      </c>
      <c r="T71" t="s">
        <v>86</v>
      </c>
      <c r="U71">
        <v>12</v>
      </c>
      <c r="V71">
        <v>13</v>
      </c>
      <c r="W71">
        <v>13</v>
      </c>
      <c r="X71">
        <v>11</v>
      </c>
      <c r="Y71">
        <v>3</v>
      </c>
      <c r="Z71">
        <v>12</v>
      </c>
      <c r="AA71">
        <v>2.125</v>
      </c>
      <c r="AB71">
        <v>25.5</v>
      </c>
      <c r="AC71" t="s">
        <v>70</v>
      </c>
      <c r="AD71" t="s">
        <v>60</v>
      </c>
      <c r="AE71">
        <v>3</v>
      </c>
      <c r="AF71">
        <v>0</v>
      </c>
      <c r="AG71">
        <v>1</v>
      </c>
      <c r="AH71">
        <v>1</v>
      </c>
      <c r="AI71">
        <v>0</v>
      </c>
      <c r="AJ71">
        <v>2</v>
      </c>
      <c r="AK71">
        <v>0</v>
      </c>
      <c r="AL71">
        <v>0</v>
      </c>
      <c r="AM71">
        <v>2</v>
      </c>
      <c r="AN71">
        <v>3</v>
      </c>
      <c r="AO71">
        <v>9</v>
      </c>
      <c r="AP71">
        <v>3</v>
      </c>
      <c r="AQ71">
        <v>75</v>
      </c>
      <c r="AR71" s="2">
        <v>45726.748182870368</v>
      </c>
      <c r="AS71" s="2">
        <v>46073.462581018517</v>
      </c>
      <c r="AT71" t="s">
        <v>61</v>
      </c>
      <c r="AU71" t="s">
        <v>62</v>
      </c>
      <c r="AV71">
        <v>347</v>
      </c>
    </row>
    <row r="72" spans="1:48" x14ac:dyDescent="0.25">
      <c r="A72">
        <v>862</v>
      </c>
      <c r="B72" t="s">
        <v>428</v>
      </c>
      <c r="C72" t="s">
        <v>429</v>
      </c>
      <c r="D72" t="s">
        <v>430</v>
      </c>
      <c r="E72" t="s">
        <v>431</v>
      </c>
      <c r="F72" t="s">
        <v>432</v>
      </c>
      <c r="G72" t="s">
        <v>104</v>
      </c>
      <c r="H72" s="1">
        <v>35448</v>
      </c>
      <c r="I72">
        <v>29</v>
      </c>
      <c r="J72">
        <v>1997</v>
      </c>
      <c r="K72" s="1">
        <v>44730</v>
      </c>
      <c r="L72">
        <v>2022</v>
      </c>
      <c r="M72" t="s">
        <v>54</v>
      </c>
      <c r="N72">
        <v>5</v>
      </c>
      <c r="O72" t="s">
        <v>84</v>
      </c>
      <c r="P72" t="s">
        <v>56</v>
      </c>
      <c r="Q72">
        <v>36</v>
      </c>
      <c r="R72">
        <v>2</v>
      </c>
      <c r="S72" t="s">
        <v>85</v>
      </c>
      <c r="T72" t="s">
        <v>86</v>
      </c>
      <c r="U72">
        <v>13</v>
      </c>
      <c r="V72">
        <v>13</v>
      </c>
      <c r="W72">
        <v>13</v>
      </c>
      <c r="X72">
        <v>11</v>
      </c>
      <c r="Y72">
        <v>3</v>
      </c>
      <c r="Z72">
        <v>9</v>
      </c>
      <c r="AA72">
        <v>2.3888880000000001</v>
      </c>
      <c r="AB72">
        <v>21.5</v>
      </c>
      <c r="AC72" t="s">
        <v>70</v>
      </c>
      <c r="AD72" t="s">
        <v>281</v>
      </c>
      <c r="AE72">
        <v>0</v>
      </c>
      <c r="AF72">
        <v>0</v>
      </c>
      <c r="AG72">
        <v>4</v>
      </c>
      <c r="AH72">
        <v>0</v>
      </c>
      <c r="AI72">
        <v>0</v>
      </c>
      <c r="AJ72">
        <v>1</v>
      </c>
      <c r="AK72">
        <v>2</v>
      </c>
      <c r="AL72">
        <v>0</v>
      </c>
      <c r="AM72">
        <v>1</v>
      </c>
      <c r="AN72">
        <v>1</v>
      </c>
      <c r="AO72">
        <v>8</v>
      </c>
      <c r="AP72">
        <v>1</v>
      </c>
      <c r="AQ72">
        <v>88.888888888888005</v>
      </c>
      <c r="AR72" s="2">
        <v>45743.200069444443</v>
      </c>
      <c r="AS72" s="2">
        <v>46073.835289351853</v>
      </c>
      <c r="AT72" t="s">
        <v>61</v>
      </c>
      <c r="AU72" t="s">
        <v>62</v>
      </c>
      <c r="AV72">
        <v>330</v>
      </c>
    </row>
    <row r="73" spans="1:48" x14ac:dyDescent="0.25">
      <c r="A73">
        <v>899</v>
      </c>
      <c r="B73" t="s">
        <v>433</v>
      </c>
      <c r="C73" t="s">
        <v>114</v>
      </c>
      <c r="D73" t="s">
        <v>434</v>
      </c>
      <c r="E73" t="s">
        <v>435</v>
      </c>
      <c r="F73" t="s">
        <v>436</v>
      </c>
      <c r="G73" t="s">
        <v>53</v>
      </c>
      <c r="H73" s="1">
        <v>36236</v>
      </c>
      <c r="I73">
        <v>27</v>
      </c>
      <c r="J73">
        <v>1999</v>
      </c>
      <c r="K73" s="1">
        <v>45365</v>
      </c>
      <c r="L73">
        <v>2024</v>
      </c>
      <c r="M73" t="s">
        <v>54</v>
      </c>
      <c r="N73">
        <v>12</v>
      </c>
      <c r="O73" t="s">
        <v>76</v>
      </c>
      <c r="P73" t="s">
        <v>69</v>
      </c>
      <c r="Q73">
        <v>60</v>
      </c>
      <c r="R73">
        <v>4</v>
      </c>
      <c r="S73" t="s">
        <v>77</v>
      </c>
      <c r="T73" t="s">
        <v>78</v>
      </c>
      <c r="U73">
        <v>13</v>
      </c>
      <c r="V73">
        <v>13</v>
      </c>
      <c r="W73">
        <v>13</v>
      </c>
      <c r="X73">
        <v>12</v>
      </c>
      <c r="Y73">
        <v>3</v>
      </c>
      <c r="Z73">
        <v>9</v>
      </c>
      <c r="AA73">
        <v>2.7222219999999999</v>
      </c>
      <c r="AB73">
        <v>24.5</v>
      </c>
      <c r="AC73" t="s">
        <v>59</v>
      </c>
      <c r="AD73" t="s">
        <v>60</v>
      </c>
      <c r="AE73">
        <v>1</v>
      </c>
      <c r="AF73">
        <v>0</v>
      </c>
      <c r="AG73">
        <v>2</v>
      </c>
      <c r="AH73">
        <v>2</v>
      </c>
      <c r="AI73">
        <v>0</v>
      </c>
      <c r="AJ73">
        <v>1</v>
      </c>
      <c r="AK73">
        <v>2</v>
      </c>
      <c r="AL73">
        <v>0</v>
      </c>
      <c r="AM73">
        <v>1</v>
      </c>
      <c r="AN73">
        <v>0</v>
      </c>
      <c r="AO73">
        <v>9</v>
      </c>
      <c r="AP73">
        <v>0</v>
      </c>
      <c r="AQ73">
        <v>100</v>
      </c>
      <c r="AR73" s="2">
        <v>45738.019490740742</v>
      </c>
      <c r="AS73" s="2">
        <v>46025.697222222225</v>
      </c>
      <c r="AT73" t="s">
        <v>61</v>
      </c>
      <c r="AU73" t="s">
        <v>62</v>
      </c>
      <c r="AV73">
        <v>287</v>
      </c>
    </row>
    <row r="74" spans="1:48" x14ac:dyDescent="0.25">
      <c r="A74">
        <v>961</v>
      </c>
      <c r="B74" t="s">
        <v>437</v>
      </c>
      <c r="C74" t="s">
        <v>438</v>
      </c>
      <c r="D74" t="s">
        <v>439</v>
      </c>
      <c r="E74" t="s">
        <v>440</v>
      </c>
      <c r="F74">
        <v>5448287738</v>
      </c>
      <c r="G74" t="s">
        <v>53</v>
      </c>
      <c r="H74" s="1">
        <v>38173</v>
      </c>
      <c r="I74">
        <v>22</v>
      </c>
      <c r="J74">
        <v>2004</v>
      </c>
      <c r="K74" s="1">
        <v>44899</v>
      </c>
      <c r="L74">
        <v>2022</v>
      </c>
      <c r="M74" t="s">
        <v>54</v>
      </c>
      <c r="N74">
        <v>5</v>
      </c>
      <c r="O74" t="s">
        <v>84</v>
      </c>
      <c r="P74" t="s">
        <v>56</v>
      </c>
      <c r="Q74">
        <v>36</v>
      </c>
      <c r="R74">
        <v>2</v>
      </c>
      <c r="S74" t="s">
        <v>85</v>
      </c>
      <c r="T74" t="s">
        <v>86</v>
      </c>
      <c r="U74">
        <v>11</v>
      </c>
      <c r="V74">
        <v>13</v>
      </c>
      <c r="W74">
        <v>13</v>
      </c>
      <c r="X74">
        <v>11</v>
      </c>
      <c r="Y74">
        <v>3</v>
      </c>
      <c r="Z74">
        <v>11</v>
      </c>
      <c r="AA74">
        <v>2.40909</v>
      </c>
      <c r="AB74">
        <v>26.5</v>
      </c>
      <c r="AC74" t="s">
        <v>70</v>
      </c>
      <c r="AD74" t="s">
        <v>60</v>
      </c>
      <c r="AE74">
        <v>1</v>
      </c>
      <c r="AF74">
        <v>0</v>
      </c>
      <c r="AG74">
        <v>2</v>
      </c>
      <c r="AH74">
        <v>3</v>
      </c>
      <c r="AI74">
        <v>0</v>
      </c>
      <c r="AJ74">
        <v>1</v>
      </c>
      <c r="AK74">
        <v>1</v>
      </c>
      <c r="AL74">
        <v>0</v>
      </c>
      <c r="AM74">
        <v>2</v>
      </c>
      <c r="AN74">
        <v>1</v>
      </c>
      <c r="AO74">
        <v>10</v>
      </c>
      <c r="AP74">
        <v>1</v>
      </c>
      <c r="AQ74">
        <v>90.909090909089997</v>
      </c>
      <c r="AR74" s="2">
        <v>45748.932245370372</v>
      </c>
      <c r="AS74" s="2">
        <v>46055.945775462962</v>
      </c>
      <c r="AT74" t="s">
        <v>61</v>
      </c>
      <c r="AU74" t="s">
        <v>62</v>
      </c>
      <c r="AV74">
        <v>307</v>
      </c>
    </row>
    <row r="75" spans="1:48" x14ac:dyDescent="0.25">
      <c r="A75">
        <v>883</v>
      </c>
      <c r="B75" t="s">
        <v>441</v>
      </c>
      <c r="C75" t="s">
        <v>424</v>
      </c>
      <c r="D75" t="s">
        <v>442</v>
      </c>
      <c r="E75" t="s">
        <v>443</v>
      </c>
      <c r="F75" t="s">
        <v>444</v>
      </c>
      <c r="G75" t="s">
        <v>53</v>
      </c>
      <c r="H75" s="1">
        <v>35809</v>
      </c>
      <c r="I75">
        <v>28</v>
      </c>
      <c r="J75">
        <v>1998</v>
      </c>
      <c r="K75" s="1">
        <v>45506</v>
      </c>
      <c r="L75">
        <v>2024</v>
      </c>
      <c r="M75" t="s">
        <v>54</v>
      </c>
      <c r="N75">
        <v>4</v>
      </c>
      <c r="O75" t="s">
        <v>215</v>
      </c>
      <c r="P75" t="s">
        <v>119</v>
      </c>
      <c r="Q75">
        <v>120</v>
      </c>
      <c r="R75">
        <v>2</v>
      </c>
      <c r="S75" t="s">
        <v>85</v>
      </c>
      <c r="T75" t="s">
        <v>86</v>
      </c>
      <c r="U75">
        <v>12</v>
      </c>
      <c r="V75">
        <v>13</v>
      </c>
      <c r="W75">
        <v>13</v>
      </c>
      <c r="X75">
        <v>12</v>
      </c>
      <c r="Y75">
        <v>3</v>
      </c>
      <c r="Z75">
        <v>11</v>
      </c>
      <c r="AA75">
        <v>2.5909089999999999</v>
      </c>
      <c r="AB75">
        <v>28.5</v>
      </c>
      <c r="AC75" t="s">
        <v>59</v>
      </c>
      <c r="AD75" t="s">
        <v>60</v>
      </c>
      <c r="AE75">
        <v>3</v>
      </c>
      <c r="AF75">
        <v>0</v>
      </c>
      <c r="AG75">
        <v>2</v>
      </c>
      <c r="AH75">
        <v>1</v>
      </c>
      <c r="AI75">
        <v>0</v>
      </c>
      <c r="AJ75">
        <v>1</v>
      </c>
      <c r="AK75">
        <v>0</v>
      </c>
      <c r="AL75">
        <v>0</v>
      </c>
      <c r="AM75">
        <v>4</v>
      </c>
      <c r="AN75">
        <v>0</v>
      </c>
      <c r="AO75">
        <v>11</v>
      </c>
      <c r="AP75">
        <v>0</v>
      </c>
      <c r="AQ75">
        <v>100</v>
      </c>
      <c r="AR75" s="2">
        <v>45777.650034722225</v>
      </c>
      <c r="AS75" s="2">
        <v>46054.022465277776</v>
      </c>
      <c r="AT75" t="s">
        <v>61</v>
      </c>
      <c r="AU75" t="s">
        <v>62</v>
      </c>
      <c r="AV75">
        <v>277</v>
      </c>
    </row>
    <row r="76" spans="1:48" x14ac:dyDescent="0.25">
      <c r="A76">
        <v>199</v>
      </c>
      <c r="B76" t="s">
        <v>445</v>
      </c>
      <c r="C76" t="s">
        <v>446</v>
      </c>
      <c r="D76" t="s">
        <v>446</v>
      </c>
      <c r="E76" t="s">
        <v>447</v>
      </c>
      <c r="F76" t="s">
        <v>448</v>
      </c>
      <c r="G76" t="s">
        <v>104</v>
      </c>
      <c r="H76" s="1">
        <v>37652</v>
      </c>
      <c r="I76">
        <v>23</v>
      </c>
      <c r="J76">
        <v>2003</v>
      </c>
      <c r="K76" s="1">
        <v>46002</v>
      </c>
      <c r="L76">
        <v>2025</v>
      </c>
      <c r="M76" t="s">
        <v>54</v>
      </c>
      <c r="N76">
        <v>8</v>
      </c>
      <c r="O76" t="s">
        <v>125</v>
      </c>
      <c r="P76" t="s">
        <v>56</v>
      </c>
      <c r="Q76">
        <v>36</v>
      </c>
      <c r="R76">
        <v>3</v>
      </c>
      <c r="S76" t="s">
        <v>126</v>
      </c>
      <c r="T76" t="s">
        <v>127</v>
      </c>
      <c r="U76">
        <v>13</v>
      </c>
      <c r="V76">
        <v>13</v>
      </c>
      <c r="W76">
        <v>13</v>
      </c>
      <c r="X76">
        <v>13</v>
      </c>
      <c r="Y76">
        <v>3</v>
      </c>
      <c r="Z76">
        <v>11</v>
      </c>
      <c r="AA76">
        <v>2.5454539999999999</v>
      </c>
      <c r="AB76">
        <v>28</v>
      </c>
      <c r="AC76" t="s">
        <v>70</v>
      </c>
      <c r="AD76" t="s">
        <v>60</v>
      </c>
      <c r="AE76">
        <v>1</v>
      </c>
      <c r="AF76">
        <v>0</v>
      </c>
      <c r="AG76">
        <v>1</v>
      </c>
      <c r="AH76">
        <v>3</v>
      </c>
      <c r="AI76">
        <v>0</v>
      </c>
      <c r="AJ76">
        <v>3</v>
      </c>
      <c r="AK76">
        <v>2</v>
      </c>
      <c r="AL76">
        <v>0</v>
      </c>
      <c r="AM76">
        <v>0</v>
      </c>
      <c r="AN76">
        <v>1</v>
      </c>
      <c r="AO76">
        <v>10</v>
      </c>
      <c r="AP76">
        <v>1</v>
      </c>
      <c r="AQ76">
        <v>90.909090909089997</v>
      </c>
      <c r="AR76" s="2">
        <v>45728.342870370368</v>
      </c>
      <c r="AS76" s="2">
        <v>46081.597002314818</v>
      </c>
      <c r="AT76" t="s">
        <v>61</v>
      </c>
      <c r="AU76" t="s">
        <v>62</v>
      </c>
      <c r="AV76">
        <v>353</v>
      </c>
    </row>
    <row r="77" spans="1:48" x14ac:dyDescent="0.25">
      <c r="A77">
        <v>108</v>
      </c>
      <c r="B77" t="s">
        <v>449</v>
      </c>
      <c r="C77" t="s">
        <v>227</v>
      </c>
      <c r="D77" t="s">
        <v>450</v>
      </c>
      <c r="E77" t="s">
        <v>451</v>
      </c>
      <c r="F77">
        <v>2198380262</v>
      </c>
      <c r="G77" t="s">
        <v>53</v>
      </c>
      <c r="H77" s="1">
        <v>38505</v>
      </c>
      <c r="I77">
        <v>21</v>
      </c>
      <c r="J77">
        <v>2005</v>
      </c>
      <c r="K77" s="1">
        <v>44897</v>
      </c>
      <c r="L77">
        <v>2022</v>
      </c>
      <c r="M77" t="s">
        <v>54</v>
      </c>
      <c r="N77">
        <v>9</v>
      </c>
      <c r="O77" t="s">
        <v>151</v>
      </c>
      <c r="P77" t="s">
        <v>69</v>
      </c>
      <c r="Q77">
        <v>60</v>
      </c>
      <c r="R77">
        <v>3</v>
      </c>
      <c r="S77" t="s">
        <v>126</v>
      </c>
      <c r="T77" t="s">
        <v>127</v>
      </c>
      <c r="U77">
        <v>13</v>
      </c>
      <c r="V77">
        <v>13</v>
      </c>
      <c r="W77">
        <v>13</v>
      </c>
      <c r="X77">
        <v>12</v>
      </c>
      <c r="Y77">
        <v>3</v>
      </c>
      <c r="Z77">
        <v>10</v>
      </c>
      <c r="AA77">
        <v>1.6</v>
      </c>
      <c r="AB77">
        <v>16</v>
      </c>
      <c r="AC77" t="s">
        <v>70</v>
      </c>
      <c r="AD77" t="s">
        <v>281</v>
      </c>
      <c r="AE77">
        <v>0</v>
      </c>
      <c r="AF77">
        <v>0</v>
      </c>
      <c r="AG77">
        <v>2</v>
      </c>
      <c r="AH77">
        <v>0</v>
      </c>
      <c r="AI77">
        <v>0</v>
      </c>
      <c r="AJ77">
        <v>2</v>
      </c>
      <c r="AK77">
        <v>1</v>
      </c>
      <c r="AL77">
        <v>0</v>
      </c>
      <c r="AM77">
        <v>2</v>
      </c>
      <c r="AN77">
        <v>3</v>
      </c>
      <c r="AO77">
        <v>7</v>
      </c>
      <c r="AP77">
        <v>3</v>
      </c>
      <c r="AQ77">
        <v>70</v>
      </c>
      <c r="AR77" s="2">
        <v>45760.799502314818</v>
      </c>
      <c r="AS77" s="2">
        <v>46086.089004629626</v>
      </c>
      <c r="AT77" t="s">
        <v>61</v>
      </c>
      <c r="AU77" t="s">
        <v>62</v>
      </c>
      <c r="AV77">
        <v>326</v>
      </c>
    </row>
    <row r="78" spans="1:48" x14ac:dyDescent="0.25">
      <c r="A78">
        <v>971</v>
      </c>
      <c r="B78" t="s">
        <v>452</v>
      </c>
      <c r="C78" t="s">
        <v>453</v>
      </c>
      <c r="D78" t="s">
        <v>454</v>
      </c>
      <c r="E78" t="s">
        <v>455</v>
      </c>
      <c r="F78" t="s">
        <v>456</v>
      </c>
      <c r="G78" t="s">
        <v>53</v>
      </c>
      <c r="H78" s="1">
        <v>35687</v>
      </c>
      <c r="I78">
        <v>29</v>
      </c>
      <c r="J78">
        <v>1997</v>
      </c>
      <c r="K78" s="1">
        <v>45815</v>
      </c>
      <c r="L78">
        <v>2025</v>
      </c>
      <c r="M78" t="s">
        <v>54</v>
      </c>
      <c r="N78">
        <v>12</v>
      </c>
      <c r="O78" t="s">
        <v>76</v>
      </c>
      <c r="P78" t="s">
        <v>69</v>
      </c>
      <c r="Q78">
        <v>60</v>
      </c>
      <c r="R78">
        <v>4</v>
      </c>
      <c r="S78" t="s">
        <v>77</v>
      </c>
      <c r="T78" t="s">
        <v>78</v>
      </c>
      <c r="U78">
        <v>11</v>
      </c>
      <c r="V78">
        <v>13</v>
      </c>
      <c r="W78">
        <v>13</v>
      </c>
      <c r="X78">
        <v>11</v>
      </c>
      <c r="Y78">
        <v>3</v>
      </c>
      <c r="Z78">
        <v>11</v>
      </c>
      <c r="AA78">
        <v>2.7727270000000002</v>
      </c>
      <c r="AB78">
        <v>30.5</v>
      </c>
      <c r="AC78" t="s">
        <v>59</v>
      </c>
      <c r="AD78" t="s">
        <v>60</v>
      </c>
      <c r="AE78">
        <v>2</v>
      </c>
      <c r="AF78">
        <v>0</v>
      </c>
      <c r="AG78">
        <v>2</v>
      </c>
      <c r="AH78">
        <v>2</v>
      </c>
      <c r="AI78">
        <v>0</v>
      </c>
      <c r="AJ78">
        <v>1</v>
      </c>
      <c r="AK78">
        <v>3</v>
      </c>
      <c r="AL78">
        <v>0</v>
      </c>
      <c r="AM78">
        <v>1</v>
      </c>
      <c r="AN78">
        <v>0</v>
      </c>
      <c r="AO78">
        <v>11</v>
      </c>
      <c r="AP78">
        <v>0</v>
      </c>
      <c r="AQ78">
        <v>100</v>
      </c>
      <c r="AR78" s="2">
        <v>45736.432037037041</v>
      </c>
      <c r="AS78" s="2">
        <v>46043.650196759256</v>
      </c>
      <c r="AT78" t="s">
        <v>61</v>
      </c>
      <c r="AU78" t="s">
        <v>62</v>
      </c>
      <c r="AV78">
        <v>307</v>
      </c>
    </row>
    <row r="79" spans="1:48" x14ac:dyDescent="0.25">
      <c r="A79">
        <v>652</v>
      </c>
      <c r="B79" t="s">
        <v>457</v>
      </c>
      <c r="C79" t="s">
        <v>458</v>
      </c>
      <c r="D79" t="s">
        <v>459</v>
      </c>
      <c r="E79" t="s">
        <v>460</v>
      </c>
      <c r="F79" t="s">
        <v>461</v>
      </c>
      <c r="G79" t="s">
        <v>104</v>
      </c>
      <c r="H79" s="1">
        <v>36724</v>
      </c>
      <c r="I79">
        <v>26</v>
      </c>
      <c r="J79">
        <v>2000</v>
      </c>
      <c r="K79" s="1">
        <v>45724</v>
      </c>
      <c r="L79">
        <v>2025</v>
      </c>
      <c r="M79" t="s">
        <v>54</v>
      </c>
      <c r="N79">
        <v>19</v>
      </c>
      <c r="O79" t="s">
        <v>162</v>
      </c>
      <c r="P79" t="s">
        <v>119</v>
      </c>
      <c r="Q79">
        <v>120</v>
      </c>
      <c r="R79">
        <v>7</v>
      </c>
      <c r="S79" t="s">
        <v>163</v>
      </c>
      <c r="T79" t="s">
        <v>164</v>
      </c>
      <c r="U79">
        <v>12</v>
      </c>
      <c r="V79">
        <v>13</v>
      </c>
      <c r="W79">
        <v>13</v>
      </c>
      <c r="X79">
        <v>11</v>
      </c>
      <c r="Y79">
        <v>3</v>
      </c>
      <c r="Z79">
        <v>9</v>
      </c>
      <c r="AA79">
        <v>1.8333330000000001</v>
      </c>
      <c r="AB79">
        <v>16.5</v>
      </c>
      <c r="AC79" t="s">
        <v>70</v>
      </c>
      <c r="AD79" t="s">
        <v>112</v>
      </c>
      <c r="AE79">
        <v>0</v>
      </c>
      <c r="AF79">
        <v>0</v>
      </c>
      <c r="AG79">
        <v>0</v>
      </c>
      <c r="AH79">
        <v>2</v>
      </c>
      <c r="AI79">
        <v>0</v>
      </c>
      <c r="AJ79">
        <v>3</v>
      </c>
      <c r="AK79">
        <v>1</v>
      </c>
      <c r="AL79">
        <v>0</v>
      </c>
      <c r="AM79">
        <v>1</v>
      </c>
      <c r="AN79">
        <v>2</v>
      </c>
      <c r="AO79">
        <v>7</v>
      </c>
      <c r="AP79">
        <v>2</v>
      </c>
      <c r="AQ79">
        <v>77.777777777777004</v>
      </c>
      <c r="AR79" s="2">
        <v>45726.784537037034</v>
      </c>
      <c r="AS79" s="2">
        <v>46017.060659722221</v>
      </c>
      <c r="AT79" t="s">
        <v>61</v>
      </c>
      <c r="AU79" t="s">
        <v>62</v>
      </c>
      <c r="AV79">
        <v>291</v>
      </c>
    </row>
    <row r="80" spans="1:48" x14ac:dyDescent="0.25">
      <c r="A80">
        <v>130</v>
      </c>
      <c r="B80" t="s">
        <v>462</v>
      </c>
      <c r="C80" t="s">
        <v>463</v>
      </c>
      <c r="D80" t="s">
        <v>228</v>
      </c>
      <c r="E80" t="s">
        <v>464</v>
      </c>
      <c r="F80" t="s">
        <v>465</v>
      </c>
      <c r="G80" t="s">
        <v>53</v>
      </c>
      <c r="H80" s="1">
        <v>39033</v>
      </c>
      <c r="I80">
        <v>20</v>
      </c>
      <c r="J80">
        <v>2006</v>
      </c>
      <c r="K80" s="1">
        <v>45448</v>
      </c>
      <c r="L80">
        <v>2024</v>
      </c>
      <c r="M80" t="s">
        <v>54</v>
      </c>
      <c r="N80">
        <v>17</v>
      </c>
      <c r="O80" t="s">
        <v>350</v>
      </c>
      <c r="P80" t="s">
        <v>56</v>
      </c>
      <c r="Q80">
        <v>36</v>
      </c>
      <c r="R80">
        <v>6</v>
      </c>
      <c r="S80" t="s">
        <v>140</v>
      </c>
      <c r="T80" t="s">
        <v>141</v>
      </c>
      <c r="U80">
        <v>13</v>
      </c>
      <c r="V80">
        <v>13</v>
      </c>
      <c r="W80">
        <v>13</v>
      </c>
      <c r="X80">
        <v>12</v>
      </c>
      <c r="Y80">
        <v>3</v>
      </c>
      <c r="Z80">
        <v>12</v>
      </c>
      <c r="AA80">
        <v>2.1666660000000002</v>
      </c>
      <c r="AB80">
        <v>26</v>
      </c>
      <c r="AC80" t="s">
        <v>70</v>
      </c>
      <c r="AD80" t="s">
        <v>60</v>
      </c>
      <c r="AE80">
        <v>3</v>
      </c>
      <c r="AF80">
        <v>0</v>
      </c>
      <c r="AG80">
        <v>0</v>
      </c>
      <c r="AH80">
        <v>1</v>
      </c>
      <c r="AI80">
        <v>0</v>
      </c>
      <c r="AJ80">
        <v>2</v>
      </c>
      <c r="AK80">
        <v>2</v>
      </c>
      <c r="AL80">
        <v>0</v>
      </c>
      <c r="AM80">
        <v>2</v>
      </c>
      <c r="AN80">
        <v>2</v>
      </c>
      <c r="AO80">
        <v>10</v>
      </c>
      <c r="AP80">
        <v>2</v>
      </c>
      <c r="AQ80">
        <v>83.333333333333002</v>
      </c>
      <c r="AR80" s="2">
        <v>45726.851736111108</v>
      </c>
      <c r="AS80" s="2">
        <v>46083.553506944445</v>
      </c>
      <c r="AT80" t="s">
        <v>61</v>
      </c>
      <c r="AU80" t="s">
        <v>62</v>
      </c>
      <c r="AV80">
        <v>357</v>
      </c>
    </row>
    <row r="81" spans="1:48" x14ac:dyDescent="0.25">
      <c r="A81">
        <v>801</v>
      </c>
      <c r="B81" t="s">
        <v>466</v>
      </c>
      <c r="C81" t="s">
        <v>467</v>
      </c>
      <c r="D81" t="s">
        <v>468</v>
      </c>
      <c r="E81" t="s">
        <v>469</v>
      </c>
      <c r="F81" t="s">
        <v>470</v>
      </c>
      <c r="G81" t="s">
        <v>53</v>
      </c>
      <c r="H81" s="1">
        <v>37095</v>
      </c>
      <c r="I81">
        <v>25</v>
      </c>
      <c r="J81">
        <v>2001</v>
      </c>
      <c r="K81" s="1">
        <v>45094</v>
      </c>
      <c r="L81">
        <v>2023</v>
      </c>
      <c r="M81" t="s">
        <v>54</v>
      </c>
      <c r="N81">
        <v>17</v>
      </c>
      <c r="O81" t="s">
        <v>350</v>
      </c>
      <c r="P81" t="s">
        <v>56</v>
      </c>
      <c r="Q81">
        <v>36</v>
      </c>
      <c r="R81">
        <v>6</v>
      </c>
      <c r="S81" t="s">
        <v>140</v>
      </c>
      <c r="T81" t="s">
        <v>141</v>
      </c>
      <c r="U81">
        <v>10</v>
      </c>
      <c r="V81">
        <v>13</v>
      </c>
      <c r="W81">
        <v>13</v>
      </c>
      <c r="X81">
        <v>12</v>
      </c>
      <c r="Y81">
        <v>3</v>
      </c>
      <c r="Z81">
        <v>9</v>
      </c>
      <c r="AA81">
        <v>2.3333330000000001</v>
      </c>
      <c r="AB81">
        <v>21</v>
      </c>
      <c r="AC81" t="s">
        <v>70</v>
      </c>
      <c r="AD81" t="s">
        <v>60</v>
      </c>
      <c r="AE81">
        <v>1</v>
      </c>
      <c r="AF81">
        <v>0</v>
      </c>
      <c r="AG81">
        <v>3</v>
      </c>
      <c r="AH81">
        <v>1</v>
      </c>
      <c r="AI81">
        <v>0</v>
      </c>
      <c r="AJ81">
        <v>1</v>
      </c>
      <c r="AK81">
        <v>0</v>
      </c>
      <c r="AL81">
        <v>0</v>
      </c>
      <c r="AM81">
        <v>1</v>
      </c>
      <c r="AN81">
        <v>2</v>
      </c>
      <c r="AO81">
        <v>7</v>
      </c>
      <c r="AP81">
        <v>2</v>
      </c>
      <c r="AQ81">
        <v>77.777777777777004</v>
      </c>
      <c r="AR81" s="2">
        <v>45737.546354166669</v>
      </c>
      <c r="AS81" s="2">
        <v>46054.22861111111</v>
      </c>
      <c r="AT81" t="s">
        <v>61</v>
      </c>
      <c r="AU81" t="s">
        <v>62</v>
      </c>
      <c r="AV81">
        <v>317</v>
      </c>
    </row>
    <row r="82" spans="1:48" x14ac:dyDescent="0.25">
      <c r="A82">
        <v>938</v>
      </c>
      <c r="B82" t="s">
        <v>471</v>
      </c>
      <c r="C82" t="s">
        <v>472</v>
      </c>
      <c r="D82" t="s">
        <v>207</v>
      </c>
      <c r="E82" t="s">
        <v>473</v>
      </c>
      <c r="F82">
        <v>6786436142</v>
      </c>
      <c r="G82" t="s">
        <v>53</v>
      </c>
      <c r="H82" s="1">
        <v>35603</v>
      </c>
      <c r="I82">
        <v>29</v>
      </c>
      <c r="J82">
        <v>1997</v>
      </c>
      <c r="K82" s="1">
        <v>45748</v>
      </c>
      <c r="L82">
        <v>2025</v>
      </c>
      <c r="M82" t="s">
        <v>54</v>
      </c>
      <c r="N82">
        <v>15</v>
      </c>
      <c r="O82" t="s">
        <v>91</v>
      </c>
      <c r="P82" t="s">
        <v>69</v>
      </c>
      <c r="Q82">
        <v>60</v>
      </c>
      <c r="R82">
        <v>5</v>
      </c>
      <c r="S82" t="s">
        <v>92</v>
      </c>
      <c r="T82" t="s">
        <v>93</v>
      </c>
      <c r="U82">
        <v>12</v>
      </c>
      <c r="V82">
        <v>13</v>
      </c>
      <c r="W82">
        <v>13</v>
      </c>
      <c r="X82">
        <v>10</v>
      </c>
      <c r="Y82">
        <v>3</v>
      </c>
      <c r="Z82">
        <v>8</v>
      </c>
      <c r="AA82">
        <v>2.5</v>
      </c>
      <c r="AB82">
        <v>20</v>
      </c>
      <c r="AC82" t="s">
        <v>59</v>
      </c>
      <c r="AD82" t="s">
        <v>60</v>
      </c>
      <c r="AE82">
        <v>1</v>
      </c>
      <c r="AF82">
        <v>0</v>
      </c>
      <c r="AG82">
        <v>1</v>
      </c>
      <c r="AH82">
        <v>2</v>
      </c>
      <c r="AI82">
        <v>0</v>
      </c>
      <c r="AJ82">
        <v>1</v>
      </c>
      <c r="AK82">
        <v>1</v>
      </c>
      <c r="AL82">
        <v>0</v>
      </c>
      <c r="AM82">
        <v>2</v>
      </c>
      <c r="AN82">
        <v>0</v>
      </c>
      <c r="AO82">
        <v>8</v>
      </c>
      <c r="AP82">
        <v>0</v>
      </c>
      <c r="AQ82">
        <v>100</v>
      </c>
      <c r="AR82" s="2">
        <v>45777.332372685189</v>
      </c>
      <c r="AS82" s="2">
        <v>46026.020405092589</v>
      </c>
      <c r="AT82" t="s">
        <v>61</v>
      </c>
      <c r="AU82" t="s">
        <v>62</v>
      </c>
      <c r="AV82">
        <v>249</v>
      </c>
    </row>
    <row r="83" spans="1:48" x14ac:dyDescent="0.25">
      <c r="A83">
        <v>531</v>
      </c>
      <c r="B83" t="s">
        <v>474</v>
      </c>
      <c r="C83" t="s">
        <v>475</v>
      </c>
      <c r="D83" t="s">
        <v>320</v>
      </c>
      <c r="E83" t="s">
        <v>476</v>
      </c>
      <c r="F83" t="s">
        <v>477</v>
      </c>
      <c r="G83" t="s">
        <v>53</v>
      </c>
      <c r="H83" s="1">
        <v>37549</v>
      </c>
      <c r="I83">
        <v>24</v>
      </c>
      <c r="J83">
        <v>2002</v>
      </c>
      <c r="K83" s="1">
        <v>46067</v>
      </c>
      <c r="L83">
        <v>2026</v>
      </c>
      <c r="M83" t="s">
        <v>54</v>
      </c>
      <c r="N83">
        <v>8</v>
      </c>
      <c r="O83" t="s">
        <v>125</v>
      </c>
      <c r="P83" t="s">
        <v>56</v>
      </c>
      <c r="Q83">
        <v>36</v>
      </c>
      <c r="R83">
        <v>3</v>
      </c>
      <c r="S83" t="s">
        <v>126</v>
      </c>
      <c r="T83" t="s">
        <v>127</v>
      </c>
      <c r="U83">
        <v>13</v>
      </c>
      <c r="V83">
        <v>13</v>
      </c>
      <c r="W83">
        <v>13</v>
      </c>
      <c r="X83">
        <v>12</v>
      </c>
      <c r="Y83">
        <v>3</v>
      </c>
      <c r="Z83">
        <v>10</v>
      </c>
      <c r="AA83">
        <v>3.05</v>
      </c>
      <c r="AB83">
        <v>30.5</v>
      </c>
      <c r="AC83" t="s">
        <v>59</v>
      </c>
      <c r="AD83" t="s">
        <v>60</v>
      </c>
      <c r="AE83">
        <v>4</v>
      </c>
      <c r="AF83">
        <v>0</v>
      </c>
      <c r="AG83">
        <v>1</v>
      </c>
      <c r="AH83">
        <v>1</v>
      </c>
      <c r="AI83">
        <v>0</v>
      </c>
      <c r="AJ83">
        <v>2</v>
      </c>
      <c r="AK83">
        <v>1</v>
      </c>
      <c r="AL83">
        <v>0</v>
      </c>
      <c r="AM83">
        <v>1</v>
      </c>
      <c r="AN83">
        <v>0</v>
      </c>
      <c r="AO83">
        <v>10</v>
      </c>
      <c r="AP83">
        <v>0</v>
      </c>
      <c r="AQ83">
        <v>100</v>
      </c>
      <c r="AR83" s="2">
        <v>45760.425995370373</v>
      </c>
      <c r="AS83" s="2">
        <v>46064.094039351854</v>
      </c>
      <c r="AT83" t="s">
        <v>61</v>
      </c>
      <c r="AU83" t="s">
        <v>62</v>
      </c>
      <c r="AV83">
        <v>304</v>
      </c>
    </row>
    <row r="84" spans="1:48" x14ac:dyDescent="0.25">
      <c r="A84">
        <v>762</v>
      </c>
      <c r="B84" t="s">
        <v>478</v>
      </c>
      <c r="C84" t="s">
        <v>479</v>
      </c>
      <c r="D84" t="s">
        <v>320</v>
      </c>
      <c r="E84" t="s">
        <v>480</v>
      </c>
      <c r="F84" t="s">
        <v>481</v>
      </c>
      <c r="G84" t="s">
        <v>53</v>
      </c>
      <c r="H84" s="1">
        <v>36734</v>
      </c>
      <c r="I84">
        <v>26</v>
      </c>
      <c r="J84">
        <v>2000</v>
      </c>
      <c r="K84" s="1">
        <v>44932</v>
      </c>
      <c r="L84">
        <v>2023</v>
      </c>
      <c r="M84" t="s">
        <v>54</v>
      </c>
      <c r="N84">
        <v>21</v>
      </c>
      <c r="O84" t="s">
        <v>339</v>
      </c>
      <c r="P84" t="s">
        <v>69</v>
      </c>
      <c r="Q84">
        <v>60</v>
      </c>
      <c r="R84">
        <v>7</v>
      </c>
      <c r="S84" t="s">
        <v>163</v>
      </c>
      <c r="T84" t="s">
        <v>164</v>
      </c>
      <c r="U84">
        <v>13</v>
      </c>
      <c r="V84">
        <v>13</v>
      </c>
      <c r="W84">
        <v>13</v>
      </c>
      <c r="X84">
        <v>11</v>
      </c>
      <c r="Y84">
        <v>3</v>
      </c>
      <c r="Z84">
        <v>11</v>
      </c>
      <c r="AA84">
        <v>1.7272719999999999</v>
      </c>
      <c r="AB84">
        <v>19</v>
      </c>
      <c r="AC84" t="s">
        <v>70</v>
      </c>
      <c r="AD84" t="s">
        <v>60</v>
      </c>
      <c r="AE84">
        <v>1</v>
      </c>
      <c r="AF84">
        <v>0</v>
      </c>
      <c r="AG84">
        <v>1</v>
      </c>
      <c r="AH84">
        <v>1</v>
      </c>
      <c r="AI84">
        <v>0</v>
      </c>
      <c r="AJ84">
        <v>3</v>
      </c>
      <c r="AK84">
        <v>0</v>
      </c>
      <c r="AL84">
        <v>0</v>
      </c>
      <c r="AM84">
        <v>1</v>
      </c>
      <c r="AN84">
        <v>4</v>
      </c>
      <c r="AO84">
        <v>7</v>
      </c>
      <c r="AP84">
        <v>4</v>
      </c>
      <c r="AQ84">
        <v>63.636363636363001</v>
      </c>
      <c r="AR84" s="2">
        <v>45777.879953703705</v>
      </c>
      <c r="AS84" s="2">
        <v>46064.413645833331</v>
      </c>
      <c r="AT84" t="s">
        <v>61</v>
      </c>
      <c r="AU84" t="s">
        <v>62</v>
      </c>
      <c r="AV84">
        <v>287</v>
      </c>
    </row>
    <row r="85" spans="1:48" x14ac:dyDescent="0.25">
      <c r="A85">
        <v>978</v>
      </c>
      <c r="B85" t="s">
        <v>482</v>
      </c>
      <c r="C85" t="s">
        <v>483</v>
      </c>
      <c r="D85" t="s">
        <v>342</v>
      </c>
      <c r="E85" t="s">
        <v>484</v>
      </c>
      <c r="F85" t="s">
        <v>485</v>
      </c>
      <c r="G85" t="s">
        <v>104</v>
      </c>
      <c r="H85" s="1">
        <v>38156</v>
      </c>
      <c r="I85">
        <v>22</v>
      </c>
      <c r="J85">
        <v>2004</v>
      </c>
      <c r="K85" s="1">
        <v>45286</v>
      </c>
      <c r="L85">
        <v>2023</v>
      </c>
      <c r="M85" t="s">
        <v>54</v>
      </c>
      <c r="N85">
        <v>18</v>
      </c>
      <c r="O85" t="s">
        <v>139</v>
      </c>
      <c r="P85" t="s">
        <v>69</v>
      </c>
      <c r="Q85">
        <v>60</v>
      </c>
      <c r="R85">
        <v>6</v>
      </c>
      <c r="S85" t="s">
        <v>140</v>
      </c>
      <c r="T85" t="s">
        <v>141</v>
      </c>
      <c r="U85">
        <v>12</v>
      </c>
      <c r="V85">
        <v>13</v>
      </c>
      <c r="W85">
        <v>13</v>
      </c>
      <c r="X85">
        <v>13</v>
      </c>
      <c r="Y85">
        <v>3</v>
      </c>
      <c r="Z85">
        <v>12</v>
      </c>
      <c r="AA85">
        <v>2.5</v>
      </c>
      <c r="AB85">
        <v>30</v>
      </c>
      <c r="AC85" t="s">
        <v>59</v>
      </c>
      <c r="AD85" t="s">
        <v>60</v>
      </c>
      <c r="AE85">
        <v>2</v>
      </c>
      <c r="AF85">
        <v>0</v>
      </c>
      <c r="AG85">
        <v>2</v>
      </c>
      <c r="AH85">
        <v>1</v>
      </c>
      <c r="AI85">
        <v>0</v>
      </c>
      <c r="AJ85">
        <v>2</v>
      </c>
      <c r="AK85">
        <v>2</v>
      </c>
      <c r="AL85">
        <v>0</v>
      </c>
      <c r="AM85">
        <v>3</v>
      </c>
      <c r="AN85">
        <v>0</v>
      </c>
      <c r="AO85">
        <v>12</v>
      </c>
      <c r="AP85">
        <v>0</v>
      </c>
      <c r="AQ85">
        <v>100</v>
      </c>
      <c r="AR85" s="2">
        <v>45748.012002314812</v>
      </c>
      <c r="AS85" s="2">
        <v>46050.461817129632</v>
      </c>
      <c r="AT85" t="s">
        <v>61</v>
      </c>
      <c r="AU85" t="s">
        <v>62</v>
      </c>
      <c r="AV85">
        <v>302</v>
      </c>
    </row>
    <row r="86" spans="1:48" x14ac:dyDescent="0.25">
      <c r="A86">
        <v>306</v>
      </c>
      <c r="B86" t="s">
        <v>486</v>
      </c>
      <c r="C86" t="s">
        <v>346</v>
      </c>
      <c r="D86" t="s">
        <v>487</v>
      </c>
      <c r="E86" t="s">
        <v>488</v>
      </c>
      <c r="F86" t="s">
        <v>489</v>
      </c>
      <c r="G86" t="s">
        <v>104</v>
      </c>
      <c r="H86" s="1">
        <v>35859</v>
      </c>
      <c r="I86">
        <v>28</v>
      </c>
      <c r="J86">
        <v>1998</v>
      </c>
      <c r="K86" s="1">
        <v>44663</v>
      </c>
      <c r="L86">
        <v>2022</v>
      </c>
      <c r="M86" t="s">
        <v>54</v>
      </c>
      <c r="N86">
        <v>21</v>
      </c>
      <c r="O86" t="s">
        <v>339</v>
      </c>
      <c r="P86" t="s">
        <v>69</v>
      </c>
      <c r="Q86">
        <v>60</v>
      </c>
      <c r="R86">
        <v>7</v>
      </c>
      <c r="S86" t="s">
        <v>163</v>
      </c>
      <c r="T86" t="s">
        <v>164</v>
      </c>
      <c r="U86">
        <v>13</v>
      </c>
      <c r="V86">
        <v>13</v>
      </c>
      <c r="W86">
        <v>13</v>
      </c>
      <c r="X86">
        <v>13</v>
      </c>
      <c r="Y86">
        <v>3</v>
      </c>
      <c r="Z86">
        <v>11</v>
      </c>
      <c r="AA86">
        <v>1.7272719999999999</v>
      </c>
      <c r="AB86">
        <v>19</v>
      </c>
      <c r="AC86" t="s">
        <v>70</v>
      </c>
      <c r="AD86" t="s">
        <v>60</v>
      </c>
      <c r="AE86">
        <v>1</v>
      </c>
      <c r="AF86">
        <v>0</v>
      </c>
      <c r="AG86">
        <v>1</v>
      </c>
      <c r="AH86">
        <v>0</v>
      </c>
      <c r="AI86">
        <v>0</v>
      </c>
      <c r="AJ86">
        <v>1</v>
      </c>
      <c r="AK86">
        <v>2</v>
      </c>
      <c r="AL86">
        <v>0</v>
      </c>
      <c r="AM86">
        <v>5</v>
      </c>
      <c r="AN86">
        <v>1</v>
      </c>
      <c r="AO86">
        <v>10</v>
      </c>
      <c r="AP86">
        <v>1</v>
      </c>
      <c r="AQ86">
        <v>90.909090909089997</v>
      </c>
      <c r="AR86" s="2">
        <v>45721.802881944444</v>
      </c>
      <c r="AS86" s="2">
        <v>46058.615023148152</v>
      </c>
      <c r="AT86" t="s">
        <v>61</v>
      </c>
      <c r="AU86" t="s">
        <v>62</v>
      </c>
      <c r="AV86">
        <v>337</v>
      </c>
    </row>
    <row r="87" spans="1:48" x14ac:dyDescent="0.25">
      <c r="A87">
        <v>293</v>
      </c>
      <c r="B87" t="s">
        <v>490</v>
      </c>
      <c r="C87" t="s">
        <v>491</v>
      </c>
      <c r="D87" t="s">
        <v>492</v>
      </c>
      <c r="E87" t="s">
        <v>493</v>
      </c>
      <c r="F87" t="s">
        <v>494</v>
      </c>
      <c r="G87" t="s">
        <v>53</v>
      </c>
      <c r="H87" s="1">
        <v>37589</v>
      </c>
      <c r="I87">
        <v>24</v>
      </c>
      <c r="J87">
        <v>2002</v>
      </c>
      <c r="K87" s="1">
        <v>45063</v>
      </c>
      <c r="L87">
        <v>2023</v>
      </c>
      <c r="M87" t="s">
        <v>111</v>
      </c>
      <c r="N87">
        <v>8</v>
      </c>
      <c r="O87" t="s">
        <v>125</v>
      </c>
      <c r="P87" t="s">
        <v>56</v>
      </c>
      <c r="Q87">
        <v>36</v>
      </c>
      <c r="R87">
        <v>3</v>
      </c>
      <c r="S87" t="s">
        <v>126</v>
      </c>
      <c r="T87" t="s">
        <v>127</v>
      </c>
      <c r="U87">
        <v>12</v>
      </c>
      <c r="V87">
        <v>13</v>
      </c>
      <c r="W87">
        <v>13</v>
      </c>
      <c r="X87">
        <v>10</v>
      </c>
      <c r="Y87">
        <v>3</v>
      </c>
      <c r="Z87">
        <v>9</v>
      </c>
      <c r="AA87">
        <v>2.3333330000000001</v>
      </c>
      <c r="AB87">
        <v>21</v>
      </c>
      <c r="AC87" t="s">
        <v>70</v>
      </c>
      <c r="AD87" t="s">
        <v>60</v>
      </c>
      <c r="AE87">
        <v>1</v>
      </c>
      <c r="AF87">
        <v>0</v>
      </c>
      <c r="AG87">
        <v>2</v>
      </c>
      <c r="AH87">
        <v>1</v>
      </c>
      <c r="AI87">
        <v>0</v>
      </c>
      <c r="AJ87">
        <v>2</v>
      </c>
      <c r="AK87">
        <v>0</v>
      </c>
      <c r="AL87">
        <v>0</v>
      </c>
      <c r="AM87">
        <v>2</v>
      </c>
      <c r="AN87">
        <v>1</v>
      </c>
      <c r="AO87">
        <v>8</v>
      </c>
      <c r="AP87">
        <v>1</v>
      </c>
      <c r="AQ87">
        <v>88.888888888888005</v>
      </c>
      <c r="AR87" s="2">
        <v>45737.815844907411</v>
      </c>
      <c r="AS87" s="2">
        <v>46063.518819444442</v>
      </c>
      <c r="AT87" t="s">
        <v>61</v>
      </c>
      <c r="AU87" t="s">
        <v>62</v>
      </c>
      <c r="AV87">
        <v>326</v>
      </c>
    </row>
    <row r="88" spans="1:48" x14ac:dyDescent="0.25">
      <c r="A88">
        <v>462</v>
      </c>
      <c r="B88" t="s">
        <v>495</v>
      </c>
      <c r="C88" t="s">
        <v>496</v>
      </c>
      <c r="D88" t="s">
        <v>497</v>
      </c>
      <c r="E88" t="s">
        <v>498</v>
      </c>
      <c r="F88" t="s">
        <v>499</v>
      </c>
      <c r="G88" t="s">
        <v>53</v>
      </c>
      <c r="H88" s="1">
        <v>36535</v>
      </c>
      <c r="I88">
        <v>26</v>
      </c>
      <c r="J88">
        <v>2000</v>
      </c>
      <c r="K88" s="1">
        <v>46064</v>
      </c>
      <c r="L88">
        <v>2026</v>
      </c>
      <c r="M88" t="s">
        <v>54</v>
      </c>
      <c r="N88">
        <v>2</v>
      </c>
      <c r="O88" t="s">
        <v>55</v>
      </c>
      <c r="P88" t="s">
        <v>56</v>
      </c>
      <c r="Q88">
        <v>36</v>
      </c>
      <c r="R88">
        <v>1</v>
      </c>
      <c r="S88" t="s">
        <v>57</v>
      </c>
      <c r="T88" t="s">
        <v>58</v>
      </c>
      <c r="U88">
        <v>12</v>
      </c>
      <c r="V88">
        <v>13</v>
      </c>
      <c r="W88">
        <v>13</v>
      </c>
      <c r="X88">
        <v>11</v>
      </c>
      <c r="Y88">
        <v>3</v>
      </c>
      <c r="Z88">
        <v>9</v>
      </c>
      <c r="AA88">
        <v>2.6666660000000002</v>
      </c>
      <c r="AB88">
        <v>24</v>
      </c>
      <c r="AC88" t="s">
        <v>59</v>
      </c>
      <c r="AD88" t="s">
        <v>60</v>
      </c>
      <c r="AE88">
        <v>1</v>
      </c>
      <c r="AF88">
        <v>0</v>
      </c>
      <c r="AG88">
        <v>2</v>
      </c>
      <c r="AH88">
        <v>2</v>
      </c>
      <c r="AI88">
        <v>0</v>
      </c>
      <c r="AJ88">
        <v>2</v>
      </c>
      <c r="AK88">
        <v>0</v>
      </c>
      <c r="AL88">
        <v>0</v>
      </c>
      <c r="AM88">
        <v>2</v>
      </c>
      <c r="AN88">
        <v>0</v>
      </c>
      <c r="AO88">
        <v>9</v>
      </c>
      <c r="AP88">
        <v>0</v>
      </c>
      <c r="AQ88">
        <v>100</v>
      </c>
      <c r="AR88" s="2">
        <v>45724.042604166665</v>
      </c>
      <c r="AS88" s="2">
        <v>46027.755312499998</v>
      </c>
      <c r="AT88" t="s">
        <v>61</v>
      </c>
      <c r="AU88" t="s">
        <v>62</v>
      </c>
      <c r="AV88">
        <v>303</v>
      </c>
    </row>
    <row r="89" spans="1:48" x14ac:dyDescent="0.25">
      <c r="A89">
        <v>485</v>
      </c>
      <c r="B89" t="s">
        <v>500</v>
      </c>
      <c r="C89" t="s">
        <v>501</v>
      </c>
      <c r="D89" t="s">
        <v>502</v>
      </c>
      <c r="E89" t="s">
        <v>503</v>
      </c>
      <c r="F89" t="s">
        <v>504</v>
      </c>
      <c r="G89" t="s">
        <v>53</v>
      </c>
      <c r="H89" s="1">
        <v>37536</v>
      </c>
      <c r="I89">
        <v>24</v>
      </c>
      <c r="J89">
        <v>2002</v>
      </c>
      <c r="K89" s="1">
        <v>45304</v>
      </c>
      <c r="L89">
        <v>2024</v>
      </c>
      <c r="M89" t="s">
        <v>54</v>
      </c>
      <c r="N89">
        <v>12</v>
      </c>
      <c r="O89" t="s">
        <v>76</v>
      </c>
      <c r="P89" t="s">
        <v>69</v>
      </c>
      <c r="Q89">
        <v>60</v>
      </c>
      <c r="R89">
        <v>4</v>
      </c>
      <c r="S89" t="s">
        <v>77</v>
      </c>
      <c r="T89" t="s">
        <v>78</v>
      </c>
      <c r="U89">
        <v>13</v>
      </c>
      <c r="V89">
        <v>13</v>
      </c>
      <c r="W89">
        <v>13</v>
      </c>
      <c r="X89">
        <v>11</v>
      </c>
      <c r="Y89">
        <v>3</v>
      </c>
      <c r="Z89">
        <v>10</v>
      </c>
      <c r="AA89">
        <v>2.95</v>
      </c>
      <c r="AB89">
        <v>29.5</v>
      </c>
      <c r="AC89" t="s">
        <v>59</v>
      </c>
      <c r="AD89" t="s">
        <v>60</v>
      </c>
      <c r="AE89">
        <v>3</v>
      </c>
      <c r="AF89">
        <v>0</v>
      </c>
      <c r="AG89">
        <v>2</v>
      </c>
      <c r="AH89">
        <v>2</v>
      </c>
      <c r="AI89">
        <v>0</v>
      </c>
      <c r="AJ89">
        <v>1</v>
      </c>
      <c r="AK89">
        <v>0</v>
      </c>
      <c r="AL89">
        <v>0</v>
      </c>
      <c r="AM89">
        <v>2</v>
      </c>
      <c r="AN89">
        <v>0</v>
      </c>
      <c r="AO89">
        <v>10</v>
      </c>
      <c r="AP89">
        <v>0</v>
      </c>
      <c r="AQ89">
        <v>100</v>
      </c>
      <c r="AR89" s="2">
        <v>45733.248912037037</v>
      </c>
      <c r="AS89" s="2">
        <v>46078.105486111112</v>
      </c>
      <c r="AT89" t="s">
        <v>61</v>
      </c>
      <c r="AU89" t="s">
        <v>62</v>
      </c>
      <c r="AV89">
        <v>345</v>
      </c>
    </row>
    <row r="90" spans="1:48" x14ac:dyDescent="0.25">
      <c r="A90">
        <v>779</v>
      </c>
      <c r="B90" t="s">
        <v>505</v>
      </c>
      <c r="C90" t="s">
        <v>419</v>
      </c>
      <c r="D90" t="s">
        <v>506</v>
      </c>
      <c r="E90" t="s">
        <v>507</v>
      </c>
      <c r="F90" t="s">
        <v>508</v>
      </c>
      <c r="G90" t="s">
        <v>104</v>
      </c>
      <c r="H90" s="1">
        <v>39500</v>
      </c>
      <c r="I90">
        <v>18</v>
      </c>
      <c r="J90">
        <v>2008</v>
      </c>
      <c r="K90" s="1">
        <v>45506</v>
      </c>
      <c r="L90">
        <v>2024</v>
      </c>
      <c r="M90" t="s">
        <v>54</v>
      </c>
      <c r="N90">
        <v>14</v>
      </c>
      <c r="O90" t="s">
        <v>105</v>
      </c>
      <c r="P90" t="s">
        <v>56</v>
      </c>
      <c r="Q90">
        <v>36</v>
      </c>
      <c r="R90">
        <v>5</v>
      </c>
      <c r="S90" t="s">
        <v>92</v>
      </c>
      <c r="T90" t="s">
        <v>93</v>
      </c>
      <c r="U90">
        <v>13</v>
      </c>
      <c r="V90">
        <v>13</v>
      </c>
      <c r="W90">
        <v>13</v>
      </c>
      <c r="X90">
        <v>12</v>
      </c>
      <c r="Y90">
        <v>3</v>
      </c>
      <c r="Z90">
        <v>12</v>
      </c>
      <c r="AA90">
        <v>2.1666660000000002</v>
      </c>
      <c r="AB90">
        <v>26</v>
      </c>
      <c r="AC90" t="s">
        <v>70</v>
      </c>
      <c r="AD90" t="s">
        <v>60</v>
      </c>
      <c r="AE90">
        <v>2</v>
      </c>
      <c r="AF90">
        <v>0</v>
      </c>
      <c r="AG90">
        <v>0</v>
      </c>
      <c r="AH90">
        <v>0</v>
      </c>
      <c r="AI90">
        <v>0</v>
      </c>
      <c r="AJ90">
        <v>4</v>
      </c>
      <c r="AK90">
        <v>3</v>
      </c>
      <c r="AL90">
        <v>0</v>
      </c>
      <c r="AM90">
        <v>2</v>
      </c>
      <c r="AN90">
        <v>1</v>
      </c>
      <c r="AO90">
        <v>11</v>
      </c>
      <c r="AP90">
        <v>1</v>
      </c>
      <c r="AQ90">
        <v>91.666666666666003</v>
      </c>
      <c r="AR90" s="2">
        <v>45742.482025462959</v>
      </c>
      <c r="AS90" s="2">
        <v>46076.575289351851</v>
      </c>
      <c r="AT90" t="s">
        <v>61</v>
      </c>
      <c r="AU90" t="s">
        <v>62</v>
      </c>
      <c r="AV90">
        <v>334</v>
      </c>
    </row>
    <row r="91" spans="1:48" x14ac:dyDescent="0.25">
      <c r="A91">
        <v>461</v>
      </c>
      <c r="B91" t="s">
        <v>509</v>
      </c>
      <c r="C91" t="s">
        <v>374</v>
      </c>
      <c r="D91" t="s">
        <v>510</v>
      </c>
      <c r="E91" t="s">
        <v>511</v>
      </c>
      <c r="F91" t="s">
        <v>512</v>
      </c>
      <c r="G91" t="s">
        <v>53</v>
      </c>
      <c r="H91" s="1">
        <v>37062</v>
      </c>
      <c r="I91">
        <v>25</v>
      </c>
      <c r="J91">
        <v>2001</v>
      </c>
      <c r="K91" s="1">
        <v>45220</v>
      </c>
      <c r="L91">
        <v>2023</v>
      </c>
      <c r="M91" t="s">
        <v>225</v>
      </c>
      <c r="N91">
        <v>6</v>
      </c>
      <c r="O91" t="s">
        <v>133</v>
      </c>
      <c r="P91" t="s">
        <v>69</v>
      </c>
      <c r="Q91">
        <v>60</v>
      </c>
      <c r="R91">
        <v>2</v>
      </c>
      <c r="S91" t="s">
        <v>85</v>
      </c>
      <c r="T91" t="s">
        <v>86</v>
      </c>
      <c r="U91">
        <v>13</v>
      </c>
      <c r="V91">
        <v>13</v>
      </c>
      <c r="W91">
        <v>13</v>
      </c>
      <c r="X91">
        <v>12</v>
      </c>
      <c r="Y91">
        <v>3</v>
      </c>
      <c r="Z91">
        <v>10</v>
      </c>
      <c r="AA91">
        <v>2.5499999999999998</v>
      </c>
      <c r="AB91">
        <v>25.5</v>
      </c>
      <c r="AC91" t="s">
        <v>59</v>
      </c>
      <c r="AD91" t="s">
        <v>112</v>
      </c>
      <c r="AE91">
        <v>0</v>
      </c>
      <c r="AF91">
        <v>0</v>
      </c>
      <c r="AG91">
        <v>2</v>
      </c>
      <c r="AH91">
        <v>2</v>
      </c>
      <c r="AI91">
        <v>0</v>
      </c>
      <c r="AJ91">
        <v>3</v>
      </c>
      <c r="AK91">
        <v>2</v>
      </c>
      <c r="AL91">
        <v>0</v>
      </c>
      <c r="AM91">
        <v>1</v>
      </c>
      <c r="AN91">
        <v>0</v>
      </c>
      <c r="AO91">
        <v>10</v>
      </c>
      <c r="AP91">
        <v>0</v>
      </c>
      <c r="AQ91">
        <v>100</v>
      </c>
      <c r="AR91" s="2">
        <v>45735.802025462966</v>
      </c>
      <c r="AS91" s="2">
        <v>46075.404143518521</v>
      </c>
      <c r="AT91" t="s">
        <v>61</v>
      </c>
      <c r="AU91" t="s">
        <v>62</v>
      </c>
      <c r="AV91">
        <v>340</v>
      </c>
    </row>
    <row r="92" spans="1:48" x14ac:dyDescent="0.25">
      <c r="A92">
        <v>193</v>
      </c>
      <c r="B92" t="s">
        <v>513</v>
      </c>
      <c r="C92" t="s">
        <v>277</v>
      </c>
      <c r="D92" t="s">
        <v>514</v>
      </c>
      <c r="E92" t="s">
        <v>515</v>
      </c>
      <c r="F92" t="s">
        <v>516</v>
      </c>
      <c r="G92" t="s">
        <v>53</v>
      </c>
      <c r="H92" s="1">
        <v>37872</v>
      </c>
      <c r="I92">
        <v>23</v>
      </c>
      <c r="J92">
        <v>2003</v>
      </c>
      <c r="K92" s="1">
        <v>45460</v>
      </c>
      <c r="L92">
        <v>2024</v>
      </c>
      <c r="M92" t="s">
        <v>54</v>
      </c>
      <c r="N92">
        <v>3</v>
      </c>
      <c r="O92" t="s">
        <v>68</v>
      </c>
      <c r="P92" t="s">
        <v>69</v>
      </c>
      <c r="Q92">
        <v>60</v>
      </c>
      <c r="R92">
        <v>1</v>
      </c>
      <c r="S92" t="s">
        <v>57</v>
      </c>
      <c r="T92" t="s">
        <v>58</v>
      </c>
      <c r="U92">
        <v>13</v>
      </c>
      <c r="V92">
        <v>13</v>
      </c>
      <c r="W92">
        <v>13</v>
      </c>
      <c r="X92">
        <v>13</v>
      </c>
      <c r="Y92">
        <v>3</v>
      </c>
      <c r="Z92">
        <v>10</v>
      </c>
      <c r="AA92">
        <v>1.8</v>
      </c>
      <c r="AB92">
        <v>18</v>
      </c>
      <c r="AC92" t="s">
        <v>70</v>
      </c>
      <c r="AD92" t="s">
        <v>60</v>
      </c>
      <c r="AE92">
        <v>1</v>
      </c>
      <c r="AF92">
        <v>0</v>
      </c>
      <c r="AG92">
        <v>0</v>
      </c>
      <c r="AH92">
        <v>1</v>
      </c>
      <c r="AI92">
        <v>0</v>
      </c>
      <c r="AJ92">
        <v>2</v>
      </c>
      <c r="AK92">
        <v>3</v>
      </c>
      <c r="AL92">
        <v>0</v>
      </c>
      <c r="AM92">
        <v>0</v>
      </c>
      <c r="AN92">
        <v>3</v>
      </c>
      <c r="AO92">
        <v>7</v>
      </c>
      <c r="AP92">
        <v>3</v>
      </c>
      <c r="AQ92">
        <v>70</v>
      </c>
      <c r="AR92" s="2">
        <v>45735.582361111112</v>
      </c>
      <c r="AS92" s="2">
        <v>46085.313564814816</v>
      </c>
      <c r="AT92" t="s">
        <v>61</v>
      </c>
      <c r="AU92" t="s">
        <v>62</v>
      </c>
      <c r="AV92">
        <v>350</v>
      </c>
    </row>
    <row r="93" spans="1:48" x14ac:dyDescent="0.25">
      <c r="A93">
        <v>406</v>
      </c>
      <c r="B93" t="s">
        <v>517</v>
      </c>
      <c r="C93" t="s">
        <v>518</v>
      </c>
      <c r="D93" t="s">
        <v>519</v>
      </c>
      <c r="E93" t="s">
        <v>520</v>
      </c>
      <c r="F93" t="s">
        <v>521</v>
      </c>
      <c r="G93" t="s">
        <v>53</v>
      </c>
      <c r="H93" s="1">
        <v>37913</v>
      </c>
      <c r="I93">
        <v>23</v>
      </c>
      <c r="J93">
        <v>2003</v>
      </c>
      <c r="K93" s="1">
        <v>45082</v>
      </c>
      <c r="L93">
        <v>2023</v>
      </c>
      <c r="M93" t="s">
        <v>54</v>
      </c>
      <c r="N93">
        <v>12</v>
      </c>
      <c r="O93" t="s">
        <v>76</v>
      </c>
      <c r="P93" t="s">
        <v>69</v>
      </c>
      <c r="Q93">
        <v>60</v>
      </c>
      <c r="R93">
        <v>4</v>
      </c>
      <c r="S93" t="s">
        <v>77</v>
      </c>
      <c r="T93" t="s">
        <v>78</v>
      </c>
      <c r="U93">
        <v>13</v>
      </c>
      <c r="V93">
        <v>13</v>
      </c>
      <c r="W93">
        <v>13</v>
      </c>
      <c r="X93">
        <v>12</v>
      </c>
      <c r="Y93">
        <v>3</v>
      </c>
      <c r="Z93">
        <v>13</v>
      </c>
      <c r="AA93">
        <v>2.6538460000000001</v>
      </c>
      <c r="AB93">
        <v>34.5</v>
      </c>
      <c r="AC93" t="s">
        <v>70</v>
      </c>
      <c r="AD93" t="s">
        <v>60</v>
      </c>
      <c r="AE93">
        <v>2</v>
      </c>
      <c r="AF93">
        <v>0</v>
      </c>
      <c r="AG93">
        <v>5</v>
      </c>
      <c r="AH93">
        <v>1</v>
      </c>
      <c r="AI93">
        <v>0</v>
      </c>
      <c r="AJ93">
        <v>2</v>
      </c>
      <c r="AK93">
        <v>0</v>
      </c>
      <c r="AL93">
        <v>0</v>
      </c>
      <c r="AM93">
        <v>1</v>
      </c>
      <c r="AN93">
        <v>2</v>
      </c>
      <c r="AO93">
        <v>11</v>
      </c>
      <c r="AP93">
        <v>2</v>
      </c>
      <c r="AQ93">
        <v>84.615384615384002</v>
      </c>
      <c r="AR93" s="2">
        <v>45735.473356481481</v>
      </c>
      <c r="AS93" s="2">
        <v>46070.05978009259</v>
      </c>
      <c r="AT93" t="s">
        <v>61</v>
      </c>
      <c r="AU93" t="s">
        <v>62</v>
      </c>
      <c r="AV93">
        <v>335</v>
      </c>
    </row>
    <row r="94" spans="1:48" x14ac:dyDescent="0.25">
      <c r="A94">
        <v>591</v>
      </c>
      <c r="B94" t="s">
        <v>522</v>
      </c>
      <c r="C94" t="s">
        <v>523</v>
      </c>
      <c r="D94" t="s">
        <v>115</v>
      </c>
      <c r="E94" t="s">
        <v>524</v>
      </c>
      <c r="F94" t="s">
        <v>525</v>
      </c>
      <c r="G94" t="s">
        <v>53</v>
      </c>
      <c r="H94" s="1">
        <v>35477</v>
      </c>
      <c r="I94">
        <v>29</v>
      </c>
      <c r="J94">
        <v>1997</v>
      </c>
      <c r="K94" s="1">
        <v>45295</v>
      </c>
      <c r="L94">
        <v>2024</v>
      </c>
      <c r="M94" t="s">
        <v>54</v>
      </c>
      <c r="N94">
        <v>15</v>
      </c>
      <c r="O94" t="s">
        <v>91</v>
      </c>
      <c r="P94" t="s">
        <v>69</v>
      </c>
      <c r="Q94">
        <v>60</v>
      </c>
      <c r="R94">
        <v>5</v>
      </c>
      <c r="S94" t="s">
        <v>92</v>
      </c>
      <c r="T94" t="s">
        <v>93</v>
      </c>
      <c r="U94">
        <v>12</v>
      </c>
      <c r="V94">
        <v>13</v>
      </c>
      <c r="W94">
        <v>13</v>
      </c>
      <c r="X94">
        <v>13</v>
      </c>
      <c r="Y94">
        <v>3</v>
      </c>
      <c r="Z94">
        <v>11</v>
      </c>
      <c r="AA94">
        <v>2.318181</v>
      </c>
      <c r="AB94">
        <v>25.5</v>
      </c>
      <c r="AC94" t="s">
        <v>70</v>
      </c>
      <c r="AD94" t="s">
        <v>60</v>
      </c>
      <c r="AE94">
        <v>2</v>
      </c>
      <c r="AF94">
        <v>0</v>
      </c>
      <c r="AG94">
        <v>2</v>
      </c>
      <c r="AH94">
        <v>0</v>
      </c>
      <c r="AI94">
        <v>0</v>
      </c>
      <c r="AJ94">
        <v>3</v>
      </c>
      <c r="AK94">
        <v>1</v>
      </c>
      <c r="AL94">
        <v>0</v>
      </c>
      <c r="AM94">
        <v>1</v>
      </c>
      <c r="AN94">
        <v>2</v>
      </c>
      <c r="AO94">
        <v>9</v>
      </c>
      <c r="AP94">
        <v>2</v>
      </c>
      <c r="AQ94">
        <v>81.818181818181003</v>
      </c>
      <c r="AR94" s="2">
        <v>45722.386759259258</v>
      </c>
      <c r="AS94" s="2">
        <v>46084.313333333332</v>
      </c>
      <c r="AT94" t="s">
        <v>61</v>
      </c>
      <c r="AU94" t="s">
        <v>62</v>
      </c>
      <c r="AV94">
        <v>362</v>
      </c>
    </row>
    <row r="95" spans="1:48" x14ac:dyDescent="0.25">
      <c r="A95">
        <v>13</v>
      </c>
      <c r="B95" t="s">
        <v>526</v>
      </c>
      <c r="C95" t="s">
        <v>472</v>
      </c>
      <c r="D95" t="s">
        <v>527</v>
      </c>
      <c r="E95" t="s">
        <v>528</v>
      </c>
      <c r="F95" t="s">
        <v>529</v>
      </c>
      <c r="G95" t="s">
        <v>53</v>
      </c>
      <c r="H95" s="1">
        <v>36811</v>
      </c>
      <c r="I95">
        <v>26</v>
      </c>
      <c r="J95">
        <v>2000</v>
      </c>
      <c r="K95" s="1">
        <v>46011</v>
      </c>
      <c r="L95">
        <v>2025</v>
      </c>
      <c r="M95" t="s">
        <v>54</v>
      </c>
      <c r="N95">
        <v>11</v>
      </c>
      <c r="O95" t="s">
        <v>378</v>
      </c>
      <c r="P95" t="s">
        <v>56</v>
      </c>
      <c r="Q95">
        <v>36</v>
      </c>
      <c r="R95">
        <v>4</v>
      </c>
      <c r="S95" t="s">
        <v>77</v>
      </c>
      <c r="T95" t="s">
        <v>78</v>
      </c>
      <c r="U95">
        <v>13</v>
      </c>
      <c r="V95">
        <v>13</v>
      </c>
      <c r="W95">
        <v>13</v>
      </c>
      <c r="X95">
        <v>10</v>
      </c>
      <c r="Y95">
        <v>3</v>
      </c>
      <c r="Z95">
        <v>8</v>
      </c>
      <c r="AA95">
        <v>2</v>
      </c>
      <c r="AB95">
        <v>16</v>
      </c>
      <c r="AC95" t="s">
        <v>70</v>
      </c>
      <c r="AD95" t="s">
        <v>60</v>
      </c>
      <c r="AE95">
        <v>1</v>
      </c>
      <c r="AF95">
        <v>0</v>
      </c>
      <c r="AG95">
        <v>2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2</v>
      </c>
      <c r="AN95">
        <v>2</v>
      </c>
      <c r="AO95">
        <v>6</v>
      </c>
      <c r="AP95">
        <v>2</v>
      </c>
      <c r="AQ95">
        <v>75</v>
      </c>
      <c r="AR95" s="2">
        <v>45758.703113425923</v>
      </c>
      <c r="AS95" s="2">
        <v>46075.149710648147</v>
      </c>
      <c r="AT95" t="s">
        <v>61</v>
      </c>
      <c r="AU95" t="s">
        <v>62</v>
      </c>
      <c r="AV95">
        <v>317</v>
      </c>
    </row>
    <row r="96" spans="1:48" x14ac:dyDescent="0.25">
      <c r="A96">
        <v>268</v>
      </c>
      <c r="B96" t="s">
        <v>530</v>
      </c>
      <c r="C96" t="s">
        <v>531</v>
      </c>
      <c r="D96" t="s">
        <v>532</v>
      </c>
      <c r="E96" t="s">
        <v>533</v>
      </c>
      <c r="F96" t="s">
        <v>534</v>
      </c>
      <c r="G96" t="s">
        <v>104</v>
      </c>
      <c r="H96" s="1">
        <v>36449</v>
      </c>
      <c r="I96">
        <v>27</v>
      </c>
      <c r="J96">
        <v>1999</v>
      </c>
      <c r="K96" s="1">
        <v>45608</v>
      </c>
      <c r="L96">
        <v>2024</v>
      </c>
      <c r="M96" t="s">
        <v>54</v>
      </c>
      <c r="N96">
        <v>13</v>
      </c>
      <c r="O96" t="s">
        <v>146</v>
      </c>
      <c r="P96" t="s">
        <v>119</v>
      </c>
      <c r="Q96">
        <v>120</v>
      </c>
      <c r="R96">
        <v>5</v>
      </c>
      <c r="S96" t="s">
        <v>92</v>
      </c>
      <c r="T96" t="s">
        <v>93</v>
      </c>
      <c r="U96">
        <v>13</v>
      </c>
      <c r="V96">
        <v>13</v>
      </c>
      <c r="W96">
        <v>13</v>
      </c>
      <c r="X96">
        <v>13</v>
      </c>
      <c r="Y96">
        <v>3</v>
      </c>
      <c r="Z96">
        <v>12</v>
      </c>
      <c r="AA96">
        <v>2.9583330000000001</v>
      </c>
      <c r="AB96">
        <v>35.5</v>
      </c>
      <c r="AC96" t="s">
        <v>70</v>
      </c>
      <c r="AD96" t="s">
        <v>60</v>
      </c>
      <c r="AE96">
        <v>5</v>
      </c>
      <c r="AF96">
        <v>0</v>
      </c>
      <c r="AG96">
        <v>1</v>
      </c>
      <c r="AH96">
        <v>0</v>
      </c>
      <c r="AI96">
        <v>0</v>
      </c>
      <c r="AJ96">
        <v>4</v>
      </c>
      <c r="AK96">
        <v>1</v>
      </c>
      <c r="AL96">
        <v>0</v>
      </c>
      <c r="AM96">
        <v>0</v>
      </c>
      <c r="AN96">
        <v>1</v>
      </c>
      <c r="AO96">
        <v>11</v>
      </c>
      <c r="AP96">
        <v>1</v>
      </c>
      <c r="AQ96">
        <v>91.666666666666003</v>
      </c>
      <c r="AR96" s="2">
        <v>45739.122129629628</v>
      </c>
      <c r="AS96" s="2">
        <v>46075.453958333332</v>
      </c>
      <c r="AT96" t="s">
        <v>61</v>
      </c>
      <c r="AU96" t="s">
        <v>62</v>
      </c>
      <c r="AV96">
        <v>336</v>
      </c>
    </row>
    <row r="97" spans="1:48" x14ac:dyDescent="0.25">
      <c r="A97">
        <v>168</v>
      </c>
      <c r="B97" t="s">
        <v>535</v>
      </c>
      <c r="C97" t="s">
        <v>536</v>
      </c>
      <c r="D97" t="s">
        <v>537</v>
      </c>
      <c r="E97" t="s">
        <v>538</v>
      </c>
      <c r="F97" t="s">
        <v>539</v>
      </c>
      <c r="G97" t="s">
        <v>53</v>
      </c>
      <c r="H97" s="1">
        <v>37334</v>
      </c>
      <c r="I97">
        <v>24</v>
      </c>
      <c r="J97">
        <v>2002</v>
      </c>
      <c r="K97" s="1">
        <v>45554</v>
      </c>
      <c r="L97">
        <v>2024</v>
      </c>
      <c r="M97" t="s">
        <v>54</v>
      </c>
      <c r="N97">
        <v>3</v>
      </c>
      <c r="O97" t="s">
        <v>68</v>
      </c>
      <c r="P97" t="s">
        <v>69</v>
      </c>
      <c r="Q97">
        <v>60</v>
      </c>
      <c r="R97">
        <v>1</v>
      </c>
      <c r="S97" t="s">
        <v>57</v>
      </c>
      <c r="T97" t="s">
        <v>58</v>
      </c>
      <c r="U97">
        <v>12</v>
      </c>
      <c r="V97">
        <v>13</v>
      </c>
      <c r="W97">
        <v>13</v>
      </c>
      <c r="X97">
        <v>12</v>
      </c>
      <c r="Y97">
        <v>3</v>
      </c>
      <c r="Z97">
        <v>11</v>
      </c>
      <c r="AA97">
        <v>3.0454539999999999</v>
      </c>
      <c r="AB97">
        <v>33.5</v>
      </c>
      <c r="AC97" t="s">
        <v>540</v>
      </c>
      <c r="AD97" t="s">
        <v>60</v>
      </c>
      <c r="AE97">
        <v>2</v>
      </c>
      <c r="AF97">
        <v>0</v>
      </c>
      <c r="AG97">
        <v>2</v>
      </c>
      <c r="AH97">
        <v>2</v>
      </c>
      <c r="AI97">
        <v>0</v>
      </c>
      <c r="AJ97">
        <v>5</v>
      </c>
      <c r="AK97">
        <v>0</v>
      </c>
      <c r="AL97">
        <v>0</v>
      </c>
      <c r="AM97">
        <v>0</v>
      </c>
      <c r="AN97">
        <v>0</v>
      </c>
      <c r="AO97">
        <v>11</v>
      </c>
      <c r="AP97">
        <v>0</v>
      </c>
      <c r="AQ97">
        <v>100</v>
      </c>
      <c r="AR97" s="2">
        <v>45732.557106481479</v>
      </c>
      <c r="AS97" s="2">
        <v>46029.591481481482</v>
      </c>
      <c r="AT97" t="s">
        <v>61</v>
      </c>
      <c r="AU97" t="s">
        <v>62</v>
      </c>
      <c r="AV97">
        <v>297</v>
      </c>
    </row>
    <row r="98" spans="1:48" x14ac:dyDescent="0.25">
      <c r="A98">
        <v>145</v>
      </c>
      <c r="B98" t="s">
        <v>541</v>
      </c>
      <c r="C98" t="s">
        <v>542</v>
      </c>
      <c r="D98" t="s">
        <v>543</v>
      </c>
      <c r="E98" t="s">
        <v>544</v>
      </c>
      <c r="F98" t="s">
        <v>545</v>
      </c>
      <c r="G98" t="s">
        <v>104</v>
      </c>
      <c r="H98" s="1">
        <v>36434</v>
      </c>
      <c r="I98">
        <v>27</v>
      </c>
      <c r="J98">
        <v>1999</v>
      </c>
      <c r="K98" s="1">
        <v>45293</v>
      </c>
      <c r="L98">
        <v>2024</v>
      </c>
      <c r="M98" t="s">
        <v>54</v>
      </c>
      <c r="N98">
        <v>14</v>
      </c>
      <c r="O98" t="s">
        <v>105</v>
      </c>
      <c r="P98" t="s">
        <v>56</v>
      </c>
      <c r="Q98">
        <v>36</v>
      </c>
      <c r="R98">
        <v>5</v>
      </c>
      <c r="S98" t="s">
        <v>92</v>
      </c>
      <c r="T98" t="s">
        <v>93</v>
      </c>
      <c r="U98">
        <v>13</v>
      </c>
      <c r="V98">
        <v>13</v>
      </c>
      <c r="W98">
        <v>13</v>
      </c>
      <c r="X98">
        <v>11</v>
      </c>
      <c r="Y98">
        <v>3</v>
      </c>
      <c r="Z98">
        <v>10</v>
      </c>
      <c r="AA98">
        <v>1.5</v>
      </c>
      <c r="AB98">
        <v>15</v>
      </c>
      <c r="AC98" t="s">
        <v>70</v>
      </c>
      <c r="AD98" t="s">
        <v>112</v>
      </c>
      <c r="AE98">
        <v>0</v>
      </c>
      <c r="AF98">
        <v>0</v>
      </c>
      <c r="AG98">
        <v>0</v>
      </c>
      <c r="AH98">
        <v>2</v>
      </c>
      <c r="AI98">
        <v>0</v>
      </c>
      <c r="AJ98">
        <v>2</v>
      </c>
      <c r="AK98">
        <v>1</v>
      </c>
      <c r="AL98">
        <v>0</v>
      </c>
      <c r="AM98">
        <v>2</v>
      </c>
      <c r="AN98">
        <v>3</v>
      </c>
      <c r="AO98">
        <v>7</v>
      </c>
      <c r="AP98">
        <v>3</v>
      </c>
      <c r="AQ98">
        <v>70</v>
      </c>
      <c r="AR98" s="2">
        <v>45775.088819444441</v>
      </c>
      <c r="AS98" s="2">
        <v>46040.63652777778</v>
      </c>
      <c r="AT98" t="s">
        <v>61</v>
      </c>
      <c r="AU98" t="s">
        <v>62</v>
      </c>
      <c r="AV98">
        <v>265</v>
      </c>
    </row>
    <row r="99" spans="1:48" x14ac:dyDescent="0.25">
      <c r="A99">
        <v>227</v>
      </c>
      <c r="B99" t="s">
        <v>546</v>
      </c>
      <c r="C99" t="s">
        <v>547</v>
      </c>
      <c r="D99" t="s">
        <v>548</v>
      </c>
      <c r="E99" t="s">
        <v>549</v>
      </c>
      <c r="F99" t="s">
        <v>550</v>
      </c>
      <c r="G99" t="s">
        <v>104</v>
      </c>
      <c r="H99" s="1">
        <v>39349</v>
      </c>
      <c r="I99">
        <v>19</v>
      </c>
      <c r="J99">
        <v>2007</v>
      </c>
      <c r="K99" s="1">
        <v>44703</v>
      </c>
      <c r="L99">
        <v>2022</v>
      </c>
      <c r="M99" t="s">
        <v>54</v>
      </c>
      <c r="N99">
        <v>2</v>
      </c>
      <c r="O99" t="s">
        <v>55</v>
      </c>
      <c r="P99" t="s">
        <v>56</v>
      </c>
      <c r="Q99">
        <v>36</v>
      </c>
      <c r="R99">
        <v>1</v>
      </c>
      <c r="S99" t="s">
        <v>57</v>
      </c>
      <c r="T99" t="s">
        <v>58</v>
      </c>
      <c r="U99">
        <v>12</v>
      </c>
      <c r="V99">
        <v>13</v>
      </c>
      <c r="W99">
        <v>13</v>
      </c>
      <c r="X99">
        <v>9</v>
      </c>
      <c r="Y99">
        <v>3</v>
      </c>
      <c r="Z99">
        <v>9</v>
      </c>
      <c r="AA99">
        <v>2.2777769999999999</v>
      </c>
      <c r="AB99">
        <v>20.5</v>
      </c>
      <c r="AC99" t="s">
        <v>70</v>
      </c>
      <c r="AD99" t="s">
        <v>60</v>
      </c>
      <c r="AE99">
        <v>1</v>
      </c>
      <c r="AF99">
        <v>0</v>
      </c>
      <c r="AG99">
        <v>0</v>
      </c>
      <c r="AH99">
        <v>3</v>
      </c>
      <c r="AI99">
        <v>0</v>
      </c>
      <c r="AJ99">
        <v>1</v>
      </c>
      <c r="AK99">
        <v>2</v>
      </c>
      <c r="AL99">
        <v>0</v>
      </c>
      <c r="AM99">
        <v>1</v>
      </c>
      <c r="AN99">
        <v>1</v>
      </c>
      <c r="AO99">
        <v>8</v>
      </c>
      <c r="AP99">
        <v>1</v>
      </c>
      <c r="AQ99">
        <v>88.888888888888005</v>
      </c>
      <c r="AR99" s="2">
        <v>45798.592905092592</v>
      </c>
      <c r="AS99" s="2">
        <v>46053.877314814818</v>
      </c>
      <c r="AT99" t="s">
        <v>61</v>
      </c>
      <c r="AU99" t="s">
        <v>62</v>
      </c>
      <c r="AV99">
        <v>255</v>
      </c>
    </row>
    <row r="100" spans="1:48" x14ac:dyDescent="0.25">
      <c r="A100">
        <v>344</v>
      </c>
      <c r="B100" t="s">
        <v>551</v>
      </c>
      <c r="C100" t="s">
        <v>390</v>
      </c>
      <c r="D100" t="s">
        <v>552</v>
      </c>
      <c r="E100" t="s">
        <v>553</v>
      </c>
      <c r="F100" t="s">
        <v>554</v>
      </c>
      <c r="G100" t="s">
        <v>53</v>
      </c>
      <c r="H100" s="1">
        <v>36656</v>
      </c>
      <c r="I100">
        <v>26</v>
      </c>
      <c r="J100">
        <v>2000</v>
      </c>
      <c r="K100" s="1">
        <v>45065</v>
      </c>
      <c r="L100">
        <v>2023</v>
      </c>
      <c r="M100" t="s">
        <v>54</v>
      </c>
      <c r="N100">
        <v>10</v>
      </c>
      <c r="O100" t="s">
        <v>118</v>
      </c>
      <c r="P100" t="s">
        <v>119</v>
      </c>
      <c r="Q100">
        <v>120</v>
      </c>
      <c r="R100">
        <v>4</v>
      </c>
      <c r="S100" t="s">
        <v>77</v>
      </c>
      <c r="T100" t="s">
        <v>78</v>
      </c>
      <c r="U100">
        <v>12</v>
      </c>
      <c r="V100">
        <v>13</v>
      </c>
      <c r="W100">
        <v>13</v>
      </c>
      <c r="X100">
        <v>12</v>
      </c>
      <c r="Y100">
        <v>3</v>
      </c>
      <c r="Z100">
        <v>8</v>
      </c>
      <c r="AA100">
        <v>2.625</v>
      </c>
      <c r="AB100">
        <v>21</v>
      </c>
      <c r="AC100" t="s">
        <v>59</v>
      </c>
      <c r="AD100" t="s">
        <v>60</v>
      </c>
      <c r="AE100">
        <v>2</v>
      </c>
      <c r="AF100">
        <v>0</v>
      </c>
      <c r="AG100">
        <v>0</v>
      </c>
      <c r="AH100">
        <v>1</v>
      </c>
      <c r="AI100">
        <v>0</v>
      </c>
      <c r="AJ100">
        <v>2</v>
      </c>
      <c r="AK100">
        <v>2</v>
      </c>
      <c r="AL100">
        <v>0</v>
      </c>
      <c r="AM100">
        <v>1</v>
      </c>
      <c r="AN100">
        <v>0</v>
      </c>
      <c r="AO100">
        <v>8</v>
      </c>
      <c r="AP100">
        <v>0</v>
      </c>
      <c r="AQ100">
        <v>100</v>
      </c>
      <c r="AR100" s="2">
        <v>45736.694814814815</v>
      </c>
      <c r="AS100" s="2">
        <v>46080.223703703705</v>
      </c>
      <c r="AT100" t="s">
        <v>61</v>
      </c>
      <c r="AU100" t="s">
        <v>62</v>
      </c>
      <c r="AV100">
        <v>344</v>
      </c>
    </row>
    <row r="101" spans="1:48" x14ac:dyDescent="0.25">
      <c r="A101">
        <v>132</v>
      </c>
      <c r="B101" t="s">
        <v>555</v>
      </c>
      <c r="C101" t="s">
        <v>556</v>
      </c>
      <c r="D101" t="s">
        <v>557</v>
      </c>
      <c r="E101" t="s">
        <v>558</v>
      </c>
      <c r="F101" t="s">
        <v>559</v>
      </c>
      <c r="G101" t="s">
        <v>104</v>
      </c>
      <c r="H101" s="1">
        <v>37092</v>
      </c>
      <c r="I101">
        <v>25</v>
      </c>
      <c r="J101">
        <v>2001</v>
      </c>
      <c r="K101" s="1">
        <v>45144</v>
      </c>
      <c r="L101">
        <v>2023</v>
      </c>
      <c r="M101" t="s">
        <v>54</v>
      </c>
      <c r="N101">
        <v>20</v>
      </c>
      <c r="O101" t="s">
        <v>180</v>
      </c>
      <c r="P101" t="s">
        <v>56</v>
      </c>
      <c r="Q101">
        <v>36</v>
      </c>
      <c r="R101">
        <v>7</v>
      </c>
      <c r="S101" t="s">
        <v>163</v>
      </c>
      <c r="T101" t="s">
        <v>164</v>
      </c>
      <c r="U101">
        <v>13</v>
      </c>
      <c r="V101">
        <v>13</v>
      </c>
      <c r="W101">
        <v>13</v>
      </c>
      <c r="X101">
        <v>11</v>
      </c>
      <c r="Y101">
        <v>3</v>
      </c>
      <c r="Z101">
        <v>10</v>
      </c>
      <c r="AA101">
        <v>2.4500000000000002</v>
      </c>
      <c r="AB101">
        <v>24.5</v>
      </c>
      <c r="AC101" t="s">
        <v>70</v>
      </c>
      <c r="AD101" t="s">
        <v>60</v>
      </c>
      <c r="AE101">
        <v>3</v>
      </c>
      <c r="AF101">
        <v>0</v>
      </c>
      <c r="AG101">
        <v>1</v>
      </c>
      <c r="AH101">
        <v>0</v>
      </c>
      <c r="AI101">
        <v>0</v>
      </c>
      <c r="AJ101">
        <v>2</v>
      </c>
      <c r="AK101">
        <v>2</v>
      </c>
      <c r="AL101">
        <v>0</v>
      </c>
      <c r="AM101">
        <v>0</v>
      </c>
      <c r="AN101">
        <v>2</v>
      </c>
      <c r="AO101">
        <v>8</v>
      </c>
      <c r="AP101">
        <v>2</v>
      </c>
      <c r="AQ101">
        <v>80</v>
      </c>
      <c r="AR101" s="2">
        <v>45738.933761574073</v>
      </c>
      <c r="AS101" s="2">
        <v>46077.003275462965</v>
      </c>
      <c r="AT101" t="s">
        <v>61</v>
      </c>
      <c r="AU101" t="s">
        <v>62</v>
      </c>
      <c r="AV101">
        <v>339</v>
      </c>
    </row>
    <row r="102" spans="1:48" x14ac:dyDescent="0.25">
      <c r="A102">
        <v>393</v>
      </c>
      <c r="B102" t="s">
        <v>560</v>
      </c>
      <c r="C102" t="s">
        <v>561</v>
      </c>
      <c r="D102" t="s">
        <v>562</v>
      </c>
      <c r="E102" t="s">
        <v>563</v>
      </c>
      <c r="F102" t="s">
        <v>564</v>
      </c>
      <c r="G102" t="s">
        <v>53</v>
      </c>
      <c r="H102" s="1">
        <v>37205</v>
      </c>
      <c r="I102">
        <v>25</v>
      </c>
      <c r="J102">
        <v>2001</v>
      </c>
      <c r="K102" s="1">
        <v>45220</v>
      </c>
      <c r="L102">
        <v>2023</v>
      </c>
      <c r="M102" t="s">
        <v>54</v>
      </c>
      <c r="N102">
        <v>17</v>
      </c>
      <c r="O102" t="s">
        <v>350</v>
      </c>
      <c r="P102" t="s">
        <v>56</v>
      </c>
      <c r="Q102">
        <v>36</v>
      </c>
      <c r="R102">
        <v>6</v>
      </c>
      <c r="S102" t="s">
        <v>140</v>
      </c>
      <c r="T102" t="s">
        <v>141</v>
      </c>
      <c r="U102">
        <v>12</v>
      </c>
      <c r="V102">
        <v>13</v>
      </c>
      <c r="W102">
        <v>13</v>
      </c>
      <c r="X102">
        <v>11</v>
      </c>
      <c r="Y102">
        <v>3</v>
      </c>
      <c r="Z102">
        <v>11</v>
      </c>
      <c r="AA102">
        <v>2.7727270000000002</v>
      </c>
      <c r="AB102">
        <v>30.5</v>
      </c>
      <c r="AC102" t="s">
        <v>70</v>
      </c>
      <c r="AD102" t="s">
        <v>60</v>
      </c>
      <c r="AE102">
        <v>3</v>
      </c>
      <c r="AF102">
        <v>0</v>
      </c>
      <c r="AG102">
        <v>3</v>
      </c>
      <c r="AH102">
        <v>1</v>
      </c>
      <c r="AI102">
        <v>0</v>
      </c>
      <c r="AJ102">
        <v>2</v>
      </c>
      <c r="AK102">
        <v>0</v>
      </c>
      <c r="AL102">
        <v>0</v>
      </c>
      <c r="AM102">
        <v>0</v>
      </c>
      <c r="AN102">
        <v>2</v>
      </c>
      <c r="AO102">
        <v>9</v>
      </c>
      <c r="AP102">
        <v>2</v>
      </c>
      <c r="AQ102">
        <v>81.818181818181003</v>
      </c>
      <c r="AR102" s="2">
        <v>45748.858888888892</v>
      </c>
      <c r="AS102" s="2">
        <v>46014.556284722225</v>
      </c>
      <c r="AT102" t="s">
        <v>61</v>
      </c>
      <c r="AU102" t="s">
        <v>62</v>
      </c>
      <c r="AV102">
        <v>266</v>
      </c>
    </row>
    <row r="103" spans="1:48" x14ac:dyDescent="0.25">
      <c r="A103">
        <v>960</v>
      </c>
      <c r="B103" t="s">
        <v>565</v>
      </c>
      <c r="C103" t="s">
        <v>566</v>
      </c>
      <c r="D103" t="s">
        <v>567</v>
      </c>
      <c r="E103" t="s">
        <v>568</v>
      </c>
      <c r="F103" t="s">
        <v>569</v>
      </c>
      <c r="G103" t="s">
        <v>53</v>
      </c>
      <c r="H103" s="1">
        <v>38727</v>
      </c>
      <c r="I103">
        <v>20</v>
      </c>
      <c r="J103">
        <v>2006</v>
      </c>
      <c r="K103" s="1">
        <v>44806</v>
      </c>
      <c r="L103">
        <v>2022</v>
      </c>
      <c r="M103" t="s">
        <v>54</v>
      </c>
      <c r="N103">
        <v>19</v>
      </c>
      <c r="O103" t="s">
        <v>162</v>
      </c>
      <c r="P103" t="s">
        <v>119</v>
      </c>
      <c r="Q103">
        <v>120</v>
      </c>
      <c r="R103">
        <v>7</v>
      </c>
      <c r="S103" t="s">
        <v>163</v>
      </c>
      <c r="T103" t="s">
        <v>164</v>
      </c>
      <c r="U103">
        <v>12</v>
      </c>
      <c r="V103">
        <v>13</v>
      </c>
      <c r="W103">
        <v>13</v>
      </c>
      <c r="X103">
        <v>11</v>
      </c>
      <c r="Y103">
        <v>3</v>
      </c>
      <c r="Z103">
        <v>10</v>
      </c>
      <c r="AA103">
        <v>2.5499999999999998</v>
      </c>
      <c r="AB103">
        <v>25.5</v>
      </c>
      <c r="AC103" t="s">
        <v>59</v>
      </c>
      <c r="AD103" t="s">
        <v>60</v>
      </c>
      <c r="AE103">
        <v>1</v>
      </c>
      <c r="AF103">
        <v>0</v>
      </c>
      <c r="AG103">
        <v>3</v>
      </c>
      <c r="AH103">
        <v>0</v>
      </c>
      <c r="AI103">
        <v>0</v>
      </c>
      <c r="AJ103">
        <v>2</v>
      </c>
      <c r="AK103">
        <v>2</v>
      </c>
      <c r="AL103">
        <v>0</v>
      </c>
      <c r="AM103">
        <v>2</v>
      </c>
      <c r="AN103">
        <v>0</v>
      </c>
      <c r="AO103">
        <v>10</v>
      </c>
      <c r="AP103">
        <v>0</v>
      </c>
      <c r="AQ103">
        <v>100</v>
      </c>
      <c r="AR103" s="2">
        <v>45771.302337962959</v>
      </c>
      <c r="AS103" s="2">
        <v>46078.359456018516</v>
      </c>
      <c r="AT103" t="s">
        <v>61</v>
      </c>
      <c r="AU103" t="s">
        <v>62</v>
      </c>
      <c r="AV103">
        <v>307</v>
      </c>
    </row>
    <row r="104" spans="1:48" x14ac:dyDescent="0.25">
      <c r="A104">
        <v>90</v>
      </c>
      <c r="B104" t="s">
        <v>570</v>
      </c>
      <c r="C104" t="s">
        <v>331</v>
      </c>
      <c r="D104" t="s">
        <v>571</v>
      </c>
      <c r="E104" t="s">
        <v>572</v>
      </c>
      <c r="F104" t="s">
        <v>573</v>
      </c>
      <c r="G104" t="s">
        <v>104</v>
      </c>
      <c r="H104" s="1">
        <v>38579</v>
      </c>
      <c r="I104">
        <v>21</v>
      </c>
      <c r="J104">
        <v>2005</v>
      </c>
      <c r="K104" s="1">
        <v>45430</v>
      </c>
      <c r="L104">
        <v>2024</v>
      </c>
      <c r="M104" t="s">
        <v>225</v>
      </c>
      <c r="N104">
        <v>5</v>
      </c>
      <c r="O104" t="s">
        <v>84</v>
      </c>
      <c r="P104" t="s">
        <v>56</v>
      </c>
      <c r="Q104">
        <v>36</v>
      </c>
      <c r="R104">
        <v>2</v>
      </c>
      <c r="S104" t="s">
        <v>85</v>
      </c>
      <c r="T104" t="s">
        <v>86</v>
      </c>
      <c r="U104">
        <v>11</v>
      </c>
      <c r="V104">
        <v>13</v>
      </c>
      <c r="W104">
        <v>13</v>
      </c>
      <c r="X104">
        <v>11</v>
      </c>
      <c r="Y104">
        <v>3</v>
      </c>
      <c r="Z104">
        <v>12</v>
      </c>
      <c r="AA104">
        <v>3.2083330000000001</v>
      </c>
      <c r="AB104">
        <v>38.5</v>
      </c>
      <c r="AC104" t="s">
        <v>59</v>
      </c>
      <c r="AD104" t="s">
        <v>60</v>
      </c>
      <c r="AE104">
        <v>5</v>
      </c>
      <c r="AF104">
        <v>0</v>
      </c>
      <c r="AG104">
        <v>2</v>
      </c>
      <c r="AH104">
        <v>2</v>
      </c>
      <c r="AI104">
        <v>0</v>
      </c>
      <c r="AJ104">
        <v>1</v>
      </c>
      <c r="AK104">
        <v>1</v>
      </c>
      <c r="AL104">
        <v>0</v>
      </c>
      <c r="AM104">
        <v>1</v>
      </c>
      <c r="AN104">
        <v>0</v>
      </c>
      <c r="AO104">
        <v>12</v>
      </c>
      <c r="AP104">
        <v>0</v>
      </c>
      <c r="AQ104">
        <v>100</v>
      </c>
      <c r="AR104" s="2">
        <v>45756.094328703701</v>
      </c>
      <c r="AS104" s="2">
        <v>46066.050173611111</v>
      </c>
      <c r="AT104" t="s">
        <v>61</v>
      </c>
      <c r="AU104" t="s">
        <v>62</v>
      </c>
      <c r="AV104">
        <v>310</v>
      </c>
    </row>
    <row r="105" spans="1:48" x14ac:dyDescent="0.25">
      <c r="A105">
        <v>441</v>
      </c>
      <c r="B105" t="s">
        <v>574</v>
      </c>
      <c r="C105" t="s">
        <v>575</v>
      </c>
      <c r="D105" t="s">
        <v>576</v>
      </c>
      <c r="E105" t="s">
        <v>577</v>
      </c>
      <c r="F105" t="s">
        <v>578</v>
      </c>
      <c r="G105" t="s">
        <v>53</v>
      </c>
      <c r="H105" s="1">
        <v>36466</v>
      </c>
      <c r="I105">
        <v>27</v>
      </c>
      <c r="J105">
        <v>1999</v>
      </c>
      <c r="K105" s="1">
        <v>45006</v>
      </c>
      <c r="L105">
        <v>2023</v>
      </c>
      <c r="M105" t="s">
        <v>54</v>
      </c>
      <c r="N105">
        <v>13</v>
      </c>
      <c r="O105" t="s">
        <v>146</v>
      </c>
      <c r="P105" t="s">
        <v>119</v>
      </c>
      <c r="Q105">
        <v>120</v>
      </c>
      <c r="R105">
        <v>5</v>
      </c>
      <c r="S105" t="s">
        <v>92</v>
      </c>
      <c r="T105" t="s">
        <v>93</v>
      </c>
      <c r="U105">
        <v>12</v>
      </c>
      <c r="V105">
        <v>13</v>
      </c>
      <c r="W105">
        <v>13</v>
      </c>
      <c r="X105">
        <v>12</v>
      </c>
      <c r="Y105">
        <v>3</v>
      </c>
      <c r="Z105">
        <v>9</v>
      </c>
      <c r="AA105">
        <v>2.5</v>
      </c>
      <c r="AB105">
        <v>22.5</v>
      </c>
      <c r="AC105" t="s">
        <v>59</v>
      </c>
      <c r="AD105" t="s">
        <v>60</v>
      </c>
      <c r="AE105">
        <v>1</v>
      </c>
      <c r="AF105">
        <v>0</v>
      </c>
      <c r="AG105">
        <v>1</v>
      </c>
      <c r="AH105">
        <v>2</v>
      </c>
      <c r="AI105">
        <v>0</v>
      </c>
      <c r="AJ105">
        <v>2</v>
      </c>
      <c r="AK105">
        <v>1</v>
      </c>
      <c r="AL105">
        <v>0</v>
      </c>
      <c r="AM105">
        <v>2</v>
      </c>
      <c r="AN105">
        <v>0</v>
      </c>
      <c r="AO105">
        <v>9</v>
      </c>
      <c r="AP105">
        <v>0</v>
      </c>
      <c r="AQ105">
        <v>100</v>
      </c>
      <c r="AR105" s="2">
        <v>45725.179386574076</v>
      </c>
      <c r="AS105" s="2">
        <v>46071.460034722222</v>
      </c>
      <c r="AT105" t="s">
        <v>61</v>
      </c>
      <c r="AU105" t="s">
        <v>62</v>
      </c>
      <c r="AV105">
        <v>346</v>
      </c>
    </row>
    <row r="106" spans="1:48" x14ac:dyDescent="0.25">
      <c r="A106">
        <v>766</v>
      </c>
      <c r="B106" t="s">
        <v>579</v>
      </c>
      <c r="C106" t="s">
        <v>531</v>
      </c>
      <c r="D106" t="s">
        <v>531</v>
      </c>
      <c r="E106" t="s">
        <v>580</v>
      </c>
      <c r="F106" t="s">
        <v>581</v>
      </c>
      <c r="G106" t="s">
        <v>104</v>
      </c>
      <c r="H106" s="1">
        <v>37716</v>
      </c>
      <c r="I106">
        <v>23</v>
      </c>
      <c r="J106">
        <v>2003</v>
      </c>
      <c r="K106" s="1">
        <v>44666</v>
      </c>
      <c r="L106">
        <v>2022</v>
      </c>
      <c r="M106" t="s">
        <v>54</v>
      </c>
      <c r="N106">
        <v>16</v>
      </c>
      <c r="O106" t="s">
        <v>280</v>
      </c>
      <c r="P106" t="s">
        <v>119</v>
      </c>
      <c r="Q106">
        <v>120</v>
      </c>
      <c r="R106">
        <v>6</v>
      </c>
      <c r="S106" t="s">
        <v>140</v>
      </c>
      <c r="T106" t="s">
        <v>141</v>
      </c>
      <c r="U106">
        <v>12</v>
      </c>
      <c r="V106">
        <v>13</v>
      </c>
      <c r="W106">
        <v>13</v>
      </c>
      <c r="X106">
        <v>12</v>
      </c>
      <c r="Y106">
        <v>3</v>
      </c>
      <c r="Z106">
        <v>9</v>
      </c>
      <c r="AA106">
        <v>2.5</v>
      </c>
      <c r="AB106">
        <v>22.5</v>
      </c>
      <c r="AC106" t="s">
        <v>70</v>
      </c>
      <c r="AD106" t="s">
        <v>60</v>
      </c>
      <c r="AE106">
        <v>2</v>
      </c>
      <c r="AF106">
        <v>0</v>
      </c>
      <c r="AG106">
        <v>1</v>
      </c>
      <c r="AH106">
        <v>1</v>
      </c>
      <c r="AI106">
        <v>0</v>
      </c>
      <c r="AJ106">
        <v>2</v>
      </c>
      <c r="AK106">
        <v>1</v>
      </c>
      <c r="AL106">
        <v>0</v>
      </c>
      <c r="AM106">
        <v>1</v>
      </c>
      <c r="AN106">
        <v>1</v>
      </c>
      <c r="AO106">
        <v>8</v>
      </c>
      <c r="AP106">
        <v>1</v>
      </c>
      <c r="AQ106">
        <v>88.888888888888005</v>
      </c>
      <c r="AR106" s="2">
        <v>45740.961597222224</v>
      </c>
      <c r="AS106" s="2">
        <v>46049.282997685186</v>
      </c>
      <c r="AT106" t="s">
        <v>61</v>
      </c>
      <c r="AU106" t="s">
        <v>62</v>
      </c>
      <c r="AV106">
        <v>309</v>
      </c>
    </row>
    <row r="107" spans="1:48" x14ac:dyDescent="0.25">
      <c r="A107">
        <v>383</v>
      </c>
      <c r="B107" t="s">
        <v>582</v>
      </c>
      <c r="C107" t="s">
        <v>172</v>
      </c>
      <c r="D107" t="s">
        <v>562</v>
      </c>
      <c r="E107" t="s">
        <v>583</v>
      </c>
      <c r="F107" t="s">
        <v>584</v>
      </c>
      <c r="G107" t="s">
        <v>104</v>
      </c>
      <c r="H107" s="1">
        <v>38670</v>
      </c>
      <c r="I107">
        <v>21</v>
      </c>
      <c r="J107">
        <v>2005</v>
      </c>
      <c r="K107" s="1">
        <v>45066</v>
      </c>
      <c r="L107">
        <v>2023</v>
      </c>
      <c r="M107" t="s">
        <v>54</v>
      </c>
      <c r="N107">
        <v>11</v>
      </c>
      <c r="O107" t="s">
        <v>378</v>
      </c>
      <c r="P107" t="s">
        <v>56</v>
      </c>
      <c r="Q107">
        <v>36</v>
      </c>
      <c r="R107">
        <v>4</v>
      </c>
      <c r="S107" t="s">
        <v>77</v>
      </c>
      <c r="T107" t="s">
        <v>78</v>
      </c>
      <c r="U107">
        <v>11</v>
      </c>
      <c r="V107">
        <v>13</v>
      </c>
      <c r="W107">
        <v>13</v>
      </c>
      <c r="X107">
        <v>10</v>
      </c>
      <c r="Y107">
        <v>3</v>
      </c>
      <c r="Z107">
        <v>10</v>
      </c>
      <c r="AA107">
        <v>1.6</v>
      </c>
      <c r="AB107">
        <v>16</v>
      </c>
      <c r="AC107" t="s">
        <v>70</v>
      </c>
      <c r="AD107" t="s">
        <v>60</v>
      </c>
      <c r="AE107">
        <v>1</v>
      </c>
      <c r="AF107">
        <v>0</v>
      </c>
      <c r="AG107">
        <v>0</v>
      </c>
      <c r="AH107">
        <v>2</v>
      </c>
      <c r="AI107">
        <v>0</v>
      </c>
      <c r="AJ107">
        <v>2</v>
      </c>
      <c r="AK107">
        <v>0</v>
      </c>
      <c r="AL107">
        <v>0</v>
      </c>
      <c r="AM107">
        <v>1</v>
      </c>
      <c r="AN107">
        <v>4</v>
      </c>
      <c r="AO107">
        <v>6</v>
      </c>
      <c r="AP107">
        <v>4</v>
      </c>
      <c r="AQ107">
        <v>60</v>
      </c>
      <c r="AR107" s="2">
        <v>45761.05505787037</v>
      </c>
      <c r="AS107" s="2">
        <v>46073.872916666667</v>
      </c>
      <c r="AT107" t="s">
        <v>61</v>
      </c>
      <c r="AU107" t="s">
        <v>62</v>
      </c>
      <c r="AV107">
        <v>312</v>
      </c>
    </row>
    <row r="108" spans="1:48" x14ac:dyDescent="0.25">
      <c r="A108">
        <v>413</v>
      </c>
      <c r="B108" t="s">
        <v>585</v>
      </c>
      <c r="C108" t="s">
        <v>586</v>
      </c>
      <c r="D108" t="s">
        <v>562</v>
      </c>
      <c r="E108" t="s">
        <v>587</v>
      </c>
      <c r="F108" t="s">
        <v>588</v>
      </c>
      <c r="G108" t="s">
        <v>53</v>
      </c>
      <c r="H108" s="1">
        <v>34800</v>
      </c>
      <c r="I108">
        <v>31</v>
      </c>
      <c r="J108">
        <v>1995</v>
      </c>
      <c r="K108" s="1">
        <v>46028</v>
      </c>
      <c r="L108">
        <v>2026</v>
      </c>
      <c r="M108" t="s">
        <v>54</v>
      </c>
      <c r="N108">
        <v>6</v>
      </c>
      <c r="O108" t="s">
        <v>133</v>
      </c>
      <c r="P108" t="s">
        <v>69</v>
      </c>
      <c r="Q108">
        <v>60</v>
      </c>
      <c r="R108">
        <v>2</v>
      </c>
      <c r="S108" t="s">
        <v>85</v>
      </c>
      <c r="T108" t="s">
        <v>86</v>
      </c>
      <c r="U108">
        <v>12</v>
      </c>
      <c r="V108">
        <v>13</v>
      </c>
      <c r="W108">
        <v>13</v>
      </c>
      <c r="X108">
        <v>11</v>
      </c>
      <c r="Y108">
        <v>3</v>
      </c>
      <c r="Z108">
        <v>11</v>
      </c>
      <c r="AA108">
        <v>2.318181</v>
      </c>
      <c r="AB108">
        <v>25.5</v>
      </c>
      <c r="AC108" t="s">
        <v>70</v>
      </c>
      <c r="AD108" t="s">
        <v>60</v>
      </c>
      <c r="AE108">
        <v>2</v>
      </c>
      <c r="AF108">
        <v>0</v>
      </c>
      <c r="AG108">
        <v>1</v>
      </c>
      <c r="AH108">
        <v>4</v>
      </c>
      <c r="AI108">
        <v>0</v>
      </c>
      <c r="AJ108">
        <v>0</v>
      </c>
      <c r="AK108">
        <v>0</v>
      </c>
      <c r="AL108">
        <v>0</v>
      </c>
      <c r="AM108">
        <v>2</v>
      </c>
      <c r="AN108">
        <v>2</v>
      </c>
      <c r="AO108">
        <v>9</v>
      </c>
      <c r="AP108">
        <v>2</v>
      </c>
      <c r="AQ108">
        <v>81.818181818181003</v>
      </c>
      <c r="AR108" s="2">
        <v>45746.200486111113</v>
      </c>
      <c r="AS108" s="2">
        <v>46067.069456018522</v>
      </c>
      <c r="AT108" t="s">
        <v>61</v>
      </c>
      <c r="AU108" t="s">
        <v>62</v>
      </c>
      <c r="AV108">
        <v>321</v>
      </c>
    </row>
    <row r="109" spans="1:48" x14ac:dyDescent="0.25">
      <c r="A109">
        <v>725</v>
      </c>
      <c r="B109" t="s">
        <v>589</v>
      </c>
      <c r="C109" t="s">
        <v>590</v>
      </c>
      <c r="D109" t="s">
        <v>591</v>
      </c>
      <c r="E109" t="s">
        <v>592</v>
      </c>
      <c r="F109" t="s">
        <v>593</v>
      </c>
      <c r="G109" t="s">
        <v>104</v>
      </c>
      <c r="H109" s="1">
        <v>38060</v>
      </c>
      <c r="I109">
        <v>22</v>
      </c>
      <c r="J109">
        <v>2004</v>
      </c>
      <c r="K109" s="1">
        <v>44696</v>
      </c>
      <c r="L109">
        <v>2022</v>
      </c>
      <c r="M109" t="s">
        <v>54</v>
      </c>
      <c r="N109">
        <v>10</v>
      </c>
      <c r="O109" t="s">
        <v>118</v>
      </c>
      <c r="P109" t="s">
        <v>119</v>
      </c>
      <c r="Q109">
        <v>120</v>
      </c>
      <c r="R109">
        <v>4</v>
      </c>
      <c r="S109" t="s">
        <v>77</v>
      </c>
      <c r="T109" t="s">
        <v>78</v>
      </c>
      <c r="U109">
        <v>13</v>
      </c>
      <c r="V109">
        <v>13</v>
      </c>
      <c r="W109">
        <v>13</v>
      </c>
      <c r="X109">
        <v>12</v>
      </c>
      <c r="Y109">
        <v>3</v>
      </c>
      <c r="Z109">
        <v>10</v>
      </c>
      <c r="AA109">
        <v>2.8</v>
      </c>
      <c r="AB109">
        <v>28</v>
      </c>
      <c r="AC109" t="s">
        <v>59</v>
      </c>
      <c r="AD109" t="s">
        <v>60</v>
      </c>
      <c r="AE109">
        <v>4</v>
      </c>
      <c r="AF109">
        <v>0</v>
      </c>
      <c r="AG109">
        <v>0</v>
      </c>
      <c r="AH109">
        <v>1</v>
      </c>
      <c r="AI109">
        <v>0</v>
      </c>
      <c r="AJ109">
        <v>2</v>
      </c>
      <c r="AK109">
        <v>1</v>
      </c>
      <c r="AL109">
        <v>0</v>
      </c>
      <c r="AM109">
        <v>2</v>
      </c>
      <c r="AN109">
        <v>0</v>
      </c>
      <c r="AO109">
        <v>10</v>
      </c>
      <c r="AP109">
        <v>0</v>
      </c>
      <c r="AQ109">
        <v>100</v>
      </c>
      <c r="AR109" s="2">
        <v>45750.171122685184</v>
      </c>
      <c r="AS109" s="2">
        <v>46078.967766203707</v>
      </c>
      <c r="AT109" t="s">
        <v>61</v>
      </c>
      <c r="AU109" t="s">
        <v>62</v>
      </c>
      <c r="AV109">
        <v>328</v>
      </c>
    </row>
    <row r="110" spans="1:48" x14ac:dyDescent="0.25">
      <c r="A110">
        <v>708</v>
      </c>
      <c r="B110" t="s">
        <v>594</v>
      </c>
      <c r="C110" t="s">
        <v>595</v>
      </c>
      <c r="D110" t="s">
        <v>596</v>
      </c>
      <c r="E110" t="s">
        <v>597</v>
      </c>
      <c r="F110" t="s">
        <v>598</v>
      </c>
      <c r="G110" t="s">
        <v>104</v>
      </c>
      <c r="H110" s="1">
        <v>36449</v>
      </c>
      <c r="I110">
        <v>27</v>
      </c>
      <c r="J110">
        <v>1999</v>
      </c>
      <c r="K110" s="1">
        <v>45156</v>
      </c>
      <c r="L110">
        <v>2023</v>
      </c>
      <c r="M110" t="s">
        <v>54</v>
      </c>
      <c r="N110">
        <v>11</v>
      </c>
      <c r="O110" t="s">
        <v>378</v>
      </c>
      <c r="P110" t="s">
        <v>56</v>
      </c>
      <c r="Q110">
        <v>36</v>
      </c>
      <c r="R110">
        <v>4</v>
      </c>
      <c r="S110" t="s">
        <v>77</v>
      </c>
      <c r="T110" t="s">
        <v>78</v>
      </c>
      <c r="U110">
        <v>11</v>
      </c>
      <c r="V110">
        <v>13</v>
      </c>
      <c r="W110">
        <v>13</v>
      </c>
      <c r="X110">
        <v>13</v>
      </c>
      <c r="Y110">
        <v>3</v>
      </c>
      <c r="Z110">
        <v>9</v>
      </c>
      <c r="AA110">
        <v>2.6666660000000002</v>
      </c>
      <c r="AB110">
        <v>24</v>
      </c>
      <c r="AC110" t="s">
        <v>70</v>
      </c>
      <c r="AD110" t="s">
        <v>60</v>
      </c>
      <c r="AE110">
        <v>3</v>
      </c>
      <c r="AF110">
        <v>0</v>
      </c>
      <c r="AG110">
        <v>1</v>
      </c>
      <c r="AH110">
        <v>2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2</v>
      </c>
      <c r="AO110">
        <v>7</v>
      </c>
      <c r="AP110">
        <v>2</v>
      </c>
      <c r="AQ110">
        <v>77.777777777777004</v>
      </c>
      <c r="AR110" s="2">
        <v>45721.399224537039</v>
      </c>
      <c r="AS110" s="2">
        <v>46081.657222222224</v>
      </c>
      <c r="AT110" t="s">
        <v>61</v>
      </c>
      <c r="AU110" t="s">
        <v>62</v>
      </c>
      <c r="AV110">
        <v>360</v>
      </c>
    </row>
    <row r="111" spans="1:48" x14ac:dyDescent="0.25">
      <c r="A111">
        <v>391</v>
      </c>
      <c r="B111" t="s">
        <v>599</v>
      </c>
      <c r="C111" t="s">
        <v>518</v>
      </c>
      <c r="D111" t="s">
        <v>600</v>
      </c>
      <c r="E111" t="s">
        <v>601</v>
      </c>
      <c r="F111" t="s">
        <v>602</v>
      </c>
      <c r="G111" t="s">
        <v>53</v>
      </c>
      <c r="H111" s="1">
        <v>35194</v>
      </c>
      <c r="I111">
        <v>30</v>
      </c>
      <c r="J111">
        <v>1996</v>
      </c>
      <c r="K111" s="1">
        <v>45860</v>
      </c>
      <c r="L111">
        <v>2025</v>
      </c>
      <c r="M111" t="s">
        <v>54</v>
      </c>
      <c r="N111">
        <v>16</v>
      </c>
      <c r="O111" t="s">
        <v>280</v>
      </c>
      <c r="P111" t="s">
        <v>119</v>
      </c>
      <c r="Q111">
        <v>120</v>
      </c>
      <c r="R111">
        <v>6</v>
      </c>
      <c r="S111" t="s">
        <v>140</v>
      </c>
      <c r="T111" t="s">
        <v>141</v>
      </c>
      <c r="U111">
        <v>12</v>
      </c>
      <c r="V111">
        <v>13</v>
      </c>
      <c r="W111">
        <v>13</v>
      </c>
      <c r="X111">
        <v>12</v>
      </c>
      <c r="Y111">
        <v>3</v>
      </c>
      <c r="Z111">
        <v>9</v>
      </c>
      <c r="AA111">
        <v>2.1111110000000002</v>
      </c>
      <c r="AB111">
        <v>19</v>
      </c>
      <c r="AC111" t="s">
        <v>70</v>
      </c>
      <c r="AD111" t="s">
        <v>60</v>
      </c>
      <c r="AE111">
        <v>1</v>
      </c>
      <c r="AF111">
        <v>0</v>
      </c>
      <c r="AG111">
        <v>2</v>
      </c>
      <c r="AH111">
        <v>0</v>
      </c>
      <c r="AI111">
        <v>0</v>
      </c>
      <c r="AJ111">
        <v>2</v>
      </c>
      <c r="AK111">
        <v>1</v>
      </c>
      <c r="AL111">
        <v>0</v>
      </c>
      <c r="AM111">
        <v>1</v>
      </c>
      <c r="AN111">
        <v>2</v>
      </c>
      <c r="AO111">
        <v>7</v>
      </c>
      <c r="AP111">
        <v>2</v>
      </c>
      <c r="AQ111">
        <v>77.777777777777004</v>
      </c>
      <c r="AR111" s="2">
        <v>45724.667037037034</v>
      </c>
      <c r="AS111" s="2">
        <v>46046.836724537039</v>
      </c>
      <c r="AT111" t="s">
        <v>61</v>
      </c>
      <c r="AU111" t="s">
        <v>62</v>
      </c>
      <c r="AV111">
        <v>322</v>
      </c>
    </row>
    <row r="112" spans="1:48" x14ac:dyDescent="0.25">
      <c r="A112">
        <v>987</v>
      </c>
      <c r="B112" t="s">
        <v>603</v>
      </c>
      <c r="C112" t="s">
        <v>385</v>
      </c>
      <c r="D112" t="s">
        <v>604</v>
      </c>
      <c r="E112" t="s">
        <v>605</v>
      </c>
      <c r="F112" t="s">
        <v>606</v>
      </c>
      <c r="G112" t="s">
        <v>53</v>
      </c>
      <c r="H112" s="1">
        <v>36699</v>
      </c>
      <c r="I112">
        <v>26</v>
      </c>
      <c r="J112">
        <v>2000</v>
      </c>
      <c r="K112" s="1">
        <v>44883</v>
      </c>
      <c r="L112">
        <v>2022</v>
      </c>
      <c r="M112" t="s">
        <v>111</v>
      </c>
      <c r="N112">
        <v>7</v>
      </c>
      <c r="O112" t="s">
        <v>231</v>
      </c>
      <c r="P112" t="s">
        <v>119</v>
      </c>
      <c r="Q112">
        <v>120</v>
      </c>
      <c r="R112">
        <v>3</v>
      </c>
      <c r="S112" t="s">
        <v>126</v>
      </c>
      <c r="T112" t="s">
        <v>127</v>
      </c>
      <c r="U112">
        <v>12</v>
      </c>
      <c r="V112">
        <v>13</v>
      </c>
      <c r="W112">
        <v>13</v>
      </c>
      <c r="X112">
        <v>11</v>
      </c>
      <c r="Y112">
        <v>3</v>
      </c>
      <c r="Z112">
        <v>10</v>
      </c>
      <c r="AA112">
        <v>2.6</v>
      </c>
      <c r="AB112">
        <v>26</v>
      </c>
      <c r="AC112" t="s">
        <v>70</v>
      </c>
      <c r="AD112" t="s">
        <v>60</v>
      </c>
      <c r="AE112">
        <v>1</v>
      </c>
      <c r="AF112">
        <v>0</v>
      </c>
      <c r="AG112">
        <v>3</v>
      </c>
      <c r="AH112">
        <v>3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2</v>
      </c>
      <c r="AO112">
        <v>8</v>
      </c>
      <c r="AP112">
        <v>2</v>
      </c>
      <c r="AQ112">
        <v>80</v>
      </c>
      <c r="AR112" s="2">
        <v>45730.143599537034</v>
      </c>
      <c r="AS112" s="2">
        <v>46081.265185185184</v>
      </c>
      <c r="AT112" t="s">
        <v>61</v>
      </c>
      <c r="AU112" t="s">
        <v>62</v>
      </c>
      <c r="AV112">
        <v>351</v>
      </c>
    </row>
    <row r="113" spans="1:48" x14ac:dyDescent="0.25">
      <c r="A113">
        <v>426</v>
      </c>
      <c r="B113" t="s">
        <v>607</v>
      </c>
      <c r="C113" t="s">
        <v>547</v>
      </c>
      <c r="D113" t="s">
        <v>360</v>
      </c>
      <c r="E113" t="s">
        <v>608</v>
      </c>
      <c r="F113" t="s">
        <v>609</v>
      </c>
      <c r="G113" t="s">
        <v>104</v>
      </c>
      <c r="H113" s="1">
        <v>39134</v>
      </c>
      <c r="I113">
        <v>19</v>
      </c>
      <c r="J113">
        <v>2007</v>
      </c>
      <c r="K113" s="1">
        <v>44984</v>
      </c>
      <c r="L113">
        <v>2023</v>
      </c>
      <c r="M113" t="s">
        <v>111</v>
      </c>
      <c r="N113">
        <v>14</v>
      </c>
      <c r="O113" t="s">
        <v>105</v>
      </c>
      <c r="P113" t="s">
        <v>56</v>
      </c>
      <c r="Q113">
        <v>36</v>
      </c>
      <c r="R113">
        <v>5</v>
      </c>
      <c r="S113" t="s">
        <v>92</v>
      </c>
      <c r="T113" t="s">
        <v>93</v>
      </c>
      <c r="U113">
        <v>13</v>
      </c>
      <c r="V113">
        <v>13</v>
      </c>
      <c r="W113">
        <v>13</v>
      </c>
      <c r="X113">
        <v>12</v>
      </c>
      <c r="Y113">
        <v>3</v>
      </c>
      <c r="Z113">
        <v>10</v>
      </c>
      <c r="AA113">
        <v>1.95</v>
      </c>
      <c r="AB113">
        <v>19.5</v>
      </c>
      <c r="AC113" t="s">
        <v>59</v>
      </c>
      <c r="AD113" t="s">
        <v>112</v>
      </c>
      <c r="AE113">
        <v>0</v>
      </c>
      <c r="AF113">
        <v>0</v>
      </c>
      <c r="AG113">
        <v>1</v>
      </c>
      <c r="AH113">
        <v>1</v>
      </c>
      <c r="AI113">
        <v>0</v>
      </c>
      <c r="AJ113">
        <v>2</v>
      </c>
      <c r="AK113">
        <v>2</v>
      </c>
      <c r="AL113">
        <v>0</v>
      </c>
      <c r="AM113">
        <v>4</v>
      </c>
      <c r="AN113">
        <v>0</v>
      </c>
      <c r="AO113">
        <v>10</v>
      </c>
      <c r="AP113">
        <v>0</v>
      </c>
      <c r="AQ113">
        <v>100</v>
      </c>
      <c r="AR113" s="2">
        <v>45745.21980324074</v>
      </c>
      <c r="AS113" s="2">
        <v>46045.941759259258</v>
      </c>
      <c r="AT113" t="s">
        <v>61</v>
      </c>
      <c r="AU113" t="s">
        <v>62</v>
      </c>
      <c r="AV113">
        <v>300</v>
      </c>
    </row>
    <row r="114" spans="1:48" x14ac:dyDescent="0.25">
      <c r="A114">
        <v>688</v>
      </c>
      <c r="B114" t="s">
        <v>610</v>
      </c>
      <c r="C114" t="s">
        <v>611</v>
      </c>
      <c r="D114" t="s">
        <v>347</v>
      </c>
      <c r="E114" t="s">
        <v>612</v>
      </c>
      <c r="F114" t="s">
        <v>613</v>
      </c>
      <c r="G114" t="s">
        <v>104</v>
      </c>
      <c r="H114" s="1">
        <v>36197</v>
      </c>
      <c r="I114">
        <v>27</v>
      </c>
      <c r="J114">
        <v>1999</v>
      </c>
      <c r="K114" s="1">
        <v>45295</v>
      </c>
      <c r="L114">
        <v>2024</v>
      </c>
      <c r="M114" t="s">
        <v>54</v>
      </c>
      <c r="N114">
        <v>15</v>
      </c>
      <c r="O114" t="s">
        <v>91</v>
      </c>
      <c r="P114" t="s">
        <v>69</v>
      </c>
      <c r="Q114">
        <v>60</v>
      </c>
      <c r="R114">
        <v>5</v>
      </c>
      <c r="S114" t="s">
        <v>92</v>
      </c>
      <c r="T114" t="s">
        <v>93</v>
      </c>
      <c r="U114">
        <v>13</v>
      </c>
      <c r="V114">
        <v>13</v>
      </c>
      <c r="W114">
        <v>13</v>
      </c>
      <c r="X114">
        <v>12</v>
      </c>
      <c r="Y114">
        <v>3</v>
      </c>
      <c r="Z114">
        <v>12</v>
      </c>
      <c r="AA114">
        <v>2.4166660000000002</v>
      </c>
      <c r="AB114">
        <v>29</v>
      </c>
      <c r="AC114" t="s">
        <v>70</v>
      </c>
      <c r="AD114" t="s">
        <v>60</v>
      </c>
      <c r="AE114">
        <v>2</v>
      </c>
      <c r="AF114">
        <v>0</v>
      </c>
      <c r="AG114">
        <v>2</v>
      </c>
      <c r="AH114">
        <v>3</v>
      </c>
      <c r="AI114">
        <v>0</v>
      </c>
      <c r="AJ114">
        <v>2</v>
      </c>
      <c r="AK114">
        <v>0</v>
      </c>
      <c r="AL114">
        <v>0</v>
      </c>
      <c r="AM114">
        <v>0</v>
      </c>
      <c r="AN114">
        <v>3</v>
      </c>
      <c r="AO114">
        <v>9</v>
      </c>
      <c r="AP114">
        <v>3</v>
      </c>
      <c r="AQ114">
        <v>75</v>
      </c>
      <c r="AR114" s="2">
        <v>45789.774201388886</v>
      </c>
      <c r="AS114" s="2">
        <v>46068.838819444441</v>
      </c>
      <c r="AT114" t="s">
        <v>61</v>
      </c>
      <c r="AU114" t="s">
        <v>62</v>
      </c>
      <c r="AV114">
        <v>279</v>
      </c>
    </row>
    <row r="115" spans="1:48" x14ac:dyDescent="0.25">
      <c r="A115">
        <v>456</v>
      </c>
      <c r="B115" t="s">
        <v>614</v>
      </c>
      <c r="C115" t="s">
        <v>575</v>
      </c>
      <c r="D115" t="s">
        <v>615</v>
      </c>
      <c r="E115" t="s">
        <v>616</v>
      </c>
      <c r="F115" t="s">
        <v>617</v>
      </c>
      <c r="G115" t="s">
        <v>53</v>
      </c>
      <c r="H115" s="1">
        <v>35868</v>
      </c>
      <c r="I115">
        <v>28</v>
      </c>
      <c r="J115">
        <v>1998</v>
      </c>
      <c r="K115" s="1">
        <v>45202</v>
      </c>
      <c r="L115">
        <v>2023</v>
      </c>
      <c r="M115" t="s">
        <v>54</v>
      </c>
      <c r="N115">
        <v>21</v>
      </c>
      <c r="O115" t="s">
        <v>339</v>
      </c>
      <c r="P115" t="s">
        <v>69</v>
      </c>
      <c r="Q115">
        <v>60</v>
      </c>
      <c r="R115">
        <v>7</v>
      </c>
      <c r="S115" t="s">
        <v>163</v>
      </c>
      <c r="T115" t="s">
        <v>164</v>
      </c>
      <c r="U115">
        <v>11</v>
      </c>
      <c r="V115">
        <v>13</v>
      </c>
      <c r="W115">
        <v>13</v>
      </c>
      <c r="X115">
        <v>12</v>
      </c>
      <c r="Y115">
        <v>3</v>
      </c>
      <c r="Z115">
        <v>12</v>
      </c>
      <c r="AA115">
        <v>2.5416660000000002</v>
      </c>
      <c r="AB115">
        <v>30.5</v>
      </c>
      <c r="AC115" t="s">
        <v>70</v>
      </c>
      <c r="AD115" t="s">
        <v>60</v>
      </c>
      <c r="AE115">
        <v>2</v>
      </c>
      <c r="AF115">
        <v>0</v>
      </c>
      <c r="AG115">
        <v>1</v>
      </c>
      <c r="AH115">
        <v>5</v>
      </c>
      <c r="AI115">
        <v>0</v>
      </c>
      <c r="AJ115">
        <v>0</v>
      </c>
      <c r="AK115">
        <v>1</v>
      </c>
      <c r="AL115">
        <v>0</v>
      </c>
      <c r="AM115">
        <v>2</v>
      </c>
      <c r="AN115">
        <v>1</v>
      </c>
      <c r="AO115">
        <v>11</v>
      </c>
      <c r="AP115">
        <v>1</v>
      </c>
      <c r="AQ115">
        <v>91.666666666666003</v>
      </c>
      <c r="AR115" s="2">
        <v>45762.233206018522</v>
      </c>
      <c r="AS115" s="2">
        <v>46072.333101851851</v>
      </c>
      <c r="AT115" t="s">
        <v>61</v>
      </c>
      <c r="AU115" t="s">
        <v>62</v>
      </c>
      <c r="AV115">
        <v>310</v>
      </c>
    </row>
    <row r="116" spans="1:48" x14ac:dyDescent="0.25">
      <c r="A116">
        <v>1</v>
      </c>
      <c r="B116" t="s">
        <v>618</v>
      </c>
      <c r="C116" t="s">
        <v>472</v>
      </c>
      <c r="D116" t="s">
        <v>619</v>
      </c>
      <c r="E116" t="s">
        <v>620</v>
      </c>
      <c r="F116" t="s">
        <v>621</v>
      </c>
      <c r="G116" t="s">
        <v>53</v>
      </c>
      <c r="H116" s="1">
        <v>36085</v>
      </c>
      <c r="I116">
        <v>28</v>
      </c>
      <c r="J116">
        <v>1998</v>
      </c>
      <c r="K116" s="1">
        <v>44989</v>
      </c>
      <c r="L116">
        <v>2023</v>
      </c>
      <c r="M116" t="s">
        <v>54</v>
      </c>
      <c r="N116">
        <v>20</v>
      </c>
      <c r="O116" t="s">
        <v>180</v>
      </c>
      <c r="P116" t="s">
        <v>56</v>
      </c>
      <c r="Q116">
        <v>36</v>
      </c>
      <c r="R116">
        <v>7</v>
      </c>
      <c r="S116" t="s">
        <v>163</v>
      </c>
      <c r="T116" t="s">
        <v>164</v>
      </c>
      <c r="U116">
        <v>12</v>
      </c>
      <c r="V116">
        <v>13</v>
      </c>
      <c r="W116">
        <v>13</v>
      </c>
      <c r="X116">
        <v>12</v>
      </c>
      <c r="Y116">
        <v>3</v>
      </c>
      <c r="Z116">
        <v>12</v>
      </c>
      <c r="AA116">
        <v>2.75</v>
      </c>
      <c r="AB116">
        <v>33</v>
      </c>
      <c r="AC116" t="s">
        <v>70</v>
      </c>
      <c r="AD116" t="s">
        <v>60</v>
      </c>
      <c r="AE116">
        <v>2</v>
      </c>
      <c r="AF116">
        <v>0</v>
      </c>
      <c r="AG116">
        <v>3</v>
      </c>
      <c r="AH116">
        <v>3</v>
      </c>
      <c r="AI116">
        <v>0</v>
      </c>
      <c r="AJ116">
        <v>1</v>
      </c>
      <c r="AK116">
        <v>1</v>
      </c>
      <c r="AL116">
        <v>0</v>
      </c>
      <c r="AM116">
        <v>1</v>
      </c>
      <c r="AN116">
        <v>1</v>
      </c>
      <c r="AO116">
        <v>11</v>
      </c>
      <c r="AP116">
        <v>1</v>
      </c>
      <c r="AQ116">
        <v>91.666666666666003</v>
      </c>
      <c r="AR116" s="2">
        <v>45786.761423611111</v>
      </c>
      <c r="AS116" s="2">
        <v>46054.802453703705</v>
      </c>
      <c r="AT116" t="s">
        <v>61</v>
      </c>
      <c r="AU116" t="s">
        <v>62</v>
      </c>
      <c r="AV116">
        <v>268</v>
      </c>
    </row>
    <row r="117" spans="1:48" x14ac:dyDescent="0.25">
      <c r="A117">
        <v>308</v>
      </c>
      <c r="B117" t="s">
        <v>622</v>
      </c>
      <c r="C117" t="s">
        <v>623</v>
      </c>
      <c r="D117" t="s">
        <v>562</v>
      </c>
      <c r="E117" t="s">
        <v>624</v>
      </c>
      <c r="F117" t="s">
        <v>625</v>
      </c>
      <c r="G117" t="s">
        <v>53</v>
      </c>
      <c r="H117" s="1">
        <v>36685</v>
      </c>
      <c r="I117">
        <v>26</v>
      </c>
      <c r="J117">
        <v>2000</v>
      </c>
      <c r="K117" s="1">
        <v>44686</v>
      </c>
      <c r="L117">
        <v>2022</v>
      </c>
      <c r="M117" t="s">
        <v>225</v>
      </c>
      <c r="N117">
        <v>13</v>
      </c>
      <c r="O117" t="s">
        <v>146</v>
      </c>
      <c r="P117" t="s">
        <v>119</v>
      </c>
      <c r="Q117">
        <v>120</v>
      </c>
      <c r="R117">
        <v>5</v>
      </c>
      <c r="S117" t="s">
        <v>92</v>
      </c>
      <c r="T117" t="s">
        <v>93</v>
      </c>
      <c r="U117">
        <v>11</v>
      </c>
      <c r="V117">
        <v>13</v>
      </c>
      <c r="W117">
        <v>13</v>
      </c>
      <c r="X117">
        <v>13</v>
      </c>
      <c r="Y117">
        <v>3</v>
      </c>
      <c r="Z117">
        <v>10</v>
      </c>
      <c r="AA117">
        <v>3</v>
      </c>
      <c r="AB117">
        <v>30</v>
      </c>
      <c r="AC117" t="s">
        <v>70</v>
      </c>
      <c r="AD117" t="s">
        <v>60</v>
      </c>
      <c r="AE117">
        <v>2</v>
      </c>
      <c r="AF117">
        <v>0</v>
      </c>
      <c r="AG117">
        <v>4</v>
      </c>
      <c r="AH117">
        <v>1</v>
      </c>
      <c r="AI117">
        <v>0</v>
      </c>
      <c r="AJ117">
        <v>2</v>
      </c>
      <c r="AK117">
        <v>0</v>
      </c>
      <c r="AL117">
        <v>0</v>
      </c>
      <c r="AM117">
        <v>0</v>
      </c>
      <c r="AN117">
        <v>1</v>
      </c>
      <c r="AO117">
        <v>9</v>
      </c>
      <c r="AP117">
        <v>1</v>
      </c>
      <c r="AQ117">
        <v>90</v>
      </c>
      <c r="AR117" s="2">
        <v>45735.113842592589</v>
      </c>
      <c r="AS117" s="2">
        <v>46077.495833333334</v>
      </c>
      <c r="AT117" t="s">
        <v>61</v>
      </c>
      <c r="AU117" t="s">
        <v>62</v>
      </c>
      <c r="AV117">
        <v>342</v>
      </c>
    </row>
    <row r="118" spans="1:48" x14ac:dyDescent="0.25">
      <c r="A118">
        <v>808</v>
      </c>
      <c r="B118" t="s">
        <v>626</v>
      </c>
      <c r="C118" t="s">
        <v>627</v>
      </c>
      <c r="D118" t="s">
        <v>450</v>
      </c>
      <c r="E118" t="s">
        <v>628</v>
      </c>
      <c r="F118" t="s">
        <v>629</v>
      </c>
      <c r="G118" t="s">
        <v>104</v>
      </c>
      <c r="H118" s="1">
        <v>37036</v>
      </c>
      <c r="I118">
        <v>25</v>
      </c>
      <c r="J118">
        <v>2001</v>
      </c>
      <c r="K118" s="1">
        <v>44787</v>
      </c>
      <c r="L118">
        <v>2022</v>
      </c>
      <c r="M118" t="s">
        <v>111</v>
      </c>
      <c r="N118">
        <v>10</v>
      </c>
      <c r="O118" t="s">
        <v>118</v>
      </c>
      <c r="P118" t="s">
        <v>119</v>
      </c>
      <c r="Q118">
        <v>120</v>
      </c>
      <c r="R118">
        <v>4</v>
      </c>
      <c r="S118" t="s">
        <v>77</v>
      </c>
      <c r="T118" t="s">
        <v>78</v>
      </c>
      <c r="U118">
        <v>13</v>
      </c>
      <c r="V118">
        <v>13</v>
      </c>
      <c r="W118">
        <v>13</v>
      </c>
      <c r="X118">
        <v>11</v>
      </c>
      <c r="Y118">
        <v>3</v>
      </c>
      <c r="Z118">
        <v>12</v>
      </c>
      <c r="AA118">
        <v>2.3333330000000001</v>
      </c>
      <c r="AB118">
        <v>28</v>
      </c>
      <c r="AC118" t="s">
        <v>70</v>
      </c>
      <c r="AD118" t="s">
        <v>60</v>
      </c>
      <c r="AE118">
        <v>2</v>
      </c>
      <c r="AF118">
        <v>0</v>
      </c>
      <c r="AG118">
        <v>3</v>
      </c>
      <c r="AH118">
        <v>2</v>
      </c>
      <c r="AI118">
        <v>0</v>
      </c>
      <c r="AJ118">
        <v>1</v>
      </c>
      <c r="AK118">
        <v>0</v>
      </c>
      <c r="AL118">
        <v>0</v>
      </c>
      <c r="AM118">
        <v>1</v>
      </c>
      <c r="AN118">
        <v>3</v>
      </c>
      <c r="AO118">
        <v>9</v>
      </c>
      <c r="AP118">
        <v>3</v>
      </c>
      <c r="AQ118">
        <v>75</v>
      </c>
      <c r="AR118" s="2">
        <v>45781.905219907407</v>
      </c>
      <c r="AS118" s="2">
        <v>46060.344270833331</v>
      </c>
      <c r="AT118" t="s">
        <v>61</v>
      </c>
      <c r="AU118" t="s">
        <v>62</v>
      </c>
      <c r="AV118">
        <v>279</v>
      </c>
    </row>
    <row r="119" spans="1:48" x14ac:dyDescent="0.25">
      <c r="A119">
        <v>964</v>
      </c>
      <c r="B119" t="s">
        <v>630</v>
      </c>
      <c r="C119" t="s">
        <v>631</v>
      </c>
      <c r="D119" t="s">
        <v>632</v>
      </c>
      <c r="E119" t="s">
        <v>633</v>
      </c>
      <c r="F119" t="s">
        <v>634</v>
      </c>
      <c r="G119" t="s">
        <v>53</v>
      </c>
      <c r="H119" s="1">
        <v>37938</v>
      </c>
      <c r="I119">
        <v>23</v>
      </c>
      <c r="J119">
        <v>2003</v>
      </c>
      <c r="K119" s="1">
        <v>45311</v>
      </c>
      <c r="L119">
        <v>2024</v>
      </c>
      <c r="M119" t="s">
        <v>54</v>
      </c>
      <c r="N119">
        <v>7</v>
      </c>
      <c r="O119" t="s">
        <v>231</v>
      </c>
      <c r="P119" t="s">
        <v>119</v>
      </c>
      <c r="Q119">
        <v>120</v>
      </c>
      <c r="R119">
        <v>3</v>
      </c>
      <c r="S119" t="s">
        <v>126</v>
      </c>
      <c r="T119" t="s">
        <v>127</v>
      </c>
      <c r="U119">
        <v>11</v>
      </c>
      <c r="V119">
        <v>13</v>
      </c>
      <c r="W119">
        <v>13</v>
      </c>
      <c r="X119">
        <v>13</v>
      </c>
      <c r="Y119">
        <v>3</v>
      </c>
      <c r="Z119">
        <v>12</v>
      </c>
      <c r="AA119">
        <v>1.75</v>
      </c>
      <c r="AB119">
        <v>21</v>
      </c>
      <c r="AC119" t="s">
        <v>70</v>
      </c>
      <c r="AD119" t="s">
        <v>112</v>
      </c>
      <c r="AE119">
        <v>0</v>
      </c>
      <c r="AF119">
        <v>0</v>
      </c>
      <c r="AG119">
        <v>2</v>
      </c>
      <c r="AH119">
        <v>1</v>
      </c>
      <c r="AI119">
        <v>0</v>
      </c>
      <c r="AJ119">
        <v>2</v>
      </c>
      <c r="AK119">
        <v>2</v>
      </c>
      <c r="AL119">
        <v>0</v>
      </c>
      <c r="AM119">
        <v>2</v>
      </c>
      <c r="AN119">
        <v>3</v>
      </c>
      <c r="AO119">
        <v>9</v>
      </c>
      <c r="AP119">
        <v>3</v>
      </c>
      <c r="AQ119">
        <v>75</v>
      </c>
      <c r="AR119" s="2">
        <v>45743.236446759256</v>
      </c>
      <c r="AS119" s="2">
        <v>46048.743877314817</v>
      </c>
      <c r="AT119" t="s">
        <v>61</v>
      </c>
      <c r="AU119" t="s">
        <v>62</v>
      </c>
      <c r="AV119">
        <v>305</v>
      </c>
    </row>
    <row r="120" spans="1:48" x14ac:dyDescent="0.25">
      <c r="A120">
        <v>900</v>
      </c>
      <c r="B120" t="s">
        <v>635</v>
      </c>
      <c r="C120" t="s">
        <v>463</v>
      </c>
      <c r="D120" t="s">
        <v>636</v>
      </c>
      <c r="E120" t="s">
        <v>637</v>
      </c>
      <c r="F120" t="s">
        <v>638</v>
      </c>
      <c r="G120" t="s">
        <v>53</v>
      </c>
      <c r="H120" s="1">
        <v>37715</v>
      </c>
      <c r="I120">
        <v>23</v>
      </c>
      <c r="J120">
        <v>2003</v>
      </c>
      <c r="K120" s="1">
        <v>45041</v>
      </c>
      <c r="L120">
        <v>2023</v>
      </c>
      <c r="M120" t="s">
        <v>54</v>
      </c>
      <c r="N120">
        <v>13</v>
      </c>
      <c r="O120" t="s">
        <v>146</v>
      </c>
      <c r="P120" t="s">
        <v>119</v>
      </c>
      <c r="Q120">
        <v>120</v>
      </c>
      <c r="R120">
        <v>5</v>
      </c>
      <c r="S120" t="s">
        <v>92</v>
      </c>
      <c r="T120" t="s">
        <v>93</v>
      </c>
      <c r="U120">
        <v>12</v>
      </c>
      <c r="V120">
        <v>13</v>
      </c>
      <c r="W120">
        <v>13</v>
      </c>
      <c r="X120">
        <v>11</v>
      </c>
      <c r="Y120">
        <v>3</v>
      </c>
      <c r="Z120">
        <v>10</v>
      </c>
      <c r="AA120">
        <v>3.1</v>
      </c>
      <c r="AB120">
        <v>31</v>
      </c>
      <c r="AC120" t="s">
        <v>59</v>
      </c>
      <c r="AD120" t="s">
        <v>60</v>
      </c>
      <c r="AE120">
        <v>3</v>
      </c>
      <c r="AF120">
        <v>0</v>
      </c>
      <c r="AG120">
        <v>3</v>
      </c>
      <c r="AH120">
        <v>1</v>
      </c>
      <c r="AI120">
        <v>0</v>
      </c>
      <c r="AJ120">
        <v>1</v>
      </c>
      <c r="AK120">
        <v>1</v>
      </c>
      <c r="AL120">
        <v>0</v>
      </c>
      <c r="AM120">
        <v>1</v>
      </c>
      <c r="AN120">
        <v>0</v>
      </c>
      <c r="AO120">
        <v>10</v>
      </c>
      <c r="AP120">
        <v>0</v>
      </c>
      <c r="AQ120">
        <v>100</v>
      </c>
      <c r="AR120" s="2">
        <v>45725.174525462964</v>
      </c>
      <c r="AS120" s="2">
        <v>46070.177118055559</v>
      </c>
      <c r="AT120" t="s">
        <v>61</v>
      </c>
      <c r="AU120" t="s">
        <v>62</v>
      </c>
      <c r="AV120">
        <v>345</v>
      </c>
    </row>
    <row r="121" spans="1:48" x14ac:dyDescent="0.25">
      <c r="A121">
        <v>881</v>
      </c>
      <c r="B121" t="s">
        <v>639</v>
      </c>
      <c r="C121" t="s">
        <v>153</v>
      </c>
      <c r="D121" t="s">
        <v>640</v>
      </c>
      <c r="E121" t="s">
        <v>641</v>
      </c>
      <c r="F121">
        <f>1-660-813-4778</f>
        <v>-6250</v>
      </c>
      <c r="G121" t="s">
        <v>104</v>
      </c>
      <c r="H121" s="1">
        <v>35708</v>
      </c>
      <c r="I121">
        <v>29</v>
      </c>
      <c r="J121">
        <v>1997</v>
      </c>
      <c r="K121" s="1">
        <v>44699</v>
      </c>
      <c r="L121">
        <v>2022</v>
      </c>
      <c r="M121" t="s">
        <v>111</v>
      </c>
      <c r="N121">
        <v>7</v>
      </c>
      <c r="O121" t="s">
        <v>231</v>
      </c>
      <c r="P121" t="s">
        <v>119</v>
      </c>
      <c r="Q121">
        <v>120</v>
      </c>
      <c r="R121">
        <v>3</v>
      </c>
      <c r="S121" t="s">
        <v>126</v>
      </c>
      <c r="T121" t="s">
        <v>127</v>
      </c>
      <c r="U121">
        <v>12</v>
      </c>
      <c r="V121">
        <v>13</v>
      </c>
      <c r="W121">
        <v>13</v>
      </c>
      <c r="X121">
        <v>13</v>
      </c>
      <c r="Y121">
        <v>3</v>
      </c>
      <c r="Z121">
        <v>12</v>
      </c>
      <c r="AA121">
        <v>1.916666</v>
      </c>
      <c r="AB121">
        <v>23</v>
      </c>
      <c r="AC121" t="s">
        <v>70</v>
      </c>
      <c r="AD121" t="s">
        <v>60</v>
      </c>
      <c r="AE121">
        <v>1</v>
      </c>
      <c r="AF121">
        <v>0</v>
      </c>
      <c r="AG121">
        <v>1</v>
      </c>
      <c r="AH121">
        <v>2</v>
      </c>
      <c r="AI121">
        <v>0</v>
      </c>
      <c r="AJ121">
        <v>1</v>
      </c>
      <c r="AK121">
        <v>3</v>
      </c>
      <c r="AL121">
        <v>0</v>
      </c>
      <c r="AM121">
        <v>1</v>
      </c>
      <c r="AN121">
        <v>3</v>
      </c>
      <c r="AO121">
        <v>9</v>
      </c>
      <c r="AP121">
        <v>3</v>
      </c>
      <c r="AQ121">
        <v>75</v>
      </c>
      <c r="AR121" s="2">
        <v>45778.968576388892</v>
      </c>
      <c r="AS121" s="2">
        <v>46039.980543981481</v>
      </c>
      <c r="AT121" t="s">
        <v>61</v>
      </c>
      <c r="AU121" t="s">
        <v>62</v>
      </c>
      <c r="AV121">
        <v>261</v>
      </c>
    </row>
    <row r="122" spans="1:48" x14ac:dyDescent="0.25">
      <c r="A122">
        <v>74</v>
      </c>
      <c r="B122" t="s">
        <v>642</v>
      </c>
      <c r="C122" t="s">
        <v>643</v>
      </c>
      <c r="D122" t="s">
        <v>644</v>
      </c>
      <c r="E122" t="s">
        <v>645</v>
      </c>
      <c r="F122" t="s">
        <v>646</v>
      </c>
      <c r="G122" t="s">
        <v>53</v>
      </c>
      <c r="H122" s="1">
        <v>35495</v>
      </c>
      <c r="I122">
        <v>29</v>
      </c>
      <c r="J122">
        <v>1997</v>
      </c>
      <c r="K122" s="1">
        <v>44889</v>
      </c>
      <c r="L122">
        <v>2022</v>
      </c>
      <c r="M122" t="s">
        <v>54</v>
      </c>
      <c r="N122">
        <v>9</v>
      </c>
      <c r="O122" t="s">
        <v>151</v>
      </c>
      <c r="P122" t="s">
        <v>69</v>
      </c>
      <c r="Q122">
        <v>60</v>
      </c>
      <c r="R122">
        <v>3</v>
      </c>
      <c r="S122" t="s">
        <v>126</v>
      </c>
      <c r="T122" t="s">
        <v>127</v>
      </c>
      <c r="U122">
        <v>13</v>
      </c>
      <c r="V122">
        <v>13</v>
      </c>
      <c r="W122">
        <v>13</v>
      </c>
      <c r="X122">
        <v>11</v>
      </c>
      <c r="Y122">
        <v>3</v>
      </c>
      <c r="Z122">
        <v>9</v>
      </c>
      <c r="AA122">
        <v>2</v>
      </c>
      <c r="AB122">
        <v>18</v>
      </c>
      <c r="AC122" t="s">
        <v>70</v>
      </c>
      <c r="AD122" t="s">
        <v>60</v>
      </c>
      <c r="AE122">
        <v>1</v>
      </c>
      <c r="AF122">
        <v>0</v>
      </c>
      <c r="AG122">
        <v>1</v>
      </c>
      <c r="AH122">
        <v>1</v>
      </c>
      <c r="AI122">
        <v>0</v>
      </c>
      <c r="AJ122">
        <v>1</v>
      </c>
      <c r="AK122">
        <v>2</v>
      </c>
      <c r="AL122">
        <v>0</v>
      </c>
      <c r="AM122">
        <v>1</v>
      </c>
      <c r="AN122">
        <v>2</v>
      </c>
      <c r="AO122">
        <v>7</v>
      </c>
      <c r="AP122">
        <v>2</v>
      </c>
      <c r="AQ122">
        <v>77.777777777777004</v>
      </c>
      <c r="AR122" s="2">
        <v>45730.422372685185</v>
      </c>
      <c r="AS122" s="2">
        <v>46039.210520833331</v>
      </c>
      <c r="AT122" t="s">
        <v>61</v>
      </c>
      <c r="AU122" t="s">
        <v>62</v>
      </c>
      <c r="AV122">
        <v>309</v>
      </c>
    </row>
    <row r="123" spans="1:48" x14ac:dyDescent="0.25">
      <c r="A123">
        <v>101</v>
      </c>
      <c r="B123" t="s">
        <v>647</v>
      </c>
      <c r="C123" t="s">
        <v>648</v>
      </c>
      <c r="D123" t="s">
        <v>649</v>
      </c>
      <c r="E123" t="s">
        <v>650</v>
      </c>
      <c r="F123" t="s">
        <v>651</v>
      </c>
      <c r="G123" t="s">
        <v>104</v>
      </c>
      <c r="H123" s="1">
        <v>38128</v>
      </c>
      <c r="I123">
        <v>22</v>
      </c>
      <c r="J123">
        <v>2004</v>
      </c>
      <c r="K123" s="1">
        <v>45062</v>
      </c>
      <c r="L123">
        <v>2023</v>
      </c>
      <c r="M123" t="s">
        <v>54</v>
      </c>
      <c r="N123">
        <v>5</v>
      </c>
      <c r="O123" t="s">
        <v>84</v>
      </c>
      <c r="P123" t="s">
        <v>56</v>
      </c>
      <c r="Q123">
        <v>36</v>
      </c>
      <c r="R123">
        <v>2</v>
      </c>
      <c r="S123" t="s">
        <v>85</v>
      </c>
      <c r="T123" t="s">
        <v>86</v>
      </c>
      <c r="U123">
        <v>13</v>
      </c>
      <c r="V123">
        <v>13</v>
      </c>
      <c r="W123">
        <v>13</v>
      </c>
      <c r="X123">
        <v>11</v>
      </c>
      <c r="Y123">
        <v>3</v>
      </c>
      <c r="Z123">
        <v>11</v>
      </c>
      <c r="AA123">
        <v>2.0909089999999999</v>
      </c>
      <c r="AB123">
        <v>23</v>
      </c>
      <c r="AC123" t="s">
        <v>70</v>
      </c>
      <c r="AD123" t="s">
        <v>60</v>
      </c>
      <c r="AE123">
        <v>1</v>
      </c>
      <c r="AF123">
        <v>0</v>
      </c>
      <c r="AG123">
        <v>2</v>
      </c>
      <c r="AH123">
        <v>1</v>
      </c>
      <c r="AI123">
        <v>0</v>
      </c>
      <c r="AJ123">
        <v>2</v>
      </c>
      <c r="AK123">
        <v>1</v>
      </c>
      <c r="AL123">
        <v>0</v>
      </c>
      <c r="AM123">
        <v>2</v>
      </c>
      <c r="AN123">
        <v>2</v>
      </c>
      <c r="AO123">
        <v>9</v>
      </c>
      <c r="AP123">
        <v>2</v>
      </c>
      <c r="AQ123">
        <v>81.818181818181003</v>
      </c>
      <c r="AR123" s="2">
        <v>45737.446319444447</v>
      </c>
      <c r="AS123" s="2">
        <v>46061.410173611112</v>
      </c>
      <c r="AT123" t="s">
        <v>61</v>
      </c>
      <c r="AU123" t="s">
        <v>62</v>
      </c>
      <c r="AV123">
        <v>324</v>
      </c>
    </row>
    <row r="124" spans="1:48" x14ac:dyDescent="0.25">
      <c r="A124">
        <v>389</v>
      </c>
      <c r="B124" t="s">
        <v>652</v>
      </c>
      <c r="C124" t="s">
        <v>653</v>
      </c>
      <c r="D124" t="s">
        <v>654</v>
      </c>
      <c r="E124" t="s">
        <v>655</v>
      </c>
      <c r="F124" t="s">
        <v>656</v>
      </c>
      <c r="G124" t="s">
        <v>53</v>
      </c>
      <c r="H124" s="1">
        <v>38832</v>
      </c>
      <c r="I124">
        <v>20</v>
      </c>
      <c r="J124">
        <v>2006</v>
      </c>
      <c r="K124" s="1">
        <v>44832</v>
      </c>
      <c r="L124">
        <v>2022</v>
      </c>
      <c r="M124" t="s">
        <v>225</v>
      </c>
      <c r="N124">
        <v>7</v>
      </c>
      <c r="O124" t="s">
        <v>231</v>
      </c>
      <c r="P124" t="s">
        <v>119</v>
      </c>
      <c r="Q124">
        <v>120</v>
      </c>
      <c r="R124">
        <v>3</v>
      </c>
      <c r="S124" t="s">
        <v>126</v>
      </c>
      <c r="T124" t="s">
        <v>127</v>
      </c>
      <c r="U124">
        <v>12</v>
      </c>
      <c r="V124">
        <v>13</v>
      </c>
      <c r="W124">
        <v>13</v>
      </c>
      <c r="X124">
        <v>11</v>
      </c>
      <c r="Y124">
        <v>3</v>
      </c>
      <c r="Z124">
        <v>11</v>
      </c>
      <c r="AA124">
        <v>2.1363629999999998</v>
      </c>
      <c r="AB124">
        <v>23.5</v>
      </c>
      <c r="AC124" t="s">
        <v>70</v>
      </c>
      <c r="AD124" t="s">
        <v>60</v>
      </c>
      <c r="AE124">
        <v>2</v>
      </c>
      <c r="AF124">
        <v>0</v>
      </c>
      <c r="AG124">
        <v>1</v>
      </c>
      <c r="AH124">
        <v>1</v>
      </c>
      <c r="AI124">
        <v>0</v>
      </c>
      <c r="AJ124">
        <v>2</v>
      </c>
      <c r="AK124">
        <v>1</v>
      </c>
      <c r="AL124">
        <v>0</v>
      </c>
      <c r="AM124">
        <v>2</v>
      </c>
      <c r="AN124">
        <v>2</v>
      </c>
      <c r="AO124">
        <v>9</v>
      </c>
      <c r="AP124">
        <v>2</v>
      </c>
      <c r="AQ124">
        <v>81.818181818181003</v>
      </c>
      <c r="AR124" s="2">
        <v>45776.400659722225</v>
      </c>
      <c r="AS124" s="2">
        <v>46083.202430555553</v>
      </c>
      <c r="AT124" t="s">
        <v>61</v>
      </c>
      <c r="AU124" t="s">
        <v>62</v>
      </c>
      <c r="AV124">
        <v>307</v>
      </c>
    </row>
    <row r="125" spans="1:48" x14ac:dyDescent="0.25">
      <c r="A125">
        <v>841</v>
      </c>
      <c r="B125" t="s">
        <v>657</v>
      </c>
      <c r="C125" t="s">
        <v>658</v>
      </c>
      <c r="D125" t="s">
        <v>659</v>
      </c>
      <c r="E125" t="s">
        <v>660</v>
      </c>
      <c r="F125" t="s">
        <v>661</v>
      </c>
      <c r="G125" t="s">
        <v>53</v>
      </c>
      <c r="H125" s="1">
        <v>38484</v>
      </c>
      <c r="I125">
        <v>21</v>
      </c>
      <c r="J125">
        <v>2005</v>
      </c>
      <c r="K125" s="1">
        <v>46022</v>
      </c>
      <c r="L125">
        <v>2025</v>
      </c>
      <c r="M125" t="s">
        <v>54</v>
      </c>
      <c r="N125">
        <v>12</v>
      </c>
      <c r="O125" t="s">
        <v>76</v>
      </c>
      <c r="P125" t="s">
        <v>69</v>
      </c>
      <c r="Q125">
        <v>60</v>
      </c>
      <c r="R125">
        <v>4</v>
      </c>
      <c r="S125" t="s">
        <v>77</v>
      </c>
      <c r="T125" t="s">
        <v>78</v>
      </c>
      <c r="U125">
        <v>11</v>
      </c>
      <c r="V125">
        <v>13</v>
      </c>
      <c r="W125">
        <v>13</v>
      </c>
      <c r="X125">
        <v>13</v>
      </c>
      <c r="Y125">
        <v>3</v>
      </c>
      <c r="Z125">
        <v>12</v>
      </c>
      <c r="AA125">
        <v>3</v>
      </c>
      <c r="AB125">
        <v>36</v>
      </c>
      <c r="AC125" t="s">
        <v>70</v>
      </c>
      <c r="AD125" t="s">
        <v>60</v>
      </c>
      <c r="AE125">
        <v>4</v>
      </c>
      <c r="AF125">
        <v>0</v>
      </c>
      <c r="AG125">
        <v>1</v>
      </c>
      <c r="AH125">
        <v>4</v>
      </c>
      <c r="AI125">
        <v>0</v>
      </c>
      <c r="AJ125">
        <v>1</v>
      </c>
      <c r="AK125">
        <v>1</v>
      </c>
      <c r="AL125">
        <v>0</v>
      </c>
      <c r="AM125">
        <v>0</v>
      </c>
      <c r="AN125">
        <v>1</v>
      </c>
      <c r="AO125">
        <v>11</v>
      </c>
      <c r="AP125">
        <v>1</v>
      </c>
      <c r="AQ125">
        <v>91.666666666666003</v>
      </c>
      <c r="AR125" s="2">
        <v>45730.121354166666</v>
      </c>
      <c r="AS125" s="2">
        <v>46012.499722222223</v>
      </c>
      <c r="AT125" t="s">
        <v>61</v>
      </c>
      <c r="AU125" t="s">
        <v>62</v>
      </c>
      <c r="AV125">
        <v>282</v>
      </c>
    </row>
    <row r="126" spans="1:48" x14ac:dyDescent="0.25">
      <c r="A126">
        <v>299</v>
      </c>
      <c r="B126" t="s">
        <v>662</v>
      </c>
      <c r="C126" t="s">
        <v>663</v>
      </c>
      <c r="D126" t="s">
        <v>664</v>
      </c>
      <c r="E126" t="s">
        <v>665</v>
      </c>
      <c r="F126" t="s">
        <v>666</v>
      </c>
      <c r="G126" t="s">
        <v>104</v>
      </c>
      <c r="H126" s="1">
        <v>37369</v>
      </c>
      <c r="I126">
        <v>24</v>
      </c>
      <c r="J126">
        <v>2002</v>
      </c>
      <c r="K126" s="1">
        <v>45535</v>
      </c>
      <c r="L126">
        <v>2024</v>
      </c>
      <c r="M126" t="s">
        <v>111</v>
      </c>
      <c r="N126">
        <v>3</v>
      </c>
      <c r="O126" t="s">
        <v>68</v>
      </c>
      <c r="P126" t="s">
        <v>69</v>
      </c>
      <c r="Q126">
        <v>60</v>
      </c>
      <c r="R126">
        <v>1</v>
      </c>
      <c r="S126" t="s">
        <v>57</v>
      </c>
      <c r="T126" t="s">
        <v>58</v>
      </c>
      <c r="U126">
        <v>12</v>
      </c>
      <c r="V126">
        <v>13</v>
      </c>
      <c r="W126">
        <v>13</v>
      </c>
      <c r="X126">
        <v>12</v>
      </c>
      <c r="Y126">
        <v>3</v>
      </c>
      <c r="Z126">
        <v>11</v>
      </c>
      <c r="AA126">
        <v>1.681818</v>
      </c>
      <c r="AB126">
        <v>18.5</v>
      </c>
      <c r="AC126" t="s">
        <v>70</v>
      </c>
      <c r="AD126" t="s">
        <v>112</v>
      </c>
      <c r="AE126">
        <v>0</v>
      </c>
      <c r="AF126">
        <v>0</v>
      </c>
      <c r="AG126">
        <v>1</v>
      </c>
      <c r="AH126">
        <v>1</v>
      </c>
      <c r="AI126">
        <v>0</v>
      </c>
      <c r="AJ126">
        <v>2</v>
      </c>
      <c r="AK126">
        <v>2</v>
      </c>
      <c r="AL126">
        <v>0</v>
      </c>
      <c r="AM126">
        <v>3</v>
      </c>
      <c r="AN126">
        <v>2</v>
      </c>
      <c r="AO126">
        <v>9</v>
      </c>
      <c r="AP126">
        <v>2</v>
      </c>
      <c r="AQ126">
        <v>81.818181818181003</v>
      </c>
      <c r="AR126" s="2">
        <v>45731.711018518516</v>
      </c>
      <c r="AS126" s="2">
        <v>46002.78224537037</v>
      </c>
      <c r="AT126" t="s">
        <v>61</v>
      </c>
      <c r="AU126" t="s">
        <v>62</v>
      </c>
      <c r="AV126">
        <v>271</v>
      </c>
    </row>
    <row r="127" spans="1:48" x14ac:dyDescent="0.25">
      <c r="A127">
        <v>632</v>
      </c>
      <c r="B127" t="s">
        <v>667</v>
      </c>
      <c r="C127" t="s">
        <v>668</v>
      </c>
      <c r="D127" t="s">
        <v>669</v>
      </c>
      <c r="E127" t="s">
        <v>670</v>
      </c>
      <c r="F127" t="s">
        <v>671</v>
      </c>
      <c r="G127" t="s">
        <v>104</v>
      </c>
      <c r="H127" s="1">
        <v>35182</v>
      </c>
      <c r="I127">
        <v>30</v>
      </c>
      <c r="J127">
        <v>1996</v>
      </c>
      <c r="K127" s="1">
        <v>44830</v>
      </c>
      <c r="L127">
        <v>2022</v>
      </c>
      <c r="M127" t="s">
        <v>54</v>
      </c>
      <c r="N127">
        <v>18</v>
      </c>
      <c r="O127" t="s">
        <v>139</v>
      </c>
      <c r="P127" t="s">
        <v>69</v>
      </c>
      <c r="Q127">
        <v>60</v>
      </c>
      <c r="R127">
        <v>6</v>
      </c>
      <c r="S127" t="s">
        <v>140</v>
      </c>
      <c r="T127" t="s">
        <v>141</v>
      </c>
      <c r="U127">
        <v>13</v>
      </c>
      <c r="V127">
        <v>13</v>
      </c>
      <c r="W127">
        <v>13</v>
      </c>
      <c r="X127">
        <v>11</v>
      </c>
      <c r="Y127">
        <v>3</v>
      </c>
      <c r="Z127">
        <v>13</v>
      </c>
      <c r="AA127">
        <v>2.5</v>
      </c>
      <c r="AB127">
        <v>32.5</v>
      </c>
      <c r="AC127" t="s">
        <v>70</v>
      </c>
      <c r="AD127" t="s">
        <v>60</v>
      </c>
      <c r="AE127">
        <v>3</v>
      </c>
      <c r="AF127">
        <v>0</v>
      </c>
      <c r="AG127">
        <v>1</v>
      </c>
      <c r="AH127">
        <v>4</v>
      </c>
      <c r="AI127">
        <v>0</v>
      </c>
      <c r="AJ127">
        <v>0</v>
      </c>
      <c r="AK127">
        <v>2</v>
      </c>
      <c r="AL127">
        <v>0</v>
      </c>
      <c r="AM127">
        <v>1</v>
      </c>
      <c r="AN127">
        <v>2</v>
      </c>
      <c r="AO127">
        <v>11</v>
      </c>
      <c r="AP127">
        <v>2</v>
      </c>
      <c r="AQ127">
        <v>84.615384615384002</v>
      </c>
      <c r="AR127" s="2">
        <v>45722.541504629633</v>
      </c>
      <c r="AS127" s="2">
        <v>46079.030335648145</v>
      </c>
      <c r="AT127" t="s">
        <v>61</v>
      </c>
      <c r="AU127" t="s">
        <v>62</v>
      </c>
      <c r="AV127">
        <v>357</v>
      </c>
    </row>
    <row r="128" spans="1:48" x14ac:dyDescent="0.25">
      <c r="A128">
        <v>316</v>
      </c>
      <c r="B128" t="s">
        <v>672</v>
      </c>
      <c r="C128" t="s">
        <v>201</v>
      </c>
      <c r="D128" t="s">
        <v>673</v>
      </c>
      <c r="E128" t="s">
        <v>674</v>
      </c>
      <c r="F128" t="s">
        <v>675</v>
      </c>
      <c r="G128" t="s">
        <v>53</v>
      </c>
      <c r="H128" s="1">
        <v>35205</v>
      </c>
      <c r="I128">
        <v>30</v>
      </c>
      <c r="J128">
        <v>1996</v>
      </c>
      <c r="K128" s="1">
        <v>45062</v>
      </c>
      <c r="L128">
        <v>2023</v>
      </c>
      <c r="M128" t="s">
        <v>54</v>
      </c>
      <c r="N128">
        <v>10</v>
      </c>
      <c r="O128" t="s">
        <v>118</v>
      </c>
      <c r="P128" t="s">
        <v>119</v>
      </c>
      <c r="Q128">
        <v>120</v>
      </c>
      <c r="R128">
        <v>4</v>
      </c>
      <c r="S128" t="s">
        <v>77</v>
      </c>
      <c r="T128" t="s">
        <v>78</v>
      </c>
      <c r="U128">
        <v>13</v>
      </c>
      <c r="V128">
        <v>13</v>
      </c>
      <c r="W128">
        <v>13</v>
      </c>
      <c r="X128">
        <v>11</v>
      </c>
      <c r="Y128">
        <v>3</v>
      </c>
      <c r="Z128">
        <v>11</v>
      </c>
      <c r="AA128">
        <v>2.2272720000000001</v>
      </c>
      <c r="AB128">
        <v>24.5</v>
      </c>
      <c r="AC128" t="s">
        <v>70</v>
      </c>
      <c r="AD128" t="s">
        <v>60</v>
      </c>
      <c r="AE128">
        <v>2</v>
      </c>
      <c r="AF128">
        <v>0</v>
      </c>
      <c r="AG128">
        <v>1</v>
      </c>
      <c r="AH128">
        <v>1</v>
      </c>
      <c r="AI128">
        <v>0</v>
      </c>
      <c r="AJ128">
        <v>2</v>
      </c>
      <c r="AK128">
        <v>1</v>
      </c>
      <c r="AL128">
        <v>0</v>
      </c>
      <c r="AM128">
        <v>3</v>
      </c>
      <c r="AN128">
        <v>1</v>
      </c>
      <c r="AO128">
        <v>10</v>
      </c>
      <c r="AP128">
        <v>1</v>
      </c>
      <c r="AQ128">
        <v>90.909090909089997</v>
      </c>
      <c r="AR128" s="2">
        <v>45774.731099537035</v>
      </c>
      <c r="AS128" s="2">
        <v>46043.114340277774</v>
      </c>
      <c r="AT128" t="s">
        <v>61</v>
      </c>
      <c r="AU128" t="s">
        <v>62</v>
      </c>
      <c r="AV128">
        <v>269</v>
      </c>
    </row>
    <row r="129" spans="1:48" x14ac:dyDescent="0.25">
      <c r="A129">
        <v>491</v>
      </c>
      <c r="B129" t="s">
        <v>676</v>
      </c>
      <c r="C129" t="s">
        <v>677</v>
      </c>
      <c r="D129" t="s">
        <v>514</v>
      </c>
      <c r="E129" t="s">
        <v>678</v>
      </c>
      <c r="F129" t="s">
        <v>679</v>
      </c>
      <c r="G129" t="s">
        <v>104</v>
      </c>
      <c r="H129" s="1">
        <v>35732</v>
      </c>
      <c r="I129">
        <v>29</v>
      </c>
      <c r="J129">
        <v>1997</v>
      </c>
      <c r="K129" s="1">
        <v>45195</v>
      </c>
      <c r="L129">
        <v>2023</v>
      </c>
      <c r="M129" t="s">
        <v>54</v>
      </c>
      <c r="N129">
        <v>17</v>
      </c>
      <c r="O129" t="s">
        <v>350</v>
      </c>
      <c r="P129" t="s">
        <v>56</v>
      </c>
      <c r="Q129">
        <v>36</v>
      </c>
      <c r="R129">
        <v>6</v>
      </c>
      <c r="S129" t="s">
        <v>140</v>
      </c>
      <c r="T129" t="s">
        <v>141</v>
      </c>
      <c r="U129">
        <v>13</v>
      </c>
      <c r="V129">
        <v>13</v>
      </c>
      <c r="W129">
        <v>13</v>
      </c>
      <c r="X129">
        <v>11</v>
      </c>
      <c r="Y129">
        <v>3</v>
      </c>
      <c r="Z129">
        <v>11</v>
      </c>
      <c r="AA129">
        <v>2.2272720000000001</v>
      </c>
      <c r="AB129">
        <v>24.5</v>
      </c>
      <c r="AC129" t="s">
        <v>70</v>
      </c>
      <c r="AD129" t="s">
        <v>60</v>
      </c>
      <c r="AE129">
        <v>1</v>
      </c>
      <c r="AF129">
        <v>0</v>
      </c>
      <c r="AG129">
        <v>4</v>
      </c>
      <c r="AH129">
        <v>1</v>
      </c>
      <c r="AI129">
        <v>0</v>
      </c>
      <c r="AJ129">
        <v>1</v>
      </c>
      <c r="AK129">
        <v>0</v>
      </c>
      <c r="AL129">
        <v>0</v>
      </c>
      <c r="AM129">
        <v>1</v>
      </c>
      <c r="AN129">
        <v>3</v>
      </c>
      <c r="AO129">
        <v>8</v>
      </c>
      <c r="AP129">
        <v>3</v>
      </c>
      <c r="AQ129">
        <v>72.727272727271995</v>
      </c>
      <c r="AR129" s="2">
        <v>45729.820648148147</v>
      </c>
      <c r="AS129" s="2">
        <v>46086.342245370368</v>
      </c>
      <c r="AT129" t="s">
        <v>61</v>
      </c>
      <c r="AU129" t="s">
        <v>62</v>
      </c>
      <c r="AV129">
        <v>357</v>
      </c>
    </row>
    <row r="130" spans="1:48" x14ac:dyDescent="0.25">
      <c r="A130">
        <v>859</v>
      </c>
      <c r="B130" t="s">
        <v>680</v>
      </c>
      <c r="C130" t="s">
        <v>681</v>
      </c>
      <c r="D130" t="s">
        <v>682</v>
      </c>
      <c r="E130" t="s">
        <v>683</v>
      </c>
      <c r="F130" t="s">
        <v>684</v>
      </c>
      <c r="G130" t="s">
        <v>53</v>
      </c>
      <c r="H130" s="1">
        <v>39154</v>
      </c>
      <c r="I130">
        <v>19</v>
      </c>
      <c r="J130">
        <v>2007</v>
      </c>
      <c r="K130" s="1">
        <v>45568</v>
      </c>
      <c r="L130">
        <v>2024</v>
      </c>
      <c r="M130" t="s">
        <v>54</v>
      </c>
      <c r="N130">
        <v>11</v>
      </c>
      <c r="O130" t="s">
        <v>378</v>
      </c>
      <c r="P130" t="s">
        <v>56</v>
      </c>
      <c r="Q130">
        <v>36</v>
      </c>
      <c r="R130">
        <v>4</v>
      </c>
      <c r="S130" t="s">
        <v>77</v>
      </c>
      <c r="T130" t="s">
        <v>78</v>
      </c>
      <c r="U130">
        <v>12</v>
      </c>
      <c r="V130">
        <v>13</v>
      </c>
      <c r="W130">
        <v>13</v>
      </c>
      <c r="X130">
        <v>13</v>
      </c>
      <c r="Y130">
        <v>3</v>
      </c>
      <c r="Z130">
        <v>12</v>
      </c>
      <c r="AA130">
        <v>2.125</v>
      </c>
      <c r="AB130">
        <v>25.5</v>
      </c>
      <c r="AC130" t="s">
        <v>70</v>
      </c>
      <c r="AD130" t="s">
        <v>60</v>
      </c>
      <c r="AE130">
        <v>2</v>
      </c>
      <c r="AF130">
        <v>0</v>
      </c>
      <c r="AG130">
        <v>1</v>
      </c>
      <c r="AH130">
        <v>2</v>
      </c>
      <c r="AI130">
        <v>0</v>
      </c>
      <c r="AJ130">
        <v>2</v>
      </c>
      <c r="AK130">
        <v>0</v>
      </c>
      <c r="AL130">
        <v>0</v>
      </c>
      <c r="AM130">
        <v>3</v>
      </c>
      <c r="AN130">
        <v>2</v>
      </c>
      <c r="AO130">
        <v>10</v>
      </c>
      <c r="AP130">
        <v>2</v>
      </c>
      <c r="AQ130">
        <v>83.333333333333002</v>
      </c>
      <c r="AR130" s="2">
        <v>45721.657881944448</v>
      </c>
      <c r="AS130" s="2">
        <v>46075.118981481479</v>
      </c>
      <c r="AT130" t="s">
        <v>61</v>
      </c>
      <c r="AU130" t="s">
        <v>62</v>
      </c>
      <c r="AV130">
        <v>354</v>
      </c>
    </row>
    <row r="131" spans="1:48" x14ac:dyDescent="0.25">
      <c r="A131">
        <v>70</v>
      </c>
      <c r="B131" t="s">
        <v>685</v>
      </c>
      <c r="C131" t="s">
        <v>686</v>
      </c>
      <c r="D131" t="s">
        <v>347</v>
      </c>
      <c r="E131" t="s">
        <v>687</v>
      </c>
      <c r="F131" t="s">
        <v>688</v>
      </c>
      <c r="G131" t="s">
        <v>53</v>
      </c>
      <c r="H131" s="1">
        <v>36898</v>
      </c>
      <c r="I131">
        <v>25</v>
      </c>
      <c r="J131">
        <v>2001</v>
      </c>
      <c r="K131" s="1">
        <v>45808</v>
      </c>
      <c r="L131">
        <v>2025</v>
      </c>
      <c r="M131" t="s">
        <v>54</v>
      </c>
      <c r="N131">
        <v>7</v>
      </c>
      <c r="O131" t="s">
        <v>231</v>
      </c>
      <c r="P131" t="s">
        <v>119</v>
      </c>
      <c r="Q131">
        <v>120</v>
      </c>
      <c r="R131">
        <v>3</v>
      </c>
      <c r="S131" t="s">
        <v>126</v>
      </c>
      <c r="T131" t="s">
        <v>127</v>
      </c>
      <c r="U131">
        <v>12</v>
      </c>
      <c r="V131">
        <v>13</v>
      </c>
      <c r="W131">
        <v>13</v>
      </c>
      <c r="X131">
        <v>12</v>
      </c>
      <c r="Y131">
        <v>3</v>
      </c>
      <c r="Z131">
        <v>13</v>
      </c>
      <c r="AA131">
        <v>2.423076</v>
      </c>
      <c r="AB131">
        <v>31.5</v>
      </c>
      <c r="AC131" t="s">
        <v>70</v>
      </c>
      <c r="AD131" t="s">
        <v>60</v>
      </c>
      <c r="AE131">
        <v>3</v>
      </c>
      <c r="AF131">
        <v>0</v>
      </c>
      <c r="AG131">
        <v>3</v>
      </c>
      <c r="AH131">
        <v>2</v>
      </c>
      <c r="AI131">
        <v>0</v>
      </c>
      <c r="AJ131">
        <v>0</v>
      </c>
      <c r="AK131">
        <v>1</v>
      </c>
      <c r="AL131">
        <v>0</v>
      </c>
      <c r="AM131">
        <v>1</v>
      </c>
      <c r="AN131">
        <v>3</v>
      </c>
      <c r="AO131">
        <v>10</v>
      </c>
      <c r="AP131">
        <v>3</v>
      </c>
      <c r="AQ131">
        <v>76.923076923075996</v>
      </c>
      <c r="AR131" s="2">
        <v>45731.099988425929</v>
      </c>
      <c r="AS131" s="2">
        <v>46054.272546296299</v>
      </c>
      <c r="AT131" t="s">
        <v>61</v>
      </c>
      <c r="AU131" t="s">
        <v>62</v>
      </c>
      <c r="AV131">
        <v>323</v>
      </c>
    </row>
    <row r="132" spans="1:48" x14ac:dyDescent="0.25">
      <c r="A132">
        <v>448</v>
      </c>
      <c r="B132" t="s">
        <v>689</v>
      </c>
      <c r="C132" t="s">
        <v>690</v>
      </c>
      <c r="D132" t="s">
        <v>691</v>
      </c>
      <c r="E132" t="s">
        <v>692</v>
      </c>
      <c r="F132" t="s">
        <v>693</v>
      </c>
      <c r="G132" t="s">
        <v>104</v>
      </c>
      <c r="H132" s="1">
        <v>35203</v>
      </c>
      <c r="I132">
        <v>30</v>
      </c>
      <c r="J132">
        <v>1996</v>
      </c>
      <c r="K132" s="1">
        <v>45431</v>
      </c>
      <c r="L132">
        <v>2024</v>
      </c>
      <c r="M132" t="s">
        <v>54</v>
      </c>
      <c r="N132">
        <v>8</v>
      </c>
      <c r="O132" t="s">
        <v>125</v>
      </c>
      <c r="P132" t="s">
        <v>56</v>
      </c>
      <c r="Q132">
        <v>36</v>
      </c>
      <c r="R132">
        <v>3</v>
      </c>
      <c r="S132" t="s">
        <v>126</v>
      </c>
      <c r="T132" t="s">
        <v>127</v>
      </c>
      <c r="U132">
        <v>13</v>
      </c>
      <c r="V132">
        <v>13</v>
      </c>
      <c r="W132">
        <v>13</v>
      </c>
      <c r="X132">
        <v>10</v>
      </c>
      <c r="Y132">
        <v>3</v>
      </c>
      <c r="Z132">
        <v>11</v>
      </c>
      <c r="AA132">
        <v>2.454545</v>
      </c>
      <c r="AB132">
        <v>27</v>
      </c>
      <c r="AC132" t="s">
        <v>70</v>
      </c>
      <c r="AD132" t="s">
        <v>60</v>
      </c>
      <c r="AE132">
        <v>2</v>
      </c>
      <c r="AF132">
        <v>0</v>
      </c>
      <c r="AG132">
        <v>1</v>
      </c>
      <c r="AH132">
        <v>3</v>
      </c>
      <c r="AI132">
        <v>0</v>
      </c>
      <c r="AJ132">
        <v>1</v>
      </c>
      <c r="AK132">
        <v>2</v>
      </c>
      <c r="AL132">
        <v>0</v>
      </c>
      <c r="AM132">
        <v>0</v>
      </c>
      <c r="AN132">
        <v>2</v>
      </c>
      <c r="AO132">
        <v>9</v>
      </c>
      <c r="AP132">
        <v>2</v>
      </c>
      <c r="AQ132">
        <v>81.818181818181003</v>
      </c>
      <c r="AR132" s="2">
        <v>45736.922615740739</v>
      </c>
      <c r="AS132" s="2">
        <v>46041.764120370368</v>
      </c>
      <c r="AT132" t="s">
        <v>61</v>
      </c>
      <c r="AU132" t="s">
        <v>62</v>
      </c>
      <c r="AV132">
        <v>305</v>
      </c>
    </row>
    <row r="133" spans="1:48" x14ac:dyDescent="0.25">
      <c r="A133">
        <v>451</v>
      </c>
      <c r="B133" t="s">
        <v>694</v>
      </c>
      <c r="C133" t="s">
        <v>695</v>
      </c>
      <c r="D133" t="s">
        <v>696</v>
      </c>
      <c r="E133" t="s">
        <v>697</v>
      </c>
      <c r="F133" t="s">
        <v>698</v>
      </c>
      <c r="G133" t="s">
        <v>53</v>
      </c>
      <c r="H133" s="1">
        <v>38697</v>
      </c>
      <c r="I133">
        <v>21</v>
      </c>
      <c r="J133">
        <v>2005</v>
      </c>
      <c r="K133" s="1">
        <v>44744</v>
      </c>
      <c r="L133">
        <v>2022</v>
      </c>
      <c r="M133" t="s">
        <v>54</v>
      </c>
      <c r="N133">
        <v>16</v>
      </c>
      <c r="O133" t="s">
        <v>280</v>
      </c>
      <c r="P133" t="s">
        <v>119</v>
      </c>
      <c r="Q133">
        <v>120</v>
      </c>
      <c r="R133">
        <v>6</v>
      </c>
      <c r="S133" t="s">
        <v>140</v>
      </c>
      <c r="T133" t="s">
        <v>141</v>
      </c>
      <c r="U133">
        <v>12</v>
      </c>
      <c r="V133">
        <v>13</v>
      </c>
      <c r="W133">
        <v>13</v>
      </c>
      <c r="X133">
        <v>11</v>
      </c>
      <c r="Y133">
        <v>3</v>
      </c>
      <c r="Z133">
        <v>12</v>
      </c>
      <c r="AA133">
        <v>2.4583330000000001</v>
      </c>
      <c r="AB133">
        <v>29.5</v>
      </c>
      <c r="AC133" t="s">
        <v>70</v>
      </c>
      <c r="AD133" t="s">
        <v>60</v>
      </c>
      <c r="AE133">
        <v>1</v>
      </c>
      <c r="AF133">
        <v>0</v>
      </c>
      <c r="AG133">
        <v>4</v>
      </c>
      <c r="AH133">
        <v>2</v>
      </c>
      <c r="AI133">
        <v>0</v>
      </c>
      <c r="AJ133">
        <v>1</v>
      </c>
      <c r="AK133">
        <v>1</v>
      </c>
      <c r="AL133">
        <v>0</v>
      </c>
      <c r="AM133">
        <v>1</v>
      </c>
      <c r="AN133">
        <v>2</v>
      </c>
      <c r="AO133">
        <v>10</v>
      </c>
      <c r="AP133">
        <v>2</v>
      </c>
      <c r="AQ133">
        <v>83.333333333333002</v>
      </c>
      <c r="AR133" s="2">
        <v>45735.054814814815</v>
      </c>
      <c r="AS133" s="2">
        <v>46077.591307870367</v>
      </c>
      <c r="AT133" t="s">
        <v>61</v>
      </c>
      <c r="AU133" t="s">
        <v>62</v>
      </c>
      <c r="AV133">
        <v>342</v>
      </c>
    </row>
    <row r="134" spans="1:48" x14ac:dyDescent="0.25">
      <c r="A134">
        <v>454</v>
      </c>
      <c r="B134" t="s">
        <v>699</v>
      </c>
      <c r="C134" t="s">
        <v>700</v>
      </c>
      <c r="D134" t="s">
        <v>701</v>
      </c>
      <c r="E134" t="s">
        <v>702</v>
      </c>
      <c r="F134" t="s">
        <v>703</v>
      </c>
      <c r="G134" t="s">
        <v>53</v>
      </c>
      <c r="H134" s="1">
        <v>34895</v>
      </c>
      <c r="I134">
        <v>31</v>
      </c>
      <c r="J134">
        <v>1995</v>
      </c>
      <c r="K134" s="1">
        <v>44833</v>
      </c>
      <c r="L134">
        <v>2022</v>
      </c>
      <c r="M134" t="s">
        <v>111</v>
      </c>
      <c r="N134">
        <v>16</v>
      </c>
      <c r="O134" t="s">
        <v>280</v>
      </c>
      <c r="P134" t="s">
        <v>119</v>
      </c>
      <c r="Q134">
        <v>120</v>
      </c>
      <c r="R134">
        <v>6</v>
      </c>
      <c r="S134" t="s">
        <v>140</v>
      </c>
      <c r="T134" t="s">
        <v>141</v>
      </c>
      <c r="U134">
        <v>13</v>
      </c>
      <c r="V134">
        <v>13</v>
      </c>
      <c r="W134">
        <v>13</v>
      </c>
      <c r="X134">
        <v>11</v>
      </c>
      <c r="Y134">
        <v>3</v>
      </c>
      <c r="Z134">
        <v>12</v>
      </c>
      <c r="AA134">
        <v>2.5833330000000001</v>
      </c>
      <c r="AB134">
        <v>31</v>
      </c>
      <c r="AC134" t="s">
        <v>70</v>
      </c>
      <c r="AD134" t="s">
        <v>60</v>
      </c>
      <c r="AE134">
        <v>2</v>
      </c>
      <c r="AF134">
        <v>0</v>
      </c>
      <c r="AG134">
        <v>2</v>
      </c>
      <c r="AH134">
        <v>2</v>
      </c>
      <c r="AI134">
        <v>0</v>
      </c>
      <c r="AJ134">
        <v>2</v>
      </c>
      <c r="AK134">
        <v>2</v>
      </c>
      <c r="AL134">
        <v>0</v>
      </c>
      <c r="AM134">
        <v>1</v>
      </c>
      <c r="AN134">
        <v>1</v>
      </c>
      <c r="AO134">
        <v>11</v>
      </c>
      <c r="AP134">
        <v>1</v>
      </c>
      <c r="AQ134">
        <v>91.666666666666003</v>
      </c>
      <c r="AR134" s="2">
        <v>45737.768611111111</v>
      </c>
      <c r="AS134" s="2">
        <v>46059.786620370367</v>
      </c>
      <c r="AT134" t="s">
        <v>61</v>
      </c>
      <c r="AU134" t="s">
        <v>62</v>
      </c>
      <c r="AV134">
        <v>322</v>
      </c>
    </row>
    <row r="135" spans="1:48" x14ac:dyDescent="0.25">
      <c r="A135">
        <v>920</v>
      </c>
      <c r="B135" t="s">
        <v>704</v>
      </c>
      <c r="C135" t="s">
        <v>172</v>
      </c>
      <c r="D135" t="s">
        <v>404</v>
      </c>
      <c r="E135" t="s">
        <v>705</v>
      </c>
      <c r="F135" t="s">
        <v>706</v>
      </c>
      <c r="G135" t="s">
        <v>104</v>
      </c>
      <c r="H135" s="1">
        <v>39459</v>
      </c>
      <c r="I135">
        <v>18</v>
      </c>
      <c r="J135">
        <v>2008</v>
      </c>
      <c r="K135" s="1">
        <v>44936</v>
      </c>
      <c r="L135">
        <v>2023</v>
      </c>
      <c r="M135" t="s">
        <v>54</v>
      </c>
      <c r="N135">
        <v>5</v>
      </c>
      <c r="O135" t="s">
        <v>84</v>
      </c>
      <c r="P135" t="s">
        <v>56</v>
      </c>
      <c r="Q135">
        <v>36</v>
      </c>
      <c r="R135">
        <v>2</v>
      </c>
      <c r="S135" t="s">
        <v>85</v>
      </c>
      <c r="T135" t="s">
        <v>86</v>
      </c>
      <c r="U135">
        <v>13</v>
      </c>
      <c r="V135">
        <v>13</v>
      </c>
      <c r="W135">
        <v>13</v>
      </c>
      <c r="X135">
        <v>11</v>
      </c>
      <c r="Y135">
        <v>3</v>
      </c>
      <c r="Z135">
        <v>9</v>
      </c>
      <c r="AA135">
        <v>1.3888879999999999</v>
      </c>
      <c r="AB135">
        <v>12.5</v>
      </c>
      <c r="AC135" t="s">
        <v>70</v>
      </c>
      <c r="AD135" t="s">
        <v>281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2</v>
      </c>
      <c r="AK135">
        <v>1</v>
      </c>
      <c r="AL135">
        <v>0</v>
      </c>
      <c r="AM135">
        <v>2</v>
      </c>
      <c r="AN135">
        <v>3</v>
      </c>
      <c r="AO135">
        <v>6</v>
      </c>
      <c r="AP135">
        <v>3</v>
      </c>
      <c r="AQ135">
        <v>66.666666666666003</v>
      </c>
      <c r="AR135" s="2">
        <v>45751.684074074074</v>
      </c>
      <c r="AS135" s="2">
        <v>46040.574907407405</v>
      </c>
      <c r="AT135" t="s">
        <v>61</v>
      </c>
      <c r="AU135" t="s">
        <v>62</v>
      </c>
      <c r="AV135">
        <v>289</v>
      </c>
    </row>
    <row r="136" spans="1:48" x14ac:dyDescent="0.25">
      <c r="A136">
        <v>26</v>
      </c>
      <c r="B136" t="s">
        <v>707</v>
      </c>
      <c r="C136" t="s">
        <v>708</v>
      </c>
      <c r="D136" t="s">
        <v>709</v>
      </c>
      <c r="E136" t="s">
        <v>710</v>
      </c>
      <c r="F136" t="s">
        <v>711</v>
      </c>
      <c r="G136" t="s">
        <v>53</v>
      </c>
      <c r="H136" s="1">
        <v>37110</v>
      </c>
      <c r="I136">
        <v>25</v>
      </c>
      <c r="J136">
        <v>2001</v>
      </c>
      <c r="K136" s="1">
        <v>45099</v>
      </c>
      <c r="L136">
        <v>2023</v>
      </c>
      <c r="M136" t="s">
        <v>111</v>
      </c>
      <c r="N136">
        <v>17</v>
      </c>
      <c r="O136" t="s">
        <v>350</v>
      </c>
      <c r="P136" t="s">
        <v>56</v>
      </c>
      <c r="Q136">
        <v>36</v>
      </c>
      <c r="R136">
        <v>6</v>
      </c>
      <c r="S136" t="s">
        <v>140</v>
      </c>
      <c r="T136" t="s">
        <v>141</v>
      </c>
      <c r="U136">
        <v>13</v>
      </c>
      <c r="V136">
        <v>13</v>
      </c>
      <c r="W136">
        <v>13</v>
      </c>
      <c r="X136">
        <v>11</v>
      </c>
      <c r="Y136">
        <v>3</v>
      </c>
      <c r="Z136">
        <v>10</v>
      </c>
      <c r="AA136">
        <v>1.9</v>
      </c>
      <c r="AB136">
        <v>19</v>
      </c>
      <c r="AC136" t="s">
        <v>70</v>
      </c>
      <c r="AD136" t="s">
        <v>60</v>
      </c>
      <c r="AE136">
        <v>1</v>
      </c>
      <c r="AF136">
        <v>0</v>
      </c>
      <c r="AG136">
        <v>3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2</v>
      </c>
      <c r="AN136">
        <v>3</v>
      </c>
      <c r="AO136">
        <v>7</v>
      </c>
      <c r="AP136">
        <v>3</v>
      </c>
      <c r="AQ136">
        <v>70</v>
      </c>
      <c r="AR136" s="2">
        <v>45737.027662037035</v>
      </c>
      <c r="AS136" s="2">
        <v>46074.786805555559</v>
      </c>
      <c r="AT136" t="s">
        <v>61</v>
      </c>
      <c r="AU136" t="s">
        <v>62</v>
      </c>
      <c r="AV136">
        <v>337</v>
      </c>
    </row>
    <row r="137" spans="1:48" x14ac:dyDescent="0.25">
      <c r="A137">
        <v>761</v>
      </c>
      <c r="B137" t="s">
        <v>712</v>
      </c>
      <c r="C137" t="s">
        <v>491</v>
      </c>
      <c r="D137" t="s">
        <v>713</v>
      </c>
      <c r="E137" t="s">
        <v>714</v>
      </c>
      <c r="F137" t="s">
        <v>715</v>
      </c>
      <c r="G137" t="s">
        <v>53</v>
      </c>
      <c r="H137" s="1">
        <v>35739</v>
      </c>
      <c r="I137">
        <v>29</v>
      </c>
      <c r="J137">
        <v>1997</v>
      </c>
      <c r="K137" s="1">
        <v>45180</v>
      </c>
      <c r="L137">
        <v>2023</v>
      </c>
      <c r="M137" t="s">
        <v>54</v>
      </c>
      <c r="N137">
        <v>9</v>
      </c>
      <c r="O137" t="s">
        <v>151</v>
      </c>
      <c r="P137" t="s">
        <v>69</v>
      </c>
      <c r="Q137">
        <v>60</v>
      </c>
      <c r="R137">
        <v>3</v>
      </c>
      <c r="S137" t="s">
        <v>126</v>
      </c>
      <c r="T137" t="s">
        <v>127</v>
      </c>
      <c r="U137">
        <v>12</v>
      </c>
      <c r="V137">
        <v>13</v>
      </c>
      <c r="W137">
        <v>13</v>
      </c>
      <c r="X137">
        <v>10</v>
      </c>
      <c r="Y137">
        <v>3</v>
      </c>
      <c r="Z137">
        <v>12</v>
      </c>
      <c r="AA137">
        <v>2.125</v>
      </c>
      <c r="AB137">
        <v>25.5</v>
      </c>
      <c r="AC137" t="s">
        <v>70</v>
      </c>
      <c r="AD137" t="s">
        <v>60</v>
      </c>
      <c r="AE137">
        <v>1</v>
      </c>
      <c r="AF137">
        <v>0</v>
      </c>
      <c r="AG137">
        <v>2</v>
      </c>
      <c r="AH137">
        <v>1</v>
      </c>
      <c r="AI137">
        <v>0</v>
      </c>
      <c r="AJ137">
        <v>1</v>
      </c>
      <c r="AK137">
        <v>4</v>
      </c>
      <c r="AL137">
        <v>0</v>
      </c>
      <c r="AM137">
        <v>1</v>
      </c>
      <c r="AN137">
        <v>2</v>
      </c>
      <c r="AO137">
        <v>10</v>
      </c>
      <c r="AP137">
        <v>2</v>
      </c>
      <c r="AQ137">
        <v>83.333333333333002</v>
      </c>
      <c r="AR137" s="2">
        <v>45722.748692129629</v>
      </c>
      <c r="AS137" s="2">
        <v>46081.013032407405</v>
      </c>
      <c r="AT137" t="s">
        <v>61</v>
      </c>
      <c r="AU137" t="s">
        <v>62</v>
      </c>
      <c r="AV137">
        <v>359</v>
      </c>
    </row>
    <row r="138" spans="1:48" x14ac:dyDescent="0.25">
      <c r="A138">
        <v>711</v>
      </c>
      <c r="B138" t="s">
        <v>716</v>
      </c>
      <c r="C138" t="s">
        <v>717</v>
      </c>
      <c r="D138" t="s">
        <v>636</v>
      </c>
      <c r="E138" t="s">
        <v>718</v>
      </c>
      <c r="F138" t="s">
        <v>719</v>
      </c>
      <c r="G138" t="s">
        <v>53</v>
      </c>
      <c r="H138" s="1">
        <v>38334</v>
      </c>
      <c r="I138">
        <v>22</v>
      </c>
      <c r="J138">
        <v>2004</v>
      </c>
      <c r="K138" s="1">
        <v>45266</v>
      </c>
      <c r="L138">
        <v>2023</v>
      </c>
      <c r="M138" t="s">
        <v>54</v>
      </c>
      <c r="N138">
        <v>18</v>
      </c>
      <c r="O138" t="s">
        <v>139</v>
      </c>
      <c r="P138" t="s">
        <v>69</v>
      </c>
      <c r="Q138">
        <v>60</v>
      </c>
      <c r="R138">
        <v>6</v>
      </c>
      <c r="S138" t="s">
        <v>140</v>
      </c>
      <c r="T138" t="s">
        <v>141</v>
      </c>
      <c r="U138">
        <v>11</v>
      </c>
      <c r="V138">
        <v>12</v>
      </c>
      <c r="W138">
        <v>12</v>
      </c>
      <c r="X138">
        <v>12</v>
      </c>
      <c r="Y138">
        <v>3</v>
      </c>
      <c r="Z138">
        <v>11</v>
      </c>
      <c r="AA138">
        <v>2.8636360000000001</v>
      </c>
      <c r="AB138">
        <v>31.5</v>
      </c>
      <c r="AC138" t="s">
        <v>70</v>
      </c>
      <c r="AD138" t="s">
        <v>60</v>
      </c>
      <c r="AE138">
        <v>4</v>
      </c>
      <c r="AF138">
        <v>0</v>
      </c>
      <c r="AG138">
        <v>1</v>
      </c>
      <c r="AH138">
        <v>1</v>
      </c>
      <c r="AI138">
        <v>0</v>
      </c>
      <c r="AJ138">
        <v>2</v>
      </c>
      <c r="AK138">
        <v>2</v>
      </c>
      <c r="AL138">
        <v>0</v>
      </c>
      <c r="AM138">
        <v>0</v>
      </c>
      <c r="AN138">
        <v>1</v>
      </c>
      <c r="AO138">
        <v>10</v>
      </c>
      <c r="AP138">
        <v>1</v>
      </c>
      <c r="AQ138">
        <v>90.909090909089997</v>
      </c>
      <c r="AR138" s="2">
        <v>45721.899675925924</v>
      </c>
      <c r="AS138" s="2">
        <v>46076.235405092593</v>
      </c>
      <c r="AT138" t="s">
        <v>61</v>
      </c>
      <c r="AU138" t="s">
        <v>62</v>
      </c>
      <c r="AV138">
        <v>355</v>
      </c>
    </row>
    <row r="139" spans="1:48" x14ac:dyDescent="0.25">
      <c r="A139">
        <v>871</v>
      </c>
      <c r="B139" t="s">
        <v>720</v>
      </c>
      <c r="C139" t="s">
        <v>472</v>
      </c>
      <c r="D139" t="s">
        <v>721</v>
      </c>
      <c r="E139" t="s">
        <v>722</v>
      </c>
      <c r="F139" t="s">
        <v>723</v>
      </c>
      <c r="G139" t="s">
        <v>53</v>
      </c>
      <c r="H139" s="1">
        <v>34877</v>
      </c>
      <c r="I139">
        <v>31</v>
      </c>
      <c r="J139">
        <v>1995</v>
      </c>
      <c r="K139" s="1">
        <v>44751</v>
      </c>
      <c r="L139">
        <v>2022</v>
      </c>
      <c r="M139" t="s">
        <v>54</v>
      </c>
      <c r="N139">
        <v>17</v>
      </c>
      <c r="O139" t="s">
        <v>350</v>
      </c>
      <c r="P139" t="s">
        <v>56</v>
      </c>
      <c r="Q139">
        <v>36</v>
      </c>
      <c r="R139">
        <v>6</v>
      </c>
      <c r="S139" t="s">
        <v>140</v>
      </c>
      <c r="T139" t="s">
        <v>141</v>
      </c>
      <c r="U139">
        <v>12</v>
      </c>
      <c r="V139">
        <v>12</v>
      </c>
      <c r="W139">
        <v>12</v>
      </c>
      <c r="X139">
        <v>12</v>
      </c>
      <c r="Y139">
        <v>3</v>
      </c>
      <c r="Z139">
        <v>9</v>
      </c>
      <c r="AA139">
        <v>2.6666660000000002</v>
      </c>
      <c r="AB139">
        <v>24</v>
      </c>
      <c r="AC139" t="s">
        <v>70</v>
      </c>
      <c r="AD139" t="s">
        <v>60</v>
      </c>
      <c r="AE139">
        <v>2</v>
      </c>
      <c r="AF139">
        <v>0</v>
      </c>
      <c r="AG139">
        <v>1</v>
      </c>
      <c r="AH139">
        <v>1</v>
      </c>
      <c r="AI139">
        <v>0</v>
      </c>
      <c r="AJ139">
        <v>3</v>
      </c>
      <c r="AK139">
        <v>1</v>
      </c>
      <c r="AL139">
        <v>0</v>
      </c>
      <c r="AM139">
        <v>0</v>
      </c>
      <c r="AN139">
        <v>1</v>
      </c>
      <c r="AO139">
        <v>8</v>
      </c>
      <c r="AP139">
        <v>1</v>
      </c>
      <c r="AQ139">
        <v>88.888888888888005</v>
      </c>
      <c r="AR139" s="2">
        <v>45728.341666666667</v>
      </c>
      <c r="AS139" s="2">
        <v>46080.436898148146</v>
      </c>
      <c r="AT139" t="s">
        <v>61</v>
      </c>
      <c r="AU139" t="s">
        <v>62</v>
      </c>
      <c r="AV139">
        <v>352</v>
      </c>
    </row>
    <row r="140" spans="1:48" x14ac:dyDescent="0.25">
      <c r="A140">
        <v>476</v>
      </c>
      <c r="B140" t="s">
        <v>724</v>
      </c>
      <c r="C140" t="s">
        <v>725</v>
      </c>
      <c r="D140" t="s">
        <v>726</v>
      </c>
      <c r="E140" t="s">
        <v>727</v>
      </c>
      <c r="F140" t="s">
        <v>728</v>
      </c>
      <c r="G140" t="s">
        <v>53</v>
      </c>
      <c r="H140" s="1">
        <v>35463</v>
      </c>
      <c r="I140">
        <v>29</v>
      </c>
      <c r="J140">
        <v>1997</v>
      </c>
      <c r="K140" s="1">
        <v>45075</v>
      </c>
      <c r="L140">
        <v>2023</v>
      </c>
      <c r="M140" t="s">
        <v>54</v>
      </c>
      <c r="N140">
        <v>11</v>
      </c>
      <c r="O140" t="s">
        <v>378</v>
      </c>
      <c r="P140" t="s">
        <v>56</v>
      </c>
      <c r="Q140">
        <v>36</v>
      </c>
      <c r="R140">
        <v>4</v>
      </c>
      <c r="S140" t="s">
        <v>77</v>
      </c>
      <c r="T140" t="s">
        <v>78</v>
      </c>
      <c r="U140">
        <v>11</v>
      </c>
      <c r="V140">
        <v>12</v>
      </c>
      <c r="W140">
        <v>12</v>
      </c>
      <c r="X140">
        <v>9</v>
      </c>
      <c r="Y140">
        <v>3</v>
      </c>
      <c r="Z140">
        <v>11</v>
      </c>
      <c r="AA140">
        <v>2.90909</v>
      </c>
      <c r="AB140">
        <v>32</v>
      </c>
      <c r="AC140" t="s">
        <v>59</v>
      </c>
      <c r="AD140" t="s">
        <v>60</v>
      </c>
      <c r="AE140">
        <v>2</v>
      </c>
      <c r="AF140">
        <v>0</v>
      </c>
      <c r="AG140">
        <v>3</v>
      </c>
      <c r="AH140">
        <v>2</v>
      </c>
      <c r="AI140">
        <v>0</v>
      </c>
      <c r="AJ140">
        <v>1</v>
      </c>
      <c r="AK140">
        <v>2</v>
      </c>
      <c r="AL140">
        <v>0</v>
      </c>
      <c r="AM140">
        <v>1</v>
      </c>
      <c r="AN140">
        <v>0</v>
      </c>
      <c r="AO140">
        <v>11</v>
      </c>
      <c r="AP140">
        <v>0</v>
      </c>
      <c r="AQ140">
        <v>100</v>
      </c>
      <c r="AR140" s="2">
        <v>45723.664895833332</v>
      </c>
      <c r="AS140" s="2">
        <v>46078.70815972222</v>
      </c>
      <c r="AT140" t="s">
        <v>61</v>
      </c>
      <c r="AU140" t="s">
        <v>62</v>
      </c>
      <c r="AV140">
        <v>355</v>
      </c>
    </row>
    <row r="141" spans="1:48" x14ac:dyDescent="0.25">
      <c r="A141">
        <v>17</v>
      </c>
      <c r="B141" t="s">
        <v>729</v>
      </c>
      <c r="C141" t="s">
        <v>385</v>
      </c>
      <c r="D141" t="s">
        <v>562</v>
      </c>
      <c r="E141" t="s">
        <v>730</v>
      </c>
      <c r="F141" t="s">
        <v>731</v>
      </c>
      <c r="G141" t="s">
        <v>53</v>
      </c>
      <c r="H141" s="1">
        <v>37672</v>
      </c>
      <c r="I141">
        <v>23</v>
      </c>
      <c r="J141">
        <v>2003</v>
      </c>
      <c r="K141" s="1">
        <v>45675</v>
      </c>
      <c r="L141">
        <v>2025</v>
      </c>
      <c r="M141" t="s">
        <v>54</v>
      </c>
      <c r="N141">
        <v>21</v>
      </c>
      <c r="O141" t="s">
        <v>339</v>
      </c>
      <c r="P141" t="s">
        <v>69</v>
      </c>
      <c r="Q141">
        <v>60</v>
      </c>
      <c r="R141">
        <v>7</v>
      </c>
      <c r="S141" t="s">
        <v>163</v>
      </c>
      <c r="T141" t="s">
        <v>164</v>
      </c>
      <c r="U141">
        <v>11</v>
      </c>
      <c r="V141">
        <v>12</v>
      </c>
      <c r="W141">
        <v>12</v>
      </c>
      <c r="X141">
        <v>11</v>
      </c>
      <c r="Y141">
        <v>3</v>
      </c>
      <c r="Z141">
        <v>10</v>
      </c>
      <c r="AA141">
        <v>2.4</v>
      </c>
      <c r="AB141">
        <v>24</v>
      </c>
      <c r="AC141" t="s">
        <v>70</v>
      </c>
      <c r="AD141" t="s">
        <v>60</v>
      </c>
      <c r="AE141">
        <v>3</v>
      </c>
      <c r="AF141">
        <v>0</v>
      </c>
      <c r="AG141">
        <v>0</v>
      </c>
      <c r="AH141">
        <v>2</v>
      </c>
      <c r="AI141">
        <v>0</v>
      </c>
      <c r="AJ141">
        <v>0</v>
      </c>
      <c r="AK141">
        <v>2</v>
      </c>
      <c r="AL141">
        <v>0</v>
      </c>
      <c r="AM141">
        <v>2</v>
      </c>
      <c r="AN141">
        <v>1</v>
      </c>
      <c r="AO141">
        <v>9</v>
      </c>
      <c r="AP141">
        <v>1</v>
      </c>
      <c r="AQ141">
        <v>90</v>
      </c>
      <c r="AR141" s="2">
        <v>45735.134120370371</v>
      </c>
      <c r="AS141" s="2">
        <v>46059.696631944447</v>
      </c>
      <c r="AT141" t="s">
        <v>61</v>
      </c>
      <c r="AU141" t="s">
        <v>62</v>
      </c>
      <c r="AV141">
        <v>324</v>
      </c>
    </row>
    <row r="142" spans="1:48" x14ac:dyDescent="0.25">
      <c r="A142">
        <v>392</v>
      </c>
      <c r="B142" t="s">
        <v>732</v>
      </c>
      <c r="C142" t="s">
        <v>733</v>
      </c>
      <c r="D142" t="s">
        <v>734</v>
      </c>
      <c r="E142" t="s">
        <v>735</v>
      </c>
      <c r="F142" t="s">
        <v>736</v>
      </c>
      <c r="G142" t="s">
        <v>53</v>
      </c>
      <c r="H142" s="1">
        <v>39342</v>
      </c>
      <c r="I142">
        <v>19</v>
      </c>
      <c r="J142">
        <v>2007</v>
      </c>
      <c r="K142" s="1">
        <v>44875</v>
      </c>
      <c r="L142">
        <v>2022</v>
      </c>
      <c r="M142" t="s">
        <v>54</v>
      </c>
      <c r="N142">
        <v>1</v>
      </c>
      <c r="O142" t="s">
        <v>157</v>
      </c>
      <c r="P142" t="s">
        <v>119</v>
      </c>
      <c r="Q142">
        <v>120</v>
      </c>
      <c r="R142">
        <v>1</v>
      </c>
      <c r="S142" t="s">
        <v>57</v>
      </c>
      <c r="T142" t="s">
        <v>58</v>
      </c>
      <c r="U142">
        <v>12</v>
      </c>
      <c r="V142">
        <v>12</v>
      </c>
      <c r="W142">
        <v>12</v>
      </c>
      <c r="X142">
        <v>12</v>
      </c>
      <c r="Y142">
        <v>3</v>
      </c>
      <c r="Z142">
        <v>11</v>
      </c>
      <c r="AA142">
        <v>1.5454540000000001</v>
      </c>
      <c r="AB142">
        <v>17</v>
      </c>
      <c r="AC142" t="s">
        <v>70</v>
      </c>
      <c r="AD142" t="s">
        <v>60</v>
      </c>
      <c r="AE142">
        <v>1</v>
      </c>
      <c r="AF142">
        <v>0</v>
      </c>
      <c r="AG142">
        <v>1</v>
      </c>
      <c r="AH142">
        <v>1</v>
      </c>
      <c r="AI142">
        <v>0</v>
      </c>
      <c r="AJ142">
        <v>1</v>
      </c>
      <c r="AK142">
        <v>0</v>
      </c>
      <c r="AL142">
        <v>0</v>
      </c>
      <c r="AM142">
        <v>4</v>
      </c>
      <c r="AN142">
        <v>3</v>
      </c>
      <c r="AO142">
        <v>8</v>
      </c>
      <c r="AP142">
        <v>3</v>
      </c>
      <c r="AQ142">
        <v>72.727272727271995</v>
      </c>
      <c r="AR142" s="2">
        <v>45729.576724537037</v>
      </c>
      <c r="AS142" s="2">
        <v>46085.518101851849</v>
      </c>
      <c r="AT142" t="s">
        <v>61</v>
      </c>
      <c r="AU142" t="s">
        <v>62</v>
      </c>
      <c r="AV142">
        <v>356</v>
      </c>
    </row>
    <row r="143" spans="1:48" x14ac:dyDescent="0.25">
      <c r="A143">
        <v>769</v>
      </c>
      <c r="B143" t="s">
        <v>737</v>
      </c>
      <c r="C143" t="s">
        <v>201</v>
      </c>
      <c r="D143" t="s">
        <v>420</v>
      </c>
      <c r="E143" t="s">
        <v>738</v>
      </c>
      <c r="F143" t="s">
        <v>739</v>
      </c>
      <c r="G143" t="s">
        <v>53</v>
      </c>
      <c r="H143" s="1">
        <v>38136</v>
      </c>
      <c r="I143">
        <v>22</v>
      </c>
      <c r="J143">
        <v>2004</v>
      </c>
      <c r="K143" s="1">
        <v>45300</v>
      </c>
      <c r="L143">
        <v>2024</v>
      </c>
      <c r="M143" t="s">
        <v>54</v>
      </c>
      <c r="N143">
        <v>4</v>
      </c>
      <c r="O143" t="s">
        <v>215</v>
      </c>
      <c r="P143" t="s">
        <v>119</v>
      </c>
      <c r="Q143">
        <v>120</v>
      </c>
      <c r="R143">
        <v>2</v>
      </c>
      <c r="S143" t="s">
        <v>85</v>
      </c>
      <c r="T143" t="s">
        <v>86</v>
      </c>
      <c r="U143">
        <v>12</v>
      </c>
      <c r="V143">
        <v>12</v>
      </c>
      <c r="W143">
        <v>12</v>
      </c>
      <c r="X143">
        <v>10</v>
      </c>
      <c r="Y143">
        <v>3</v>
      </c>
      <c r="Z143">
        <v>9</v>
      </c>
      <c r="AA143">
        <v>2.055555</v>
      </c>
      <c r="AB143">
        <v>18.5</v>
      </c>
      <c r="AC143" t="s">
        <v>70</v>
      </c>
      <c r="AD143" t="s">
        <v>60</v>
      </c>
      <c r="AE143">
        <v>2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3</v>
      </c>
      <c r="AL143">
        <v>0</v>
      </c>
      <c r="AM143">
        <v>1</v>
      </c>
      <c r="AN143">
        <v>2</v>
      </c>
      <c r="AO143">
        <v>7</v>
      </c>
      <c r="AP143">
        <v>2</v>
      </c>
      <c r="AQ143">
        <v>77.777777777777004</v>
      </c>
      <c r="AR143" s="2">
        <v>45797.65415509259</v>
      </c>
      <c r="AS143" s="2">
        <v>46027.673935185187</v>
      </c>
      <c r="AT143" t="s">
        <v>61</v>
      </c>
      <c r="AU143" t="s">
        <v>62</v>
      </c>
      <c r="AV143">
        <v>230</v>
      </c>
    </row>
    <row r="144" spans="1:48" x14ac:dyDescent="0.25">
      <c r="A144">
        <v>483</v>
      </c>
      <c r="B144" t="s">
        <v>740</v>
      </c>
      <c r="C144" t="s">
        <v>741</v>
      </c>
      <c r="D144" t="s">
        <v>742</v>
      </c>
      <c r="E144" t="s">
        <v>743</v>
      </c>
      <c r="F144" t="s">
        <v>744</v>
      </c>
      <c r="G144" t="s">
        <v>104</v>
      </c>
      <c r="H144" s="1">
        <v>37178</v>
      </c>
      <c r="I144">
        <v>25</v>
      </c>
      <c r="J144">
        <v>2001</v>
      </c>
      <c r="K144" s="1">
        <v>45722</v>
      </c>
      <c r="L144">
        <v>2025</v>
      </c>
      <c r="M144" t="s">
        <v>111</v>
      </c>
      <c r="N144">
        <v>13</v>
      </c>
      <c r="O144" t="s">
        <v>146</v>
      </c>
      <c r="P144" t="s">
        <v>119</v>
      </c>
      <c r="Q144">
        <v>120</v>
      </c>
      <c r="R144">
        <v>5</v>
      </c>
      <c r="S144" t="s">
        <v>92</v>
      </c>
      <c r="T144" t="s">
        <v>93</v>
      </c>
      <c r="U144">
        <v>12</v>
      </c>
      <c r="V144">
        <v>12</v>
      </c>
      <c r="W144">
        <v>12</v>
      </c>
      <c r="X144">
        <v>11</v>
      </c>
      <c r="Y144">
        <v>3</v>
      </c>
      <c r="Z144">
        <v>10</v>
      </c>
      <c r="AA144">
        <v>2.2000000000000002</v>
      </c>
      <c r="AB144">
        <v>22</v>
      </c>
      <c r="AC144" t="s">
        <v>70</v>
      </c>
      <c r="AD144" t="s">
        <v>60</v>
      </c>
      <c r="AE144">
        <v>3</v>
      </c>
      <c r="AF144">
        <v>0</v>
      </c>
      <c r="AG144">
        <v>0</v>
      </c>
      <c r="AH144">
        <v>2</v>
      </c>
      <c r="AI144">
        <v>0</v>
      </c>
      <c r="AJ144">
        <v>0</v>
      </c>
      <c r="AK144">
        <v>1</v>
      </c>
      <c r="AL144">
        <v>0</v>
      </c>
      <c r="AM144">
        <v>2</v>
      </c>
      <c r="AN144">
        <v>2</v>
      </c>
      <c r="AO144">
        <v>8</v>
      </c>
      <c r="AP144">
        <v>2</v>
      </c>
      <c r="AQ144">
        <v>80</v>
      </c>
      <c r="AR144" s="2">
        <v>45767.717604166668</v>
      </c>
      <c r="AS144" s="2">
        <v>46086.289259259262</v>
      </c>
      <c r="AT144" t="s">
        <v>61</v>
      </c>
      <c r="AU144" t="s">
        <v>62</v>
      </c>
      <c r="AV144">
        <v>319</v>
      </c>
    </row>
    <row r="145" spans="1:48" x14ac:dyDescent="0.25">
      <c r="A145">
        <v>749</v>
      </c>
      <c r="B145" t="s">
        <v>745</v>
      </c>
      <c r="C145" t="s">
        <v>746</v>
      </c>
      <c r="D145" t="s">
        <v>747</v>
      </c>
      <c r="E145" t="s">
        <v>748</v>
      </c>
      <c r="F145" t="s">
        <v>749</v>
      </c>
      <c r="G145" t="s">
        <v>53</v>
      </c>
      <c r="H145" s="1">
        <v>38014</v>
      </c>
      <c r="I145">
        <v>22</v>
      </c>
      <c r="J145">
        <v>2004</v>
      </c>
      <c r="K145" s="1">
        <v>45980</v>
      </c>
      <c r="L145">
        <v>2025</v>
      </c>
      <c r="M145" t="s">
        <v>54</v>
      </c>
      <c r="N145">
        <v>3</v>
      </c>
      <c r="O145" t="s">
        <v>68</v>
      </c>
      <c r="P145" t="s">
        <v>69</v>
      </c>
      <c r="Q145">
        <v>60</v>
      </c>
      <c r="R145">
        <v>1</v>
      </c>
      <c r="S145" t="s">
        <v>57</v>
      </c>
      <c r="T145" t="s">
        <v>58</v>
      </c>
      <c r="U145">
        <v>12</v>
      </c>
      <c r="V145">
        <v>12</v>
      </c>
      <c r="W145">
        <v>12</v>
      </c>
      <c r="X145">
        <v>11</v>
      </c>
      <c r="Y145">
        <v>3</v>
      </c>
      <c r="Z145">
        <v>10</v>
      </c>
      <c r="AA145">
        <v>2.0499999999999998</v>
      </c>
      <c r="AB145">
        <v>20.5</v>
      </c>
      <c r="AC145" t="s">
        <v>70</v>
      </c>
      <c r="AD145" t="s">
        <v>281</v>
      </c>
      <c r="AE145">
        <v>0</v>
      </c>
      <c r="AF145">
        <v>0</v>
      </c>
      <c r="AG145">
        <v>3</v>
      </c>
      <c r="AH145">
        <v>0</v>
      </c>
      <c r="AI145">
        <v>0</v>
      </c>
      <c r="AJ145">
        <v>2</v>
      </c>
      <c r="AK145">
        <v>2</v>
      </c>
      <c r="AL145">
        <v>0</v>
      </c>
      <c r="AM145">
        <v>1</v>
      </c>
      <c r="AN145">
        <v>2</v>
      </c>
      <c r="AO145">
        <v>8</v>
      </c>
      <c r="AP145">
        <v>2</v>
      </c>
      <c r="AQ145">
        <v>80</v>
      </c>
      <c r="AR145" s="2">
        <v>45743.953865740739</v>
      </c>
      <c r="AS145" s="2">
        <v>45969.508692129632</v>
      </c>
      <c r="AT145" t="s">
        <v>61</v>
      </c>
      <c r="AU145" t="s">
        <v>62</v>
      </c>
      <c r="AV145">
        <v>226</v>
      </c>
    </row>
    <row r="146" spans="1:48" x14ac:dyDescent="0.25">
      <c r="A146">
        <v>297</v>
      </c>
      <c r="B146" t="s">
        <v>750</v>
      </c>
      <c r="C146" t="s">
        <v>187</v>
      </c>
      <c r="D146" t="s">
        <v>751</v>
      </c>
      <c r="E146" t="s">
        <v>752</v>
      </c>
      <c r="F146" t="s">
        <v>753</v>
      </c>
      <c r="G146" t="s">
        <v>104</v>
      </c>
      <c r="H146" s="1">
        <v>38418</v>
      </c>
      <c r="I146">
        <v>21</v>
      </c>
      <c r="J146">
        <v>2005</v>
      </c>
      <c r="K146" s="1">
        <v>44872</v>
      </c>
      <c r="L146">
        <v>2022</v>
      </c>
      <c r="M146" t="s">
        <v>111</v>
      </c>
      <c r="N146">
        <v>15</v>
      </c>
      <c r="O146" t="s">
        <v>91</v>
      </c>
      <c r="P146" t="s">
        <v>69</v>
      </c>
      <c r="Q146">
        <v>60</v>
      </c>
      <c r="R146">
        <v>5</v>
      </c>
      <c r="S146" t="s">
        <v>92</v>
      </c>
      <c r="T146" t="s">
        <v>93</v>
      </c>
      <c r="U146">
        <v>12</v>
      </c>
      <c r="V146">
        <v>12</v>
      </c>
      <c r="W146">
        <v>12</v>
      </c>
      <c r="X146">
        <v>11</v>
      </c>
      <c r="Y146">
        <v>3</v>
      </c>
      <c r="Z146">
        <v>11</v>
      </c>
      <c r="AA146">
        <v>1.636363</v>
      </c>
      <c r="AB146">
        <v>18</v>
      </c>
      <c r="AC146" t="s">
        <v>70</v>
      </c>
      <c r="AD146" t="s">
        <v>112</v>
      </c>
      <c r="AE146">
        <v>0</v>
      </c>
      <c r="AF146">
        <v>0</v>
      </c>
      <c r="AG146">
        <v>1</v>
      </c>
      <c r="AH146">
        <v>1</v>
      </c>
      <c r="AI146">
        <v>0</v>
      </c>
      <c r="AJ146">
        <v>3</v>
      </c>
      <c r="AK146">
        <v>0</v>
      </c>
      <c r="AL146">
        <v>0</v>
      </c>
      <c r="AM146">
        <v>4</v>
      </c>
      <c r="AN146">
        <v>2</v>
      </c>
      <c r="AO146">
        <v>9</v>
      </c>
      <c r="AP146">
        <v>2</v>
      </c>
      <c r="AQ146">
        <v>81.818181818181003</v>
      </c>
      <c r="AR146" s="2">
        <v>45721.560844907406</v>
      </c>
      <c r="AS146" s="2">
        <v>45987.614884259259</v>
      </c>
      <c r="AT146" t="s">
        <v>61</v>
      </c>
      <c r="AU146" t="s">
        <v>62</v>
      </c>
      <c r="AV146">
        <v>266</v>
      </c>
    </row>
    <row r="147" spans="1:48" x14ac:dyDescent="0.25">
      <c r="A147">
        <v>147</v>
      </c>
      <c r="B147" t="s">
        <v>754</v>
      </c>
      <c r="C147" t="s">
        <v>755</v>
      </c>
      <c r="D147" t="s">
        <v>756</v>
      </c>
      <c r="E147" t="s">
        <v>757</v>
      </c>
      <c r="F147">
        <f>1-928-227-4225</f>
        <v>-5379</v>
      </c>
      <c r="G147" t="s">
        <v>104</v>
      </c>
      <c r="H147" s="1">
        <v>38873</v>
      </c>
      <c r="I147">
        <v>20</v>
      </c>
      <c r="J147">
        <v>2006</v>
      </c>
      <c r="K147" s="1">
        <v>46015</v>
      </c>
      <c r="L147">
        <v>2025</v>
      </c>
      <c r="M147" t="s">
        <v>54</v>
      </c>
      <c r="N147">
        <v>11</v>
      </c>
      <c r="O147" t="s">
        <v>378</v>
      </c>
      <c r="P147" t="s">
        <v>56</v>
      </c>
      <c r="Q147">
        <v>36</v>
      </c>
      <c r="R147">
        <v>4</v>
      </c>
      <c r="S147" t="s">
        <v>77</v>
      </c>
      <c r="T147" t="s">
        <v>78</v>
      </c>
      <c r="U147">
        <v>11</v>
      </c>
      <c r="V147">
        <v>12</v>
      </c>
      <c r="W147">
        <v>12</v>
      </c>
      <c r="X147">
        <v>10</v>
      </c>
      <c r="Y147">
        <v>3</v>
      </c>
      <c r="Z147">
        <v>9</v>
      </c>
      <c r="AA147">
        <v>1.8333330000000001</v>
      </c>
      <c r="AB147">
        <v>16.5</v>
      </c>
      <c r="AC147" t="s">
        <v>70</v>
      </c>
      <c r="AD147" t="s">
        <v>60</v>
      </c>
      <c r="AE147">
        <v>1</v>
      </c>
      <c r="AF147">
        <v>0</v>
      </c>
      <c r="AG147">
        <v>0</v>
      </c>
      <c r="AH147">
        <v>2</v>
      </c>
      <c r="AI147">
        <v>0</v>
      </c>
      <c r="AJ147">
        <v>1</v>
      </c>
      <c r="AK147">
        <v>1</v>
      </c>
      <c r="AL147">
        <v>0</v>
      </c>
      <c r="AM147">
        <v>2</v>
      </c>
      <c r="AN147">
        <v>2</v>
      </c>
      <c r="AO147">
        <v>7</v>
      </c>
      <c r="AP147">
        <v>2</v>
      </c>
      <c r="AQ147">
        <v>77.777777777777004</v>
      </c>
      <c r="AR147" s="2">
        <v>45734.673414351855</v>
      </c>
      <c r="AS147" s="2">
        <v>46084.127187500002</v>
      </c>
      <c r="AT147" t="s">
        <v>61</v>
      </c>
      <c r="AU147" t="s">
        <v>62</v>
      </c>
      <c r="AV147">
        <v>350</v>
      </c>
    </row>
    <row r="148" spans="1:48" x14ac:dyDescent="0.25">
      <c r="A148">
        <v>122</v>
      </c>
      <c r="B148" t="s">
        <v>758</v>
      </c>
      <c r="C148" t="s">
        <v>95</v>
      </c>
      <c r="D148" t="s">
        <v>759</v>
      </c>
      <c r="E148" t="s">
        <v>760</v>
      </c>
      <c r="F148" t="s">
        <v>761</v>
      </c>
      <c r="G148" t="s">
        <v>53</v>
      </c>
      <c r="H148" s="1">
        <v>35755</v>
      </c>
      <c r="I148">
        <v>29</v>
      </c>
      <c r="J148">
        <v>1997</v>
      </c>
      <c r="K148" s="1">
        <v>45950</v>
      </c>
      <c r="L148">
        <v>2025</v>
      </c>
      <c r="M148" t="s">
        <v>54</v>
      </c>
      <c r="N148">
        <v>5</v>
      </c>
      <c r="O148" t="s">
        <v>84</v>
      </c>
      <c r="P148" t="s">
        <v>56</v>
      </c>
      <c r="Q148">
        <v>36</v>
      </c>
      <c r="R148">
        <v>2</v>
      </c>
      <c r="S148" t="s">
        <v>85</v>
      </c>
      <c r="T148" t="s">
        <v>86</v>
      </c>
      <c r="U148">
        <v>12</v>
      </c>
      <c r="V148">
        <v>12</v>
      </c>
      <c r="W148">
        <v>12</v>
      </c>
      <c r="X148">
        <v>11</v>
      </c>
      <c r="Y148">
        <v>3</v>
      </c>
      <c r="Z148">
        <v>9</v>
      </c>
      <c r="AA148">
        <v>1.7222219999999999</v>
      </c>
      <c r="AB148">
        <v>15.5</v>
      </c>
      <c r="AC148" t="s">
        <v>70</v>
      </c>
      <c r="AD148" t="s">
        <v>60</v>
      </c>
      <c r="AE148">
        <v>1</v>
      </c>
      <c r="AF148">
        <v>0</v>
      </c>
      <c r="AG148">
        <v>1</v>
      </c>
      <c r="AH148">
        <v>2</v>
      </c>
      <c r="AI148">
        <v>0</v>
      </c>
      <c r="AJ148">
        <v>0</v>
      </c>
      <c r="AK148">
        <v>1</v>
      </c>
      <c r="AL148">
        <v>0</v>
      </c>
      <c r="AM148">
        <v>0</v>
      </c>
      <c r="AN148">
        <v>4</v>
      </c>
      <c r="AO148">
        <v>5</v>
      </c>
      <c r="AP148">
        <v>4</v>
      </c>
      <c r="AQ148">
        <v>55.555555555555003</v>
      </c>
      <c r="AR148" s="2">
        <v>45739.630879629629</v>
      </c>
      <c r="AS148" s="2">
        <v>46037.367789351854</v>
      </c>
      <c r="AT148" t="s">
        <v>61</v>
      </c>
      <c r="AU148" t="s">
        <v>62</v>
      </c>
      <c r="AV148">
        <v>298</v>
      </c>
    </row>
    <row r="149" spans="1:48" x14ac:dyDescent="0.25">
      <c r="A149">
        <v>289</v>
      </c>
      <c r="B149" t="s">
        <v>762</v>
      </c>
      <c r="C149" t="s">
        <v>763</v>
      </c>
      <c r="D149" t="s">
        <v>96</v>
      </c>
      <c r="E149" t="s">
        <v>764</v>
      </c>
      <c r="F149" t="s">
        <v>765</v>
      </c>
      <c r="G149" t="s">
        <v>104</v>
      </c>
      <c r="H149" s="1">
        <v>37298</v>
      </c>
      <c r="I149">
        <v>24</v>
      </c>
      <c r="J149">
        <v>2002</v>
      </c>
      <c r="K149" s="1">
        <v>45501</v>
      </c>
      <c r="L149">
        <v>2024</v>
      </c>
      <c r="M149" t="s">
        <v>54</v>
      </c>
      <c r="N149">
        <v>13</v>
      </c>
      <c r="O149" t="s">
        <v>146</v>
      </c>
      <c r="P149" t="s">
        <v>119</v>
      </c>
      <c r="Q149">
        <v>120</v>
      </c>
      <c r="R149">
        <v>5</v>
      </c>
      <c r="S149" t="s">
        <v>92</v>
      </c>
      <c r="T149" t="s">
        <v>93</v>
      </c>
      <c r="U149">
        <v>12</v>
      </c>
      <c r="V149">
        <v>12</v>
      </c>
      <c r="W149">
        <v>12</v>
      </c>
      <c r="X149">
        <v>12</v>
      </c>
      <c r="Y149">
        <v>3</v>
      </c>
      <c r="Z149">
        <v>12</v>
      </c>
      <c r="AA149">
        <v>2.3333330000000001</v>
      </c>
      <c r="AB149">
        <v>28</v>
      </c>
      <c r="AC149" t="s">
        <v>70</v>
      </c>
      <c r="AD149" t="s">
        <v>60</v>
      </c>
      <c r="AE149">
        <v>2</v>
      </c>
      <c r="AF149">
        <v>0</v>
      </c>
      <c r="AG149">
        <v>2</v>
      </c>
      <c r="AH149">
        <v>0</v>
      </c>
      <c r="AI149">
        <v>0</v>
      </c>
      <c r="AJ149">
        <v>2</v>
      </c>
      <c r="AK149">
        <v>3</v>
      </c>
      <c r="AL149">
        <v>0</v>
      </c>
      <c r="AM149">
        <v>2</v>
      </c>
      <c r="AN149">
        <v>1</v>
      </c>
      <c r="AO149">
        <v>11</v>
      </c>
      <c r="AP149">
        <v>1</v>
      </c>
      <c r="AQ149">
        <v>91.666666666666003</v>
      </c>
      <c r="AR149" s="2">
        <v>45745.718240740738</v>
      </c>
      <c r="AS149" s="2">
        <v>46049.020752314813</v>
      </c>
      <c r="AT149" t="s">
        <v>61</v>
      </c>
      <c r="AU149" t="s">
        <v>62</v>
      </c>
      <c r="AV149">
        <v>304</v>
      </c>
    </row>
    <row r="150" spans="1:48" x14ac:dyDescent="0.25">
      <c r="A150">
        <v>848</v>
      </c>
      <c r="B150" t="s">
        <v>766</v>
      </c>
      <c r="C150" t="s">
        <v>238</v>
      </c>
      <c r="D150" t="s">
        <v>311</v>
      </c>
      <c r="E150" t="s">
        <v>767</v>
      </c>
      <c r="F150" t="s">
        <v>768</v>
      </c>
      <c r="G150" t="s">
        <v>104</v>
      </c>
      <c r="H150" s="1">
        <v>34953</v>
      </c>
      <c r="I150">
        <v>31</v>
      </c>
      <c r="J150">
        <v>1995</v>
      </c>
      <c r="K150" s="1">
        <v>45486</v>
      </c>
      <c r="L150">
        <v>2024</v>
      </c>
      <c r="M150" t="s">
        <v>54</v>
      </c>
      <c r="N150">
        <v>17</v>
      </c>
      <c r="O150" t="s">
        <v>350</v>
      </c>
      <c r="P150" t="s">
        <v>56</v>
      </c>
      <c r="Q150">
        <v>36</v>
      </c>
      <c r="R150">
        <v>6</v>
      </c>
      <c r="S150" t="s">
        <v>140</v>
      </c>
      <c r="T150" t="s">
        <v>141</v>
      </c>
      <c r="U150">
        <v>10</v>
      </c>
      <c r="V150">
        <v>12</v>
      </c>
      <c r="W150">
        <v>12</v>
      </c>
      <c r="X150">
        <v>10</v>
      </c>
      <c r="Y150">
        <v>3</v>
      </c>
      <c r="Z150">
        <v>9</v>
      </c>
      <c r="AA150">
        <v>1.9444440000000001</v>
      </c>
      <c r="AB150">
        <v>17.5</v>
      </c>
      <c r="AC150" t="s">
        <v>70</v>
      </c>
      <c r="AD150" t="s">
        <v>60</v>
      </c>
      <c r="AE150">
        <v>1</v>
      </c>
      <c r="AF150">
        <v>0</v>
      </c>
      <c r="AG150">
        <v>0</v>
      </c>
      <c r="AH150">
        <v>1</v>
      </c>
      <c r="AI150">
        <v>0</v>
      </c>
      <c r="AJ150">
        <v>1</v>
      </c>
      <c r="AK150">
        <v>4</v>
      </c>
      <c r="AL150">
        <v>0</v>
      </c>
      <c r="AM150">
        <v>0</v>
      </c>
      <c r="AN150">
        <v>2</v>
      </c>
      <c r="AO150">
        <v>7</v>
      </c>
      <c r="AP150">
        <v>2</v>
      </c>
      <c r="AQ150">
        <v>77.777777777777004</v>
      </c>
      <c r="AR150" s="2">
        <v>45763.945891203701</v>
      </c>
      <c r="AS150" s="2">
        <v>46075.374849537038</v>
      </c>
      <c r="AT150" t="s">
        <v>61</v>
      </c>
      <c r="AU150" t="s">
        <v>62</v>
      </c>
      <c r="AV150">
        <v>312</v>
      </c>
    </row>
    <row r="151" spans="1:48" x14ac:dyDescent="0.25">
      <c r="A151">
        <v>446</v>
      </c>
      <c r="B151" t="s">
        <v>769</v>
      </c>
      <c r="C151" t="s">
        <v>770</v>
      </c>
      <c r="D151" t="s">
        <v>771</v>
      </c>
      <c r="E151" t="s">
        <v>772</v>
      </c>
      <c r="F151" t="s">
        <v>773</v>
      </c>
      <c r="G151" t="s">
        <v>53</v>
      </c>
      <c r="H151" s="1">
        <v>37898</v>
      </c>
      <c r="I151">
        <v>23</v>
      </c>
      <c r="J151">
        <v>2003</v>
      </c>
      <c r="K151" s="1">
        <v>45562</v>
      </c>
      <c r="L151">
        <v>2024</v>
      </c>
      <c r="M151" t="s">
        <v>111</v>
      </c>
      <c r="N151">
        <v>18</v>
      </c>
      <c r="O151" t="s">
        <v>139</v>
      </c>
      <c r="P151" t="s">
        <v>69</v>
      </c>
      <c r="Q151">
        <v>60</v>
      </c>
      <c r="R151">
        <v>6</v>
      </c>
      <c r="S151" t="s">
        <v>140</v>
      </c>
      <c r="T151" t="s">
        <v>141</v>
      </c>
      <c r="U151">
        <v>11</v>
      </c>
      <c r="V151">
        <v>12</v>
      </c>
      <c r="W151">
        <v>12</v>
      </c>
      <c r="X151">
        <v>11</v>
      </c>
      <c r="Y151">
        <v>3</v>
      </c>
      <c r="Z151">
        <v>9</v>
      </c>
      <c r="AA151">
        <v>2.555555</v>
      </c>
      <c r="AB151">
        <v>23</v>
      </c>
      <c r="AC151" t="s">
        <v>70</v>
      </c>
      <c r="AD151" t="s">
        <v>60</v>
      </c>
      <c r="AE151">
        <v>1</v>
      </c>
      <c r="AF151">
        <v>0</v>
      </c>
      <c r="AG151">
        <v>1</v>
      </c>
      <c r="AH151">
        <v>2</v>
      </c>
      <c r="AI151">
        <v>0</v>
      </c>
      <c r="AJ151">
        <v>3</v>
      </c>
      <c r="AK151">
        <v>1</v>
      </c>
      <c r="AL151">
        <v>0</v>
      </c>
      <c r="AM151">
        <v>0</v>
      </c>
      <c r="AN151">
        <v>1</v>
      </c>
      <c r="AO151">
        <v>8</v>
      </c>
      <c r="AP151">
        <v>1</v>
      </c>
      <c r="AQ151">
        <v>88.888888888888005</v>
      </c>
      <c r="AR151" s="2">
        <v>45797.697997685187</v>
      </c>
      <c r="AS151" s="2">
        <v>46078.051249999997</v>
      </c>
      <c r="AT151" t="s">
        <v>61</v>
      </c>
      <c r="AU151" t="s">
        <v>62</v>
      </c>
      <c r="AV151">
        <v>281</v>
      </c>
    </row>
    <row r="152" spans="1:48" x14ac:dyDescent="0.25">
      <c r="A152">
        <v>396</v>
      </c>
      <c r="B152" t="s">
        <v>774</v>
      </c>
      <c r="C152" t="s">
        <v>475</v>
      </c>
      <c r="D152" t="s">
        <v>253</v>
      </c>
      <c r="E152" t="s">
        <v>775</v>
      </c>
      <c r="F152" t="s">
        <v>776</v>
      </c>
      <c r="G152" t="s">
        <v>53</v>
      </c>
      <c r="H152" s="1">
        <v>38206</v>
      </c>
      <c r="I152">
        <v>22</v>
      </c>
      <c r="J152">
        <v>2004</v>
      </c>
      <c r="K152" s="1">
        <v>45031</v>
      </c>
      <c r="L152">
        <v>2023</v>
      </c>
      <c r="M152" t="s">
        <v>54</v>
      </c>
      <c r="N152">
        <v>16</v>
      </c>
      <c r="O152" t="s">
        <v>280</v>
      </c>
      <c r="P152" t="s">
        <v>119</v>
      </c>
      <c r="Q152">
        <v>120</v>
      </c>
      <c r="R152">
        <v>6</v>
      </c>
      <c r="S152" t="s">
        <v>140</v>
      </c>
      <c r="T152" t="s">
        <v>141</v>
      </c>
      <c r="U152">
        <v>12</v>
      </c>
      <c r="V152">
        <v>12</v>
      </c>
      <c r="W152">
        <v>12</v>
      </c>
      <c r="X152">
        <v>11</v>
      </c>
      <c r="Y152">
        <v>3</v>
      </c>
      <c r="Z152">
        <v>11</v>
      </c>
      <c r="AA152">
        <v>1.954545</v>
      </c>
      <c r="AB152">
        <v>21.5</v>
      </c>
      <c r="AC152" t="s">
        <v>70</v>
      </c>
      <c r="AD152" t="s">
        <v>281</v>
      </c>
      <c r="AE152">
        <v>0</v>
      </c>
      <c r="AF152">
        <v>0</v>
      </c>
      <c r="AG152">
        <v>2</v>
      </c>
      <c r="AH152">
        <v>0</v>
      </c>
      <c r="AI152">
        <v>0</v>
      </c>
      <c r="AJ152">
        <v>3</v>
      </c>
      <c r="AK152">
        <v>2</v>
      </c>
      <c r="AL152">
        <v>0</v>
      </c>
      <c r="AM152">
        <v>3</v>
      </c>
      <c r="AN152">
        <v>1</v>
      </c>
      <c r="AO152">
        <v>10</v>
      </c>
      <c r="AP152">
        <v>1</v>
      </c>
      <c r="AQ152">
        <v>90.909090909089997</v>
      </c>
      <c r="AR152" s="2">
        <v>45772.333969907406</v>
      </c>
      <c r="AS152" s="2">
        <v>46081.708391203705</v>
      </c>
      <c r="AT152" t="s">
        <v>61</v>
      </c>
      <c r="AU152" t="s">
        <v>62</v>
      </c>
      <c r="AV152">
        <v>309</v>
      </c>
    </row>
    <row r="153" spans="1:48" x14ac:dyDescent="0.25">
      <c r="A153">
        <v>19</v>
      </c>
      <c r="B153" t="s">
        <v>777</v>
      </c>
      <c r="C153" t="s">
        <v>778</v>
      </c>
      <c r="D153" t="s">
        <v>519</v>
      </c>
      <c r="E153" t="s">
        <v>779</v>
      </c>
      <c r="F153" t="s">
        <v>780</v>
      </c>
      <c r="G153" t="s">
        <v>104</v>
      </c>
      <c r="H153" s="1">
        <v>35058</v>
      </c>
      <c r="I153">
        <v>31</v>
      </c>
      <c r="J153">
        <v>1995</v>
      </c>
      <c r="K153" s="1">
        <v>45841</v>
      </c>
      <c r="L153">
        <v>2025</v>
      </c>
      <c r="M153" t="s">
        <v>54</v>
      </c>
      <c r="N153">
        <v>10</v>
      </c>
      <c r="O153" t="s">
        <v>118</v>
      </c>
      <c r="P153" t="s">
        <v>119</v>
      </c>
      <c r="Q153">
        <v>120</v>
      </c>
      <c r="R153">
        <v>4</v>
      </c>
      <c r="S153" t="s">
        <v>77</v>
      </c>
      <c r="T153" t="s">
        <v>78</v>
      </c>
      <c r="U153">
        <v>11</v>
      </c>
      <c r="V153">
        <v>12</v>
      </c>
      <c r="W153">
        <v>12</v>
      </c>
      <c r="X153">
        <v>12</v>
      </c>
      <c r="Y153">
        <v>3</v>
      </c>
      <c r="Z153">
        <v>9</v>
      </c>
      <c r="AA153">
        <v>1.8888879999999999</v>
      </c>
      <c r="AB153">
        <v>17</v>
      </c>
      <c r="AC153" t="s">
        <v>70</v>
      </c>
      <c r="AD153" t="s">
        <v>60</v>
      </c>
      <c r="AE153">
        <v>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3</v>
      </c>
      <c r="AN153">
        <v>2</v>
      </c>
      <c r="AO153">
        <v>7</v>
      </c>
      <c r="AP153">
        <v>2</v>
      </c>
      <c r="AQ153">
        <v>77.777777777777004</v>
      </c>
      <c r="AR153" s="2">
        <v>45738.093148148146</v>
      </c>
      <c r="AS153" s="2">
        <v>46071.925451388888</v>
      </c>
      <c r="AT153" t="s">
        <v>61</v>
      </c>
      <c r="AU153" t="s">
        <v>62</v>
      </c>
      <c r="AV153">
        <v>333</v>
      </c>
    </row>
    <row r="154" spans="1:48" x14ac:dyDescent="0.25">
      <c r="A154">
        <v>600</v>
      </c>
      <c r="B154" t="s">
        <v>781</v>
      </c>
      <c r="C154" t="s">
        <v>556</v>
      </c>
      <c r="D154" t="s">
        <v>782</v>
      </c>
      <c r="E154" t="s">
        <v>783</v>
      </c>
      <c r="F154">
        <v>5278523343</v>
      </c>
      <c r="G154" t="s">
        <v>104</v>
      </c>
      <c r="H154" s="1">
        <v>38421</v>
      </c>
      <c r="I154">
        <v>21</v>
      </c>
      <c r="J154">
        <v>2005</v>
      </c>
      <c r="K154" s="1">
        <v>45588</v>
      </c>
      <c r="L154">
        <v>2024</v>
      </c>
      <c r="M154" t="s">
        <v>54</v>
      </c>
      <c r="N154">
        <v>8</v>
      </c>
      <c r="O154" t="s">
        <v>125</v>
      </c>
      <c r="P154" t="s">
        <v>56</v>
      </c>
      <c r="Q154">
        <v>36</v>
      </c>
      <c r="R154">
        <v>3</v>
      </c>
      <c r="S154" t="s">
        <v>126</v>
      </c>
      <c r="T154" t="s">
        <v>127</v>
      </c>
      <c r="U154">
        <v>12</v>
      </c>
      <c r="V154">
        <v>12</v>
      </c>
      <c r="W154">
        <v>12</v>
      </c>
      <c r="X154">
        <v>10</v>
      </c>
      <c r="Y154">
        <v>3</v>
      </c>
      <c r="Z154">
        <v>11</v>
      </c>
      <c r="AA154">
        <v>2.5</v>
      </c>
      <c r="AB154">
        <v>27.5</v>
      </c>
      <c r="AC154" t="s">
        <v>70</v>
      </c>
      <c r="AD154" t="s">
        <v>60</v>
      </c>
      <c r="AE154">
        <v>2</v>
      </c>
      <c r="AF154">
        <v>0</v>
      </c>
      <c r="AG154">
        <v>1</v>
      </c>
      <c r="AH154">
        <v>5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2</v>
      </c>
      <c r="AO154">
        <v>9</v>
      </c>
      <c r="AP154">
        <v>2</v>
      </c>
      <c r="AQ154">
        <v>81.818181818181003</v>
      </c>
      <c r="AR154" s="2">
        <v>45779.825821759259</v>
      </c>
      <c r="AS154" s="2">
        <v>46052.426828703705</v>
      </c>
      <c r="AT154" t="s">
        <v>61</v>
      </c>
      <c r="AU154" t="s">
        <v>62</v>
      </c>
      <c r="AV154">
        <v>273</v>
      </c>
    </row>
    <row r="155" spans="1:48" x14ac:dyDescent="0.25">
      <c r="A155">
        <v>674</v>
      </c>
      <c r="B155" t="s">
        <v>784</v>
      </c>
      <c r="C155" t="s">
        <v>108</v>
      </c>
      <c r="D155" t="s">
        <v>785</v>
      </c>
      <c r="E155" t="s">
        <v>786</v>
      </c>
      <c r="F155" t="s">
        <v>787</v>
      </c>
      <c r="G155" t="s">
        <v>104</v>
      </c>
      <c r="H155" s="1">
        <v>36295</v>
      </c>
      <c r="I155">
        <v>27</v>
      </c>
      <c r="J155">
        <v>1999</v>
      </c>
      <c r="K155" s="1">
        <v>45090</v>
      </c>
      <c r="L155">
        <v>2023</v>
      </c>
      <c r="M155" t="s">
        <v>54</v>
      </c>
      <c r="N155">
        <v>12</v>
      </c>
      <c r="O155" t="s">
        <v>76</v>
      </c>
      <c r="P155" t="s">
        <v>69</v>
      </c>
      <c r="Q155">
        <v>60</v>
      </c>
      <c r="R155">
        <v>4</v>
      </c>
      <c r="S155" t="s">
        <v>77</v>
      </c>
      <c r="T155" t="s">
        <v>78</v>
      </c>
      <c r="U155">
        <v>11</v>
      </c>
      <c r="V155">
        <v>12</v>
      </c>
      <c r="W155">
        <v>12</v>
      </c>
      <c r="X155">
        <v>10</v>
      </c>
      <c r="Y155">
        <v>3</v>
      </c>
      <c r="Z155">
        <v>9</v>
      </c>
      <c r="AA155">
        <v>2.9444439999999998</v>
      </c>
      <c r="AB155">
        <v>26.5</v>
      </c>
      <c r="AC155" t="s">
        <v>540</v>
      </c>
      <c r="AD155" t="s">
        <v>60</v>
      </c>
      <c r="AE155">
        <v>1</v>
      </c>
      <c r="AF155">
        <v>0</v>
      </c>
      <c r="AG155">
        <v>2</v>
      </c>
      <c r="AH155">
        <v>1</v>
      </c>
      <c r="AI155">
        <v>0</v>
      </c>
      <c r="AJ155">
        <v>5</v>
      </c>
      <c r="AK155">
        <v>0</v>
      </c>
      <c r="AL155">
        <v>0</v>
      </c>
      <c r="AM155">
        <v>0</v>
      </c>
      <c r="AN155">
        <v>0</v>
      </c>
      <c r="AO155">
        <v>9</v>
      </c>
      <c r="AP155">
        <v>0</v>
      </c>
      <c r="AQ155">
        <v>100</v>
      </c>
      <c r="AR155" s="2">
        <v>45728.149560185186</v>
      </c>
      <c r="AS155" s="2">
        <v>46070.838564814818</v>
      </c>
      <c r="AT155" t="s">
        <v>61</v>
      </c>
      <c r="AU155" t="s">
        <v>62</v>
      </c>
      <c r="AV155">
        <v>342</v>
      </c>
    </row>
    <row r="156" spans="1:48" x14ac:dyDescent="0.25">
      <c r="A156">
        <v>281</v>
      </c>
      <c r="B156" t="s">
        <v>788</v>
      </c>
      <c r="C156" t="s">
        <v>789</v>
      </c>
      <c r="D156" t="s">
        <v>202</v>
      </c>
      <c r="E156" t="s">
        <v>790</v>
      </c>
      <c r="F156" t="s">
        <v>791</v>
      </c>
      <c r="G156" t="s">
        <v>53</v>
      </c>
      <c r="H156" s="1">
        <v>39183</v>
      </c>
      <c r="I156">
        <v>19</v>
      </c>
      <c r="J156">
        <v>2007</v>
      </c>
      <c r="K156" s="1">
        <v>46081</v>
      </c>
      <c r="L156">
        <v>2026</v>
      </c>
      <c r="M156" t="s">
        <v>54</v>
      </c>
      <c r="N156">
        <v>20</v>
      </c>
      <c r="O156" t="s">
        <v>180</v>
      </c>
      <c r="P156" t="s">
        <v>56</v>
      </c>
      <c r="Q156">
        <v>36</v>
      </c>
      <c r="R156">
        <v>7</v>
      </c>
      <c r="S156" t="s">
        <v>163</v>
      </c>
      <c r="T156" t="s">
        <v>164</v>
      </c>
      <c r="U156">
        <v>10</v>
      </c>
      <c r="V156">
        <v>12</v>
      </c>
      <c r="W156">
        <v>12</v>
      </c>
      <c r="X156">
        <v>12</v>
      </c>
      <c r="Y156">
        <v>3</v>
      </c>
      <c r="Z156">
        <v>10</v>
      </c>
      <c r="AA156">
        <v>2.25</v>
      </c>
      <c r="AB156">
        <v>22.5</v>
      </c>
      <c r="AC156" t="s">
        <v>70</v>
      </c>
      <c r="AD156" t="s">
        <v>60</v>
      </c>
      <c r="AE156">
        <v>1</v>
      </c>
      <c r="AF156">
        <v>0</v>
      </c>
      <c r="AG156">
        <v>1</v>
      </c>
      <c r="AH156">
        <v>4</v>
      </c>
      <c r="AI156">
        <v>0</v>
      </c>
      <c r="AJ156">
        <v>0</v>
      </c>
      <c r="AK156">
        <v>1</v>
      </c>
      <c r="AL156">
        <v>0</v>
      </c>
      <c r="AM156">
        <v>1</v>
      </c>
      <c r="AN156">
        <v>2</v>
      </c>
      <c r="AO156">
        <v>8</v>
      </c>
      <c r="AP156">
        <v>2</v>
      </c>
      <c r="AQ156">
        <v>80</v>
      </c>
      <c r="AR156" s="2">
        <v>45738.008969907409</v>
      </c>
      <c r="AS156" s="2">
        <v>46077.887245370373</v>
      </c>
      <c r="AT156" t="s">
        <v>61</v>
      </c>
      <c r="AU156" t="s">
        <v>62</v>
      </c>
      <c r="AV156">
        <v>339</v>
      </c>
    </row>
    <row r="157" spans="1:48" x14ac:dyDescent="0.25">
      <c r="A157">
        <v>975</v>
      </c>
      <c r="B157" t="s">
        <v>792</v>
      </c>
      <c r="C157" t="s">
        <v>793</v>
      </c>
      <c r="D157" t="s">
        <v>50</v>
      </c>
      <c r="E157" t="s">
        <v>794</v>
      </c>
      <c r="F157" t="s">
        <v>795</v>
      </c>
      <c r="G157" t="s">
        <v>104</v>
      </c>
      <c r="H157" s="1">
        <v>37479</v>
      </c>
      <c r="I157">
        <v>24</v>
      </c>
      <c r="J157">
        <v>2002</v>
      </c>
      <c r="K157" s="1">
        <v>45334</v>
      </c>
      <c r="L157">
        <v>2024</v>
      </c>
      <c r="M157" t="s">
        <v>225</v>
      </c>
      <c r="N157">
        <v>5</v>
      </c>
      <c r="O157" t="s">
        <v>84</v>
      </c>
      <c r="P157" t="s">
        <v>56</v>
      </c>
      <c r="Q157">
        <v>36</v>
      </c>
      <c r="R157">
        <v>2</v>
      </c>
      <c r="S157" t="s">
        <v>85</v>
      </c>
      <c r="T157" t="s">
        <v>86</v>
      </c>
      <c r="U157">
        <v>11</v>
      </c>
      <c r="V157">
        <v>12</v>
      </c>
      <c r="W157">
        <v>12</v>
      </c>
      <c r="X157">
        <v>10</v>
      </c>
      <c r="Y157">
        <v>3</v>
      </c>
      <c r="Z157">
        <v>10</v>
      </c>
      <c r="AA157">
        <v>2.75</v>
      </c>
      <c r="AB157">
        <v>27.5</v>
      </c>
      <c r="AC157" t="s">
        <v>59</v>
      </c>
      <c r="AD157" t="s">
        <v>60</v>
      </c>
      <c r="AE157">
        <v>2</v>
      </c>
      <c r="AF157">
        <v>0</v>
      </c>
      <c r="AG157">
        <v>2</v>
      </c>
      <c r="AH157">
        <v>2</v>
      </c>
      <c r="AI157">
        <v>0</v>
      </c>
      <c r="AJ157">
        <v>1</v>
      </c>
      <c r="AK157">
        <v>1</v>
      </c>
      <c r="AL157">
        <v>0</v>
      </c>
      <c r="AM157">
        <v>2</v>
      </c>
      <c r="AN157">
        <v>0</v>
      </c>
      <c r="AO157">
        <v>10</v>
      </c>
      <c r="AP157">
        <v>0</v>
      </c>
      <c r="AQ157">
        <v>100</v>
      </c>
      <c r="AR157" s="2">
        <v>45723.491377314815</v>
      </c>
      <c r="AS157" s="2">
        <v>46024.685601851852</v>
      </c>
      <c r="AT157" t="s">
        <v>61</v>
      </c>
      <c r="AU157" t="s">
        <v>62</v>
      </c>
      <c r="AV157">
        <v>301</v>
      </c>
    </row>
    <row r="158" spans="1:48" x14ac:dyDescent="0.25">
      <c r="A158">
        <v>478</v>
      </c>
      <c r="B158" t="s">
        <v>796</v>
      </c>
      <c r="C158" t="s">
        <v>797</v>
      </c>
      <c r="D158" t="s">
        <v>798</v>
      </c>
      <c r="E158" t="s">
        <v>799</v>
      </c>
      <c r="F158" t="s">
        <v>800</v>
      </c>
      <c r="G158" t="s">
        <v>104</v>
      </c>
      <c r="H158" s="1">
        <v>38923</v>
      </c>
      <c r="I158">
        <v>20</v>
      </c>
      <c r="J158">
        <v>2006</v>
      </c>
      <c r="K158" s="1">
        <v>45955</v>
      </c>
      <c r="L158">
        <v>2025</v>
      </c>
      <c r="M158" t="s">
        <v>225</v>
      </c>
      <c r="N158">
        <v>15</v>
      </c>
      <c r="O158" t="s">
        <v>91</v>
      </c>
      <c r="P158" t="s">
        <v>69</v>
      </c>
      <c r="Q158">
        <v>60</v>
      </c>
      <c r="R158">
        <v>5</v>
      </c>
      <c r="S158" t="s">
        <v>92</v>
      </c>
      <c r="T158" t="s">
        <v>93</v>
      </c>
      <c r="U158">
        <v>11</v>
      </c>
      <c r="V158">
        <v>12</v>
      </c>
      <c r="W158">
        <v>12</v>
      </c>
      <c r="X158">
        <v>10</v>
      </c>
      <c r="Y158">
        <v>3</v>
      </c>
      <c r="Z158">
        <v>9</v>
      </c>
      <c r="AA158">
        <v>1.8333330000000001</v>
      </c>
      <c r="AB158">
        <v>16.5</v>
      </c>
      <c r="AC158" t="s">
        <v>70</v>
      </c>
      <c r="AD158" t="s">
        <v>112</v>
      </c>
      <c r="AE158">
        <v>0</v>
      </c>
      <c r="AF158">
        <v>0</v>
      </c>
      <c r="AG158">
        <v>3</v>
      </c>
      <c r="AH158">
        <v>1</v>
      </c>
      <c r="AI158">
        <v>0</v>
      </c>
      <c r="AJ158">
        <v>0</v>
      </c>
      <c r="AK158">
        <v>1</v>
      </c>
      <c r="AL158">
        <v>0</v>
      </c>
      <c r="AM158">
        <v>1</v>
      </c>
      <c r="AN158">
        <v>3</v>
      </c>
      <c r="AO158">
        <v>6</v>
      </c>
      <c r="AP158">
        <v>3</v>
      </c>
      <c r="AQ158">
        <v>66.666666666666003</v>
      </c>
      <c r="AR158" s="2">
        <v>45773.20144675926</v>
      </c>
      <c r="AS158" s="2">
        <v>46063.422303240739</v>
      </c>
      <c r="AT158" t="s">
        <v>61</v>
      </c>
      <c r="AU158" t="s">
        <v>62</v>
      </c>
      <c r="AV158">
        <v>290</v>
      </c>
    </row>
    <row r="159" spans="1:48" x14ac:dyDescent="0.25">
      <c r="A159">
        <v>983</v>
      </c>
      <c r="B159" t="s">
        <v>801</v>
      </c>
      <c r="C159" t="s">
        <v>802</v>
      </c>
      <c r="D159" t="s">
        <v>803</v>
      </c>
      <c r="E159" t="s">
        <v>804</v>
      </c>
      <c r="F159" t="s">
        <v>805</v>
      </c>
      <c r="G159" t="s">
        <v>104</v>
      </c>
      <c r="H159" s="1">
        <v>36692</v>
      </c>
      <c r="I159">
        <v>26</v>
      </c>
      <c r="J159">
        <v>2000</v>
      </c>
      <c r="K159" s="1">
        <v>45739</v>
      </c>
      <c r="L159">
        <v>2025</v>
      </c>
      <c r="M159" t="s">
        <v>225</v>
      </c>
      <c r="N159">
        <v>4</v>
      </c>
      <c r="O159" t="s">
        <v>215</v>
      </c>
      <c r="P159" t="s">
        <v>119</v>
      </c>
      <c r="Q159">
        <v>120</v>
      </c>
      <c r="R159">
        <v>2</v>
      </c>
      <c r="S159" t="s">
        <v>85</v>
      </c>
      <c r="T159" t="s">
        <v>86</v>
      </c>
      <c r="U159">
        <v>11</v>
      </c>
      <c r="V159">
        <v>12</v>
      </c>
      <c r="W159">
        <v>12</v>
      </c>
      <c r="X159">
        <v>9</v>
      </c>
      <c r="Y159">
        <v>3</v>
      </c>
      <c r="Z159">
        <v>8</v>
      </c>
      <c r="AA159">
        <v>2</v>
      </c>
      <c r="AB159">
        <v>16</v>
      </c>
      <c r="AC159" t="s">
        <v>70</v>
      </c>
      <c r="AD159" t="s">
        <v>112</v>
      </c>
      <c r="AE159">
        <v>0</v>
      </c>
      <c r="AF159">
        <v>0</v>
      </c>
      <c r="AG159">
        <v>0</v>
      </c>
      <c r="AH159">
        <v>2</v>
      </c>
      <c r="AI159">
        <v>0</v>
      </c>
      <c r="AJ159">
        <v>0</v>
      </c>
      <c r="AK159">
        <v>5</v>
      </c>
      <c r="AL159">
        <v>0</v>
      </c>
      <c r="AM159">
        <v>0</v>
      </c>
      <c r="AN159">
        <v>1</v>
      </c>
      <c r="AO159">
        <v>7</v>
      </c>
      <c r="AP159">
        <v>1</v>
      </c>
      <c r="AQ159">
        <v>87.5</v>
      </c>
      <c r="AR159" s="2">
        <v>45722.954745370371</v>
      </c>
      <c r="AS159" s="2">
        <v>46031.348078703704</v>
      </c>
      <c r="AT159" t="s">
        <v>61</v>
      </c>
      <c r="AU159" t="s">
        <v>62</v>
      </c>
      <c r="AV159">
        <v>309</v>
      </c>
    </row>
    <row r="160" spans="1:48" x14ac:dyDescent="0.25">
      <c r="A160">
        <v>760</v>
      </c>
      <c r="B160" t="s">
        <v>806</v>
      </c>
      <c r="C160" t="s">
        <v>807</v>
      </c>
      <c r="D160" t="s">
        <v>808</v>
      </c>
      <c r="E160" t="s">
        <v>809</v>
      </c>
      <c r="F160">
        <v>5286515533</v>
      </c>
      <c r="G160" t="s">
        <v>104</v>
      </c>
      <c r="H160" s="1">
        <v>35538</v>
      </c>
      <c r="I160">
        <v>29</v>
      </c>
      <c r="J160">
        <v>1997</v>
      </c>
      <c r="K160" s="1">
        <v>46072</v>
      </c>
      <c r="L160">
        <v>2026</v>
      </c>
      <c r="M160" t="s">
        <v>54</v>
      </c>
      <c r="N160">
        <v>9</v>
      </c>
      <c r="O160" t="s">
        <v>151</v>
      </c>
      <c r="P160" t="s">
        <v>69</v>
      </c>
      <c r="Q160">
        <v>60</v>
      </c>
      <c r="R160">
        <v>3</v>
      </c>
      <c r="S160" t="s">
        <v>126</v>
      </c>
      <c r="T160" t="s">
        <v>127</v>
      </c>
      <c r="U160">
        <v>12</v>
      </c>
      <c r="V160">
        <v>12</v>
      </c>
      <c r="W160">
        <v>12</v>
      </c>
      <c r="X160">
        <v>12</v>
      </c>
      <c r="Y160">
        <v>3</v>
      </c>
      <c r="Z160">
        <v>10</v>
      </c>
      <c r="AA160">
        <v>2.4500000000000002</v>
      </c>
      <c r="AB160">
        <v>24.5</v>
      </c>
      <c r="AC160" t="s">
        <v>70</v>
      </c>
      <c r="AD160" t="s">
        <v>60</v>
      </c>
      <c r="AE160">
        <v>2</v>
      </c>
      <c r="AF160">
        <v>0</v>
      </c>
      <c r="AG160">
        <v>2</v>
      </c>
      <c r="AH160">
        <v>1</v>
      </c>
      <c r="AI160">
        <v>0</v>
      </c>
      <c r="AJ160">
        <v>1</v>
      </c>
      <c r="AK160">
        <v>2</v>
      </c>
      <c r="AL160">
        <v>0</v>
      </c>
      <c r="AM160">
        <v>0</v>
      </c>
      <c r="AN160">
        <v>2</v>
      </c>
      <c r="AO160">
        <v>8</v>
      </c>
      <c r="AP160">
        <v>2</v>
      </c>
      <c r="AQ160">
        <v>80</v>
      </c>
      <c r="AR160" s="2">
        <v>45724.689074074071</v>
      </c>
      <c r="AS160" s="2">
        <v>46046.233657407407</v>
      </c>
      <c r="AT160" t="s">
        <v>61</v>
      </c>
      <c r="AU160" t="s">
        <v>62</v>
      </c>
      <c r="AV160">
        <v>322</v>
      </c>
    </row>
    <row r="161" spans="1:48" x14ac:dyDescent="0.25">
      <c r="A161">
        <v>395</v>
      </c>
      <c r="B161" t="s">
        <v>810</v>
      </c>
      <c r="C161" t="s">
        <v>211</v>
      </c>
      <c r="D161" t="s">
        <v>811</v>
      </c>
      <c r="E161" t="s">
        <v>812</v>
      </c>
      <c r="F161" t="s">
        <v>813</v>
      </c>
      <c r="G161" t="s">
        <v>53</v>
      </c>
      <c r="H161" s="1">
        <v>36645</v>
      </c>
      <c r="I161">
        <v>26</v>
      </c>
      <c r="J161">
        <v>2000</v>
      </c>
      <c r="K161" s="1">
        <v>45388</v>
      </c>
      <c r="L161">
        <v>2024</v>
      </c>
      <c r="M161" t="s">
        <v>54</v>
      </c>
      <c r="N161">
        <v>2</v>
      </c>
      <c r="O161" t="s">
        <v>55</v>
      </c>
      <c r="P161" t="s">
        <v>56</v>
      </c>
      <c r="Q161">
        <v>36</v>
      </c>
      <c r="R161">
        <v>1</v>
      </c>
      <c r="S161" t="s">
        <v>57</v>
      </c>
      <c r="T161" t="s">
        <v>58</v>
      </c>
      <c r="U161">
        <v>12</v>
      </c>
      <c r="V161">
        <v>12</v>
      </c>
      <c r="W161">
        <v>12</v>
      </c>
      <c r="X161">
        <v>10</v>
      </c>
      <c r="Y161">
        <v>3</v>
      </c>
      <c r="Z161">
        <v>9</v>
      </c>
      <c r="AA161">
        <v>2.6666660000000002</v>
      </c>
      <c r="AB161">
        <v>24</v>
      </c>
      <c r="AC161" t="s">
        <v>59</v>
      </c>
      <c r="AD161" t="s">
        <v>60</v>
      </c>
      <c r="AE161">
        <v>2</v>
      </c>
      <c r="AF161">
        <v>0</v>
      </c>
      <c r="AG161">
        <v>1</v>
      </c>
      <c r="AH161">
        <v>1</v>
      </c>
      <c r="AI161">
        <v>0</v>
      </c>
      <c r="AJ161">
        <v>1</v>
      </c>
      <c r="AK161">
        <v>3</v>
      </c>
      <c r="AL161">
        <v>0</v>
      </c>
      <c r="AM161">
        <v>1</v>
      </c>
      <c r="AN161">
        <v>0</v>
      </c>
      <c r="AO161">
        <v>9</v>
      </c>
      <c r="AP161">
        <v>0</v>
      </c>
      <c r="AQ161">
        <v>100</v>
      </c>
      <c r="AR161" s="2">
        <v>45760.382164351853</v>
      </c>
      <c r="AS161" s="2">
        <v>46066.053738425922</v>
      </c>
      <c r="AT161" t="s">
        <v>61</v>
      </c>
      <c r="AU161" t="s">
        <v>62</v>
      </c>
      <c r="AV161">
        <v>306</v>
      </c>
    </row>
    <row r="162" spans="1:48" x14ac:dyDescent="0.25">
      <c r="A162">
        <v>435</v>
      </c>
      <c r="B162" t="s">
        <v>814</v>
      </c>
      <c r="C162" t="s">
        <v>238</v>
      </c>
      <c r="D162" t="s">
        <v>815</v>
      </c>
      <c r="E162" t="s">
        <v>816</v>
      </c>
      <c r="F162" t="s">
        <v>817</v>
      </c>
      <c r="G162" t="s">
        <v>104</v>
      </c>
      <c r="H162" s="1">
        <v>38068</v>
      </c>
      <c r="I162">
        <v>22</v>
      </c>
      <c r="J162">
        <v>2004</v>
      </c>
      <c r="K162" s="1">
        <v>44899</v>
      </c>
      <c r="L162">
        <v>2022</v>
      </c>
      <c r="M162" t="s">
        <v>54</v>
      </c>
      <c r="N162">
        <v>8</v>
      </c>
      <c r="O162" t="s">
        <v>125</v>
      </c>
      <c r="P162" t="s">
        <v>56</v>
      </c>
      <c r="Q162">
        <v>36</v>
      </c>
      <c r="R162">
        <v>3</v>
      </c>
      <c r="S162" t="s">
        <v>126</v>
      </c>
      <c r="T162" t="s">
        <v>127</v>
      </c>
      <c r="U162">
        <v>12</v>
      </c>
      <c r="V162">
        <v>12</v>
      </c>
      <c r="W162">
        <v>12</v>
      </c>
      <c r="X162">
        <v>10</v>
      </c>
      <c r="Y162">
        <v>3</v>
      </c>
      <c r="Z162">
        <v>11</v>
      </c>
      <c r="AA162">
        <v>2.2272720000000001</v>
      </c>
      <c r="AB162">
        <v>24.5</v>
      </c>
      <c r="AC162" t="s">
        <v>70</v>
      </c>
      <c r="AD162" t="s">
        <v>60</v>
      </c>
      <c r="AE162">
        <v>3</v>
      </c>
      <c r="AF162">
        <v>0</v>
      </c>
      <c r="AG162">
        <v>1</v>
      </c>
      <c r="AH162">
        <v>1</v>
      </c>
      <c r="AI162">
        <v>0</v>
      </c>
      <c r="AJ162">
        <v>0</v>
      </c>
      <c r="AK162">
        <v>3</v>
      </c>
      <c r="AL162">
        <v>0</v>
      </c>
      <c r="AM162">
        <v>0</v>
      </c>
      <c r="AN162">
        <v>3</v>
      </c>
      <c r="AO162">
        <v>8</v>
      </c>
      <c r="AP162">
        <v>3</v>
      </c>
      <c r="AQ162">
        <v>72.727272727271995</v>
      </c>
      <c r="AR162" s="2">
        <v>45726.623356481483</v>
      </c>
      <c r="AS162" s="2">
        <v>46074.002222222225</v>
      </c>
      <c r="AT162" t="s">
        <v>61</v>
      </c>
      <c r="AU162" t="s">
        <v>62</v>
      </c>
      <c r="AV162">
        <v>348</v>
      </c>
    </row>
    <row r="163" spans="1:48" x14ac:dyDescent="0.25">
      <c r="A163">
        <v>992</v>
      </c>
      <c r="B163" t="s">
        <v>818</v>
      </c>
      <c r="C163" t="s">
        <v>819</v>
      </c>
      <c r="D163" t="s">
        <v>820</v>
      </c>
      <c r="E163" t="s">
        <v>821</v>
      </c>
      <c r="F163" t="s">
        <v>822</v>
      </c>
      <c r="G163" t="s">
        <v>53</v>
      </c>
      <c r="H163" s="1">
        <v>38996</v>
      </c>
      <c r="I163">
        <v>20</v>
      </c>
      <c r="J163">
        <v>2006</v>
      </c>
      <c r="K163" s="1">
        <v>45421</v>
      </c>
      <c r="L163">
        <v>2024</v>
      </c>
      <c r="M163" t="s">
        <v>111</v>
      </c>
      <c r="N163">
        <v>1</v>
      </c>
      <c r="O163" t="s">
        <v>157</v>
      </c>
      <c r="P163" t="s">
        <v>119</v>
      </c>
      <c r="Q163">
        <v>120</v>
      </c>
      <c r="R163">
        <v>1</v>
      </c>
      <c r="S163" t="s">
        <v>57</v>
      </c>
      <c r="T163" t="s">
        <v>58</v>
      </c>
      <c r="U163">
        <v>11</v>
      </c>
      <c r="V163">
        <v>12</v>
      </c>
      <c r="W163">
        <v>12</v>
      </c>
      <c r="X163">
        <v>12</v>
      </c>
      <c r="Y163">
        <v>3</v>
      </c>
      <c r="Z163">
        <v>10</v>
      </c>
      <c r="AA163">
        <v>2.7</v>
      </c>
      <c r="AB163">
        <v>27</v>
      </c>
      <c r="AC163" t="s">
        <v>70</v>
      </c>
      <c r="AD163" t="s">
        <v>60</v>
      </c>
      <c r="AE163">
        <v>3</v>
      </c>
      <c r="AF163">
        <v>0</v>
      </c>
      <c r="AG163">
        <v>1</v>
      </c>
      <c r="AH163">
        <v>2</v>
      </c>
      <c r="AI163">
        <v>0</v>
      </c>
      <c r="AJ163">
        <v>1</v>
      </c>
      <c r="AK163">
        <v>1</v>
      </c>
      <c r="AL163">
        <v>0</v>
      </c>
      <c r="AM163">
        <v>1</v>
      </c>
      <c r="AN163">
        <v>1</v>
      </c>
      <c r="AO163">
        <v>9</v>
      </c>
      <c r="AP163">
        <v>1</v>
      </c>
      <c r="AQ163">
        <v>90</v>
      </c>
      <c r="AR163" s="2">
        <v>45734.415254629632</v>
      </c>
      <c r="AS163" s="2">
        <v>46047.755555555559</v>
      </c>
      <c r="AT163" t="s">
        <v>61</v>
      </c>
      <c r="AU163" t="s">
        <v>62</v>
      </c>
      <c r="AV163">
        <v>313</v>
      </c>
    </row>
    <row r="164" spans="1:48" x14ac:dyDescent="0.25">
      <c r="A164">
        <v>607</v>
      </c>
      <c r="B164" t="s">
        <v>823</v>
      </c>
      <c r="C164" t="s">
        <v>187</v>
      </c>
      <c r="D164" t="s">
        <v>824</v>
      </c>
      <c r="E164" t="s">
        <v>825</v>
      </c>
      <c r="F164" t="s">
        <v>826</v>
      </c>
      <c r="G164" t="s">
        <v>104</v>
      </c>
      <c r="H164" s="1">
        <v>34905</v>
      </c>
      <c r="I164">
        <v>31</v>
      </c>
      <c r="J164">
        <v>1995</v>
      </c>
      <c r="K164" s="1">
        <v>44887</v>
      </c>
      <c r="L164">
        <v>2022</v>
      </c>
      <c r="M164" t="s">
        <v>54</v>
      </c>
      <c r="N164">
        <v>19</v>
      </c>
      <c r="O164" t="s">
        <v>162</v>
      </c>
      <c r="P164" t="s">
        <v>119</v>
      </c>
      <c r="Q164">
        <v>120</v>
      </c>
      <c r="R164">
        <v>7</v>
      </c>
      <c r="S164" t="s">
        <v>163</v>
      </c>
      <c r="T164" t="s">
        <v>164</v>
      </c>
      <c r="U164">
        <v>11</v>
      </c>
      <c r="V164">
        <v>12</v>
      </c>
      <c r="W164">
        <v>12</v>
      </c>
      <c r="X164">
        <v>12</v>
      </c>
      <c r="Y164">
        <v>3</v>
      </c>
      <c r="Z164">
        <v>11</v>
      </c>
      <c r="AA164">
        <v>2.40909</v>
      </c>
      <c r="AB164">
        <v>26.5</v>
      </c>
      <c r="AC164" t="s">
        <v>70</v>
      </c>
      <c r="AD164" t="s">
        <v>60</v>
      </c>
      <c r="AE164">
        <v>4</v>
      </c>
      <c r="AF164">
        <v>0</v>
      </c>
      <c r="AG164">
        <v>1</v>
      </c>
      <c r="AH164">
        <v>1</v>
      </c>
      <c r="AI164">
        <v>0</v>
      </c>
      <c r="AJ164">
        <v>0</v>
      </c>
      <c r="AK164">
        <v>1</v>
      </c>
      <c r="AL164">
        <v>0</v>
      </c>
      <c r="AM164">
        <v>2</v>
      </c>
      <c r="AN164">
        <v>2</v>
      </c>
      <c r="AO164">
        <v>9</v>
      </c>
      <c r="AP164">
        <v>2</v>
      </c>
      <c r="AQ164">
        <v>81.818181818181003</v>
      </c>
      <c r="AR164" s="2">
        <v>45772.376550925925</v>
      </c>
      <c r="AS164" s="2">
        <v>46077.047777777778</v>
      </c>
      <c r="AT164" t="s">
        <v>61</v>
      </c>
      <c r="AU164" t="s">
        <v>62</v>
      </c>
      <c r="AV164">
        <v>305</v>
      </c>
    </row>
    <row r="165" spans="1:48" x14ac:dyDescent="0.25">
      <c r="A165">
        <v>60</v>
      </c>
      <c r="B165" t="s">
        <v>827</v>
      </c>
      <c r="C165" t="s">
        <v>472</v>
      </c>
      <c r="D165" t="s">
        <v>828</v>
      </c>
      <c r="E165" t="s">
        <v>829</v>
      </c>
      <c r="F165" t="s">
        <v>830</v>
      </c>
      <c r="G165" t="s">
        <v>53</v>
      </c>
      <c r="H165" s="1">
        <v>37944</v>
      </c>
      <c r="I165">
        <v>23</v>
      </c>
      <c r="J165">
        <v>2003</v>
      </c>
      <c r="K165" s="1">
        <v>45225</v>
      </c>
      <c r="L165">
        <v>2023</v>
      </c>
      <c r="M165" t="s">
        <v>111</v>
      </c>
      <c r="N165">
        <v>19</v>
      </c>
      <c r="O165" t="s">
        <v>162</v>
      </c>
      <c r="P165" t="s">
        <v>119</v>
      </c>
      <c r="Q165">
        <v>120</v>
      </c>
      <c r="R165">
        <v>7</v>
      </c>
      <c r="S165" t="s">
        <v>163</v>
      </c>
      <c r="T165" t="s">
        <v>164</v>
      </c>
      <c r="U165">
        <v>11</v>
      </c>
      <c r="V165">
        <v>12</v>
      </c>
      <c r="W165">
        <v>12</v>
      </c>
      <c r="X165">
        <v>11</v>
      </c>
      <c r="Y165">
        <v>3</v>
      </c>
      <c r="Z165">
        <v>9</v>
      </c>
      <c r="AA165">
        <v>2.555555</v>
      </c>
      <c r="AB165">
        <v>23</v>
      </c>
      <c r="AC165" t="s">
        <v>70</v>
      </c>
      <c r="AD165" t="s">
        <v>60</v>
      </c>
      <c r="AE165">
        <v>1</v>
      </c>
      <c r="AF165">
        <v>0</v>
      </c>
      <c r="AG165">
        <v>2</v>
      </c>
      <c r="AH165">
        <v>4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2</v>
      </c>
      <c r="AO165">
        <v>7</v>
      </c>
      <c r="AP165">
        <v>2</v>
      </c>
      <c r="AQ165">
        <v>77.777777777777004</v>
      </c>
      <c r="AR165" s="2">
        <v>45727.609432870369</v>
      </c>
      <c r="AS165" s="2">
        <v>46075.243761574071</v>
      </c>
      <c r="AT165" t="s">
        <v>61</v>
      </c>
      <c r="AU165" t="s">
        <v>62</v>
      </c>
      <c r="AV165">
        <v>348</v>
      </c>
    </row>
    <row r="166" spans="1:48" x14ac:dyDescent="0.25">
      <c r="A166">
        <v>659</v>
      </c>
      <c r="B166" t="s">
        <v>831</v>
      </c>
      <c r="C166" t="s">
        <v>832</v>
      </c>
      <c r="D166" t="s">
        <v>833</v>
      </c>
      <c r="E166" t="s">
        <v>834</v>
      </c>
      <c r="F166" t="s">
        <v>835</v>
      </c>
      <c r="G166" t="s">
        <v>104</v>
      </c>
      <c r="H166" s="1">
        <v>36775</v>
      </c>
      <c r="I166">
        <v>26</v>
      </c>
      <c r="J166">
        <v>2000</v>
      </c>
      <c r="K166" s="1">
        <v>45675</v>
      </c>
      <c r="L166">
        <v>2025</v>
      </c>
      <c r="M166" t="s">
        <v>54</v>
      </c>
      <c r="N166">
        <v>15</v>
      </c>
      <c r="O166" t="s">
        <v>91</v>
      </c>
      <c r="P166" t="s">
        <v>69</v>
      </c>
      <c r="Q166">
        <v>60</v>
      </c>
      <c r="R166">
        <v>5</v>
      </c>
      <c r="S166" t="s">
        <v>92</v>
      </c>
      <c r="T166" t="s">
        <v>93</v>
      </c>
      <c r="U166">
        <v>12</v>
      </c>
      <c r="V166">
        <v>12</v>
      </c>
      <c r="W166">
        <v>12</v>
      </c>
      <c r="X166">
        <v>9</v>
      </c>
      <c r="Y166">
        <v>3</v>
      </c>
      <c r="Z166">
        <v>10</v>
      </c>
      <c r="AA166">
        <v>2.2000000000000002</v>
      </c>
      <c r="AB166">
        <v>22</v>
      </c>
      <c r="AC166" t="s">
        <v>70</v>
      </c>
      <c r="AD166" t="s">
        <v>112</v>
      </c>
      <c r="AE166">
        <v>0</v>
      </c>
      <c r="AF166">
        <v>0</v>
      </c>
      <c r="AG166">
        <v>2</v>
      </c>
      <c r="AH166">
        <v>3</v>
      </c>
      <c r="AI166">
        <v>0</v>
      </c>
      <c r="AJ166">
        <v>0</v>
      </c>
      <c r="AK166">
        <v>3</v>
      </c>
      <c r="AL166">
        <v>0</v>
      </c>
      <c r="AM166">
        <v>0</v>
      </c>
      <c r="AN166">
        <v>2</v>
      </c>
      <c r="AO166">
        <v>8</v>
      </c>
      <c r="AP166">
        <v>2</v>
      </c>
      <c r="AQ166">
        <v>80</v>
      </c>
      <c r="AR166" s="2">
        <v>45723.4062037037</v>
      </c>
      <c r="AS166" s="2">
        <v>46069.751527777778</v>
      </c>
      <c r="AT166" t="s">
        <v>61</v>
      </c>
      <c r="AU166" t="s">
        <v>62</v>
      </c>
      <c r="AV166">
        <v>346</v>
      </c>
    </row>
    <row r="167" spans="1:48" x14ac:dyDescent="0.25">
      <c r="A167">
        <v>131</v>
      </c>
      <c r="B167" t="s">
        <v>836</v>
      </c>
      <c r="C167" t="s">
        <v>837</v>
      </c>
      <c r="D167" t="s">
        <v>838</v>
      </c>
      <c r="E167" t="s">
        <v>839</v>
      </c>
      <c r="F167" t="s">
        <v>840</v>
      </c>
      <c r="G167" t="s">
        <v>104</v>
      </c>
      <c r="H167" s="1">
        <v>38351</v>
      </c>
      <c r="I167">
        <v>22</v>
      </c>
      <c r="J167">
        <v>2004</v>
      </c>
      <c r="K167" s="1">
        <v>44829</v>
      </c>
      <c r="L167">
        <v>2022</v>
      </c>
      <c r="M167" t="s">
        <v>54</v>
      </c>
      <c r="N167">
        <v>15</v>
      </c>
      <c r="O167" t="s">
        <v>91</v>
      </c>
      <c r="P167" t="s">
        <v>69</v>
      </c>
      <c r="Q167">
        <v>60</v>
      </c>
      <c r="R167">
        <v>5</v>
      </c>
      <c r="S167" t="s">
        <v>92</v>
      </c>
      <c r="T167" t="s">
        <v>93</v>
      </c>
      <c r="U167">
        <v>11</v>
      </c>
      <c r="V167">
        <v>12</v>
      </c>
      <c r="W167">
        <v>12</v>
      </c>
      <c r="X167">
        <v>10</v>
      </c>
      <c r="Y167">
        <v>3</v>
      </c>
      <c r="Z167">
        <v>11</v>
      </c>
      <c r="AA167">
        <v>2.3636360000000001</v>
      </c>
      <c r="AB167">
        <v>26</v>
      </c>
      <c r="AC167" t="s">
        <v>70</v>
      </c>
      <c r="AD167" t="s">
        <v>60</v>
      </c>
      <c r="AE167">
        <v>1</v>
      </c>
      <c r="AF167">
        <v>0</v>
      </c>
      <c r="AG167">
        <v>3</v>
      </c>
      <c r="AH167">
        <v>1</v>
      </c>
      <c r="AI167">
        <v>0</v>
      </c>
      <c r="AJ167">
        <v>3</v>
      </c>
      <c r="AK167">
        <v>0</v>
      </c>
      <c r="AL167">
        <v>0</v>
      </c>
      <c r="AM167">
        <v>1</v>
      </c>
      <c r="AN167">
        <v>2</v>
      </c>
      <c r="AO167">
        <v>9</v>
      </c>
      <c r="AP167">
        <v>2</v>
      </c>
      <c r="AQ167">
        <v>81.818181818181003</v>
      </c>
      <c r="AR167" s="2">
        <v>45726.342581018522</v>
      </c>
      <c r="AS167" s="2">
        <v>46084.495486111111</v>
      </c>
      <c r="AT167" t="s">
        <v>61</v>
      </c>
      <c r="AU167" t="s">
        <v>62</v>
      </c>
      <c r="AV167">
        <v>358</v>
      </c>
    </row>
    <row r="168" spans="1:48" x14ac:dyDescent="0.25">
      <c r="A168">
        <v>106</v>
      </c>
      <c r="B168" t="s">
        <v>841</v>
      </c>
      <c r="C168" t="s">
        <v>842</v>
      </c>
      <c r="D168" t="s">
        <v>843</v>
      </c>
      <c r="E168" t="s">
        <v>844</v>
      </c>
      <c r="F168" t="s">
        <v>845</v>
      </c>
      <c r="G168" t="s">
        <v>104</v>
      </c>
      <c r="H168" s="1">
        <v>37686</v>
      </c>
      <c r="I168">
        <v>23</v>
      </c>
      <c r="J168">
        <v>2003</v>
      </c>
      <c r="K168" s="1">
        <v>45482</v>
      </c>
      <c r="L168">
        <v>2024</v>
      </c>
      <c r="M168" t="s">
        <v>111</v>
      </c>
      <c r="N168">
        <v>14</v>
      </c>
      <c r="O168" t="s">
        <v>105</v>
      </c>
      <c r="P168" t="s">
        <v>56</v>
      </c>
      <c r="Q168">
        <v>36</v>
      </c>
      <c r="R168">
        <v>5</v>
      </c>
      <c r="S168" t="s">
        <v>92</v>
      </c>
      <c r="T168" t="s">
        <v>93</v>
      </c>
      <c r="U168">
        <v>11</v>
      </c>
      <c r="V168">
        <v>12</v>
      </c>
      <c r="W168">
        <v>12</v>
      </c>
      <c r="X168">
        <v>11</v>
      </c>
      <c r="Y168">
        <v>3</v>
      </c>
      <c r="Z168">
        <v>11</v>
      </c>
      <c r="AA168">
        <v>2.90909</v>
      </c>
      <c r="AB168">
        <v>32</v>
      </c>
      <c r="AC168" t="s">
        <v>59</v>
      </c>
      <c r="AD168" t="s">
        <v>60</v>
      </c>
      <c r="AE168">
        <v>2</v>
      </c>
      <c r="AF168">
        <v>0</v>
      </c>
      <c r="AG168">
        <v>4</v>
      </c>
      <c r="AH168">
        <v>1</v>
      </c>
      <c r="AI168">
        <v>0</v>
      </c>
      <c r="AJ168">
        <v>2</v>
      </c>
      <c r="AK168">
        <v>0</v>
      </c>
      <c r="AL168">
        <v>0</v>
      </c>
      <c r="AM168">
        <v>2</v>
      </c>
      <c r="AN168">
        <v>0</v>
      </c>
      <c r="AO168">
        <v>11</v>
      </c>
      <c r="AP168">
        <v>0</v>
      </c>
      <c r="AQ168">
        <v>100</v>
      </c>
      <c r="AR168" s="2">
        <v>45771.573692129627</v>
      </c>
      <c r="AS168" s="2">
        <v>46083.173009259262</v>
      </c>
      <c r="AT168" t="s">
        <v>61</v>
      </c>
      <c r="AU168" t="s">
        <v>62</v>
      </c>
      <c r="AV168">
        <v>312</v>
      </c>
    </row>
    <row r="169" spans="1:48" x14ac:dyDescent="0.25">
      <c r="A169">
        <v>551</v>
      </c>
      <c r="B169" t="s">
        <v>846</v>
      </c>
      <c r="C169" t="s">
        <v>627</v>
      </c>
      <c r="D169" t="s">
        <v>410</v>
      </c>
      <c r="E169" t="s">
        <v>847</v>
      </c>
      <c r="F169" t="s">
        <v>848</v>
      </c>
      <c r="G169" t="s">
        <v>104</v>
      </c>
      <c r="H169" s="1">
        <v>36803</v>
      </c>
      <c r="I169">
        <v>26</v>
      </c>
      <c r="J169">
        <v>2000</v>
      </c>
      <c r="K169" s="1">
        <v>45497</v>
      </c>
      <c r="L169">
        <v>2024</v>
      </c>
      <c r="M169" t="s">
        <v>54</v>
      </c>
      <c r="N169">
        <v>3</v>
      </c>
      <c r="O169" t="s">
        <v>68</v>
      </c>
      <c r="P169" t="s">
        <v>69</v>
      </c>
      <c r="Q169">
        <v>60</v>
      </c>
      <c r="R169">
        <v>1</v>
      </c>
      <c r="S169" t="s">
        <v>57</v>
      </c>
      <c r="T169" t="s">
        <v>58</v>
      </c>
      <c r="U169">
        <v>12</v>
      </c>
      <c r="V169">
        <v>12</v>
      </c>
      <c r="W169">
        <v>12</v>
      </c>
      <c r="X169">
        <v>10</v>
      </c>
      <c r="Y169">
        <v>3</v>
      </c>
      <c r="Z169">
        <v>9</v>
      </c>
      <c r="AA169">
        <v>2.055555</v>
      </c>
      <c r="AB169">
        <v>18.5</v>
      </c>
      <c r="AC169" t="s">
        <v>70</v>
      </c>
      <c r="AD169" t="s">
        <v>112</v>
      </c>
      <c r="AE169">
        <v>0</v>
      </c>
      <c r="AF169">
        <v>0</v>
      </c>
      <c r="AG169">
        <v>1</v>
      </c>
      <c r="AH169">
        <v>2</v>
      </c>
      <c r="AI169">
        <v>0</v>
      </c>
      <c r="AJ169">
        <v>2</v>
      </c>
      <c r="AK169">
        <v>2</v>
      </c>
      <c r="AL169">
        <v>0</v>
      </c>
      <c r="AM169">
        <v>0</v>
      </c>
      <c r="AN169">
        <v>2</v>
      </c>
      <c r="AO169">
        <v>7</v>
      </c>
      <c r="AP169">
        <v>2</v>
      </c>
      <c r="AQ169">
        <v>77.777777777777004</v>
      </c>
      <c r="AR169" s="2">
        <v>45747.398043981484</v>
      </c>
      <c r="AS169" s="2">
        <v>46016.314930555556</v>
      </c>
      <c r="AT169" t="s">
        <v>61</v>
      </c>
      <c r="AU169" t="s">
        <v>62</v>
      </c>
      <c r="AV169">
        <v>269</v>
      </c>
    </row>
    <row r="170" spans="1:48" x14ac:dyDescent="0.25">
      <c r="A170">
        <v>814</v>
      </c>
      <c r="B170" t="s">
        <v>849</v>
      </c>
      <c r="C170" t="s">
        <v>556</v>
      </c>
      <c r="D170" t="s">
        <v>850</v>
      </c>
      <c r="E170" t="s">
        <v>851</v>
      </c>
      <c r="F170" t="s">
        <v>852</v>
      </c>
      <c r="G170" t="s">
        <v>104</v>
      </c>
      <c r="H170" s="1">
        <v>36511</v>
      </c>
      <c r="I170">
        <v>27</v>
      </c>
      <c r="J170">
        <v>1999</v>
      </c>
      <c r="K170" s="1">
        <v>44655</v>
      </c>
      <c r="L170">
        <v>2022</v>
      </c>
      <c r="M170" t="s">
        <v>54</v>
      </c>
      <c r="N170">
        <v>1</v>
      </c>
      <c r="O170" t="s">
        <v>157</v>
      </c>
      <c r="P170" t="s">
        <v>119</v>
      </c>
      <c r="Q170">
        <v>120</v>
      </c>
      <c r="R170">
        <v>1</v>
      </c>
      <c r="S170" t="s">
        <v>57</v>
      </c>
      <c r="T170" t="s">
        <v>58</v>
      </c>
      <c r="U170">
        <v>12</v>
      </c>
      <c r="V170">
        <v>12</v>
      </c>
      <c r="W170">
        <v>12</v>
      </c>
      <c r="X170">
        <v>10</v>
      </c>
      <c r="Y170">
        <v>3</v>
      </c>
      <c r="Z170">
        <v>11</v>
      </c>
      <c r="AA170">
        <v>2.0909089999999999</v>
      </c>
      <c r="AB170">
        <v>23</v>
      </c>
      <c r="AC170" t="s">
        <v>70</v>
      </c>
      <c r="AD170" t="s">
        <v>60</v>
      </c>
      <c r="AE170">
        <v>2</v>
      </c>
      <c r="AF170">
        <v>0</v>
      </c>
      <c r="AG170">
        <v>2</v>
      </c>
      <c r="AH170">
        <v>1</v>
      </c>
      <c r="AI170">
        <v>0</v>
      </c>
      <c r="AJ170">
        <v>0</v>
      </c>
      <c r="AK170">
        <v>1</v>
      </c>
      <c r="AL170">
        <v>0</v>
      </c>
      <c r="AM170">
        <v>3</v>
      </c>
      <c r="AN170">
        <v>2</v>
      </c>
      <c r="AO170">
        <v>9</v>
      </c>
      <c r="AP170">
        <v>2</v>
      </c>
      <c r="AQ170">
        <v>81.818181818181003</v>
      </c>
      <c r="AR170" s="2">
        <v>45734.484363425923</v>
      </c>
      <c r="AS170" s="2">
        <v>46079.557442129626</v>
      </c>
      <c r="AT170" t="s">
        <v>61</v>
      </c>
      <c r="AU170" t="s">
        <v>62</v>
      </c>
      <c r="AV170">
        <v>345</v>
      </c>
    </row>
    <row r="171" spans="1:48" x14ac:dyDescent="0.25">
      <c r="A171">
        <v>455</v>
      </c>
      <c r="B171" t="s">
        <v>853</v>
      </c>
      <c r="C171" t="s">
        <v>854</v>
      </c>
      <c r="D171" t="s">
        <v>855</v>
      </c>
      <c r="E171" t="s">
        <v>856</v>
      </c>
      <c r="F171" t="s">
        <v>857</v>
      </c>
      <c r="G171" t="s">
        <v>104</v>
      </c>
      <c r="H171" s="1">
        <v>39038</v>
      </c>
      <c r="I171">
        <v>20</v>
      </c>
      <c r="J171">
        <v>2006</v>
      </c>
      <c r="K171" s="1">
        <v>45766</v>
      </c>
      <c r="L171">
        <v>2025</v>
      </c>
      <c r="M171" t="s">
        <v>54</v>
      </c>
      <c r="N171">
        <v>10</v>
      </c>
      <c r="O171" t="s">
        <v>118</v>
      </c>
      <c r="P171" t="s">
        <v>119</v>
      </c>
      <c r="Q171">
        <v>120</v>
      </c>
      <c r="R171">
        <v>4</v>
      </c>
      <c r="S171" t="s">
        <v>77</v>
      </c>
      <c r="T171" t="s">
        <v>78</v>
      </c>
      <c r="U171">
        <v>12</v>
      </c>
      <c r="V171">
        <v>12</v>
      </c>
      <c r="W171">
        <v>12</v>
      </c>
      <c r="X171">
        <v>9</v>
      </c>
      <c r="Y171">
        <v>3</v>
      </c>
      <c r="Z171">
        <v>9</v>
      </c>
      <c r="AA171">
        <v>1.8333330000000001</v>
      </c>
      <c r="AB171">
        <v>16.5</v>
      </c>
      <c r="AC171" t="s">
        <v>70</v>
      </c>
      <c r="AD171" t="s">
        <v>60</v>
      </c>
      <c r="AE171">
        <v>1</v>
      </c>
      <c r="AF171">
        <v>0</v>
      </c>
      <c r="AG171">
        <v>0</v>
      </c>
      <c r="AH171">
        <v>1</v>
      </c>
      <c r="AI171">
        <v>0</v>
      </c>
      <c r="AJ171">
        <v>1</v>
      </c>
      <c r="AK171">
        <v>3</v>
      </c>
      <c r="AL171">
        <v>0</v>
      </c>
      <c r="AM171">
        <v>1</v>
      </c>
      <c r="AN171">
        <v>2</v>
      </c>
      <c r="AO171">
        <v>7</v>
      </c>
      <c r="AP171">
        <v>2</v>
      </c>
      <c r="AQ171">
        <v>77.777777777777004</v>
      </c>
      <c r="AR171" s="2">
        <v>45722.680613425924</v>
      </c>
      <c r="AS171" s="2">
        <v>46056.45480324074</v>
      </c>
      <c r="AT171" t="s">
        <v>61</v>
      </c>
      <c r="AU171" t="s">
        <v>62</v>
      </c>
      <c r="AV171">
        <v>334</v>
      </c>
    </row>
    <row r="172" spans="1:48" x14ac:dyDescent="0.25">
      <c r="A172">
        <v>136</v>
      </c>
      <c r="B172" t="s">
        <v>858</v>
      </c>
      <c r="C172" t="s">
        <v>859</v>
      </c>
      <c r="D172" t="s">
        <v>860</v>
      </c>
      <c r="E172" t="s">
        <v>861</v>
      </c>
      <c r="F172" t="s">
        <v>862</v>
      </c>
      <c r="G172" t="s">
        <v>104</v>
      </c>
      <c r="H172" s="1">
        <v>39268</v>
      </c>
      <c r="I172">
        <v>19</v>
      </c>
      <c r="J172">
        <v>2007</v>
      </c>
      <c r="K172" s="1">
        <v>45110</v>
      </c>
      <c r="L172">
        <v>2023</v>
      </c>
      <c r="M172" t="s">
        <v>111</v>
      </c>
      <c r="N172">
        <v>16</v>
      </c>
      <c r="O172" t="s">
        <v>280</v>
      </c>
      <c r="P172" t="s">
        <v>119</v>
      </c>
      <c r="Q172">
        <v>120</v>
      </c>
      <c r="R172">
        <v>6</v>
      </c>
      <c r="S172" t="s">
        <v>140</v>
      </c>
      <c r="T172" t="s">
        <v>141</v>
      </c>
      <c r="U172">
        <v>12</v>
      </c>
      <c r="V172">
        <v>12</v>
      </c>
      <c r="W172">
        <v>12</v>
      </c>
      <c r="X172">
        <v>12</v>
      </c>
      <c r="Y172">
        <v>3</v>
      </c>
      <c r="Z172">
        <v>10</v>
      </c>
      <c r="AA172">
        <v>2.15</v>
      </c>
      <c r="AB172">
        <v>21.5</v>
      </c>
      <c r="AC172" t="s">
        <v>70</v>
      </c>
      <c r="AD172" t="s">
        <v>60</v>
      </c>
      <c r="AE172">
        <v>2</v>
      </c>
      <c r="AF172">
        <v>0</v>
      </c>
      <c r="AG172">
        <v>1</v>
      </c>
      <c r="AH172">
        <v>3</v>
      </c>
      <c r="AI172">
        <v>0</v>
      </c>
      <c r="AJ172">
        <v>0</v>
      </c>
      <c r="AK172">
        <v>0</v>
      </c>
      <c r="AL172">
        <v>0</v>
      </c>
      <c r="AM172">
        <v>1</v>
      </c>
      <c r="AN172">
        <v>3</v>
      </c>
      <c r="AO172">
        <v>7</v>
      </c>
      <c r="AP172">
        <v>3</v>
      </c>
      <c r="AQ172">
        <v>70</v>
      </c>
      <c r="AR172" s="2">
        <v>45752.364768518521</v>
      </c>
      <c r="AS172" s="2">
        <v>46078.262476851851</v>
      </c>
      <c r="AT172" t="s">
        <v>61</v>
      </c>
      <c r="AU172" t="s">
        <v>62</v>
      </c>
      <c r="AV172">
        <v>326</v>
      </c>
    </row>
    <row r="173" spans="1:48" x14ac:dyDescent="0.25">
      <c r="A173">
        <v>738</v>
      </c>
      <c r="B173" t="s">
        <v>863</v>
      </c>
      <c r="C173" t="s">
        <v>95</v>
      </c>
      <c r="D173" t="s">
        <v>347</v>
      </c>
      <c r="E173" t="s">
        <v>864</v>
      </c>
      <c r="F173" t="s">
        <v>865</v>
      </c>
      <c r="G173" t="s">
        <v>53</v>
      </c>
      <c r="H173" s="1">
        <v>35465</v>
      </c>
      <c r="I173">
        <v>29</v>
      </c>
      <c r="J173">
        <v>1997</v>
      </c>
      <c r="K173" s="1">
        <v>45046</v>
      </c>
      <c r="L173">
        <v>2023</v>
      </c>
      <c r="M173" t="s">
        <v>54</v>
      </c>
      <c r="N173">
        <v>2</v>
      </c>
      <c r="O173" t="s">
        <v>55</v>
      </c>
      <c r="P173" t="s">
        <v>56</v>
      </c>
      <c r="Q173">
        <v>36</v>
      </c>
      <c r="R173">
        <v>1</v>
      </c>
      <c r="S173" t="s">
        <v>57</v>
      </c>
      <c r="T173" t="s">
        <v>58</v>
      </c>
      <c r="U173">
        <v>12</v>
      </c>
      <c r="V173">
        <v>12</v>
      </c>
      <c r="W173">
        <v>12</v>
      </c>
      <c r="X173">
        <v>10</v>
      </c>
      <c r="Y173">
        <v>3</v>
      </c>
      <c r="Z173">
        <v>10</v>
      </c>
      <c r="AA173">
        <v>1.9</v>
      </c>
      <c r="AB173">
        <v>19</v>
      </c>
      <c r="AC173" t="s">
        <v>70</v>
      </c>
      <c r="AD173" t="s">
        <v>112</v>
      </c>
      <c r="AE173">
        <v>0</v>
      </c>
      <c r="AF173">
        <v>0</v>
      </c>
      <c r="AG173">
        <v>0</v>
      </c>
      <c r="AH173">
        <v>2</v>
      </c>
      <c r="AI173">
        <v>0</v>
      </c>
      <c r="AJ173">
        <v>2</v>
      </c>
      <c r="AK173">
        <v>4</v>
      </c>
      <c r="AL173">
        <v>0</v>
      </c>
      <c r="AM173">
        <v>0</v>
      </c>
      <c r="AN173">
        <v>2</v>
      </c>
      <c r="AO173">
        <v>8</v>
      </c>
      <c r="AP173">
        <v>2</v>
      </c>
      <c r="AQ173">
        <v>80</v>
      </c>
      <c r="AR173" s="2">
        <v>45739.461643518516</v>
      </c>
      <c r="AS173" s="2">
        <v>46001.65048611111</v>
      </c>
      <c r="AT173" t="s">
        <v>61</v>
      </c>
      <c r="AU173" t="s">
        <v>62</v>
      </c>
      <c r="AV173">
        <v>262</v>
      </c>
    </row>
    <row r="174" spans="1:48" x14ac:dyDescent="0.25">
      <c r="A174">
        <v>473</v>
      </c>
      <c r="B174" t="s">
        <v>866</v>
      </c>
      <c r="C174" t="s">
        <v>867</v>
      </c>
      <c r="D174" t="s">
        <v>342</v>
      </c>
      <c r="E174" t="s">
        <v>868</v>
      </c>
      <c r="F174">
        <v>8653120704</v>
      </c>
      <c r="G174" t="s">
        <v>53</v>
      </c>
      <c r="H174" s="1">
        <v>35246</v>
      </c>
      <c r="I174">
        <v>30</v>
      </c>
      <c r="J174">
        <v>1996</v>
      </c>
      <c r="K174" s="1">
        <v>44706</v>
      </c>
      <c r="L174">
        <v>2022</v>
      </c>
      <c r="M174" t="s">
        <v>54</v>
      </c>
      <c r="N174">
        <v>14</v>
      </c>
      <c r="O174" t="s">
        <v>105</v>
      </c>
      <c r="P174" t="s">
        <v>56</v>
      </c>
      <c r="Q174">
        <v>36</v>
      </c>
      <c r="R174">
        <v>5</v>
      </c>
      <c r="S174" t="s">
        <v>92</v>
      </c>
      <c r="T174" t="s">
        <v>93</v>
      </c>
      <c r="U174">
        <v>12</v>
      </c>
      <c r="V174">
        <v>12</v>
      </c>
      <c r="W174">
        <v>12</v>
      </c>
      <c r="X174">
        <v>10</v>
      </c>
      <c r="Y174">
        <v>3</v>
      </c>
      <c r="Z174">
        <v>11</v>
      </c>
      <c r="AA174">
        <v>2.818181</v>
      </c>
      <c r="AB174">
        <v>31</v>
      </c>
      <c r="AC174" t="s">
        <v>59</v>
      </c>
      <c r="AD174" t="s">
        <v>60</v>
      </c>
      <c r="AE174">
        <v>4</v>
      </c>
      <c r="AF174">
        <v>0</v>
      </c>
      <c r="AG174">
        <v>1</v>
      </c>
      <c r="AH174">
        <v>0</v>
      </c>
      <c r="AI174">
        <v>0</v>
      </c>
      <c r="AJ174">
        <v>3</v>
      </c>
      <c r="AK174">
        <v>1</v>
      </c>
      <c r="AL174">
        <v>0</v>
      </c>
      <c r="AM174">
        <v>2</v>
      </c>
      <c r="AN174">
        <v>0</v>
      </c>
      <c r="AO174">
        <v>11</v>
      </c>
      <c r="AP174">
        <v>0</v>
      </c>
      <c r="AQ174">
        <v>100</v>
      </c>
      <c r="AR174" s="2">
        <v>45734.007986111108</v>
      </c>
      <c r="AS174" s="2">
        <v>46044.459143518521</v>
      </c>
      <c r="AT174" t="s">
        <v>61</v>
      </c>
      <c r="AU174" t="s">
        <v>62</v>
      </c>
      <c r="AV174">
        <v>310</v>
      </c>
    </row>
    <row r="175" spans="1:48" x14ac:dyDescent="0.25">
      <c r="A175">
        <v>336</v>
      </c>
      <c r="B175" t="s">
        <v>869</v>
      </c>
      <c r="C175" t="s">
        <v>686</v>
      </c>
      <c r="D175" t="s">
        <v>870</v>
      </c>
      <c r="E175" t="s">
        <v>871</v>
      </c>
      <c r="F175">
        <v>8365965666</v>
      </c>
      <c r="G175" t="s">
        <v>53</v>
      </c>
      <c r="H175" s="1">
        <v>37909</v>
      </c>
      <c r="I175">
        <v>23</v>
      </c>
      <c r="J175">
        <v>2003</v>
      </c>
      <c r="K175" s="1">
        <v>45318</v>
      </c>
      <c r="L175">
        <v>2024</v>
      </c>
      <c r="M175" t="s">
        <v>111</v>
      </c>
      <c r="N175">
        <v>9</v>
      </c>
      <c r="O175" t="s">
        <v>151</v>
      </c>
      <c r="P175" t="s">
        <v>69</v>
      </c>
      <c r="Q175">
        <v>60</v>
      </c>
      <c r="R175">
        <v>3</v>
      </c>
      <c r="S175" t="s">
        <v>126</v>
      </c>
      <c r="T175" t="s">
        <v>127</v>
      </c>
      <c r="U175">
        <v>11</v>
      </c>
      <c r="V175">
        <v>12</v>
      </c>
      <c r="W175">
        <v>12</v>
      </c>
      <c r="X175">
        <v>12</v>
      </c>
      <c r="Y175">
        <v>3</v>
      </c>
      <c r="Z175">
        <v>11</v>
      </c>
      <c r="AA175">
        <v>3.0909089999999999</v>
      </c>
      <c r="AB175">
        <v>34</v>
      </c>
      <c r="AC175" t="s">
        <v>540</v>
      </c>
      <c r="AD175" t="s">
        <v>60</v>
      </c>
      <c r="AE175">
        <v>1</v>
      </c>
      <c r="AF175">
        <v>0</v>
      </c>
      <c r="AG175">
        <v>3</v>
      </c>
      <c r="AH175">
        <v>5</v>
      </c>
      <c r="AI175">
        <v>0</v>
      </c>
      <c r="AJ175">
        <v>1</v>
      </c>
      <c r="AK175">
        <v>1</v>
      </c>
      <c r="AL175">
        <v>0</v>
      </c>
      <c r="AM175">
        <v>0</v>
      </c>
      <c r="AN175">
        <v>0</v>
      </c>
      <c r="AO175">
        <v>11</v>
      </c>
      <c r="AP175">
        <v>0</v>
      </c>
      <c r="AQ175">
        <v>100</v>
      </c>
      <c r="AR175" s="2">
        <v>45731.975821759261</v>
      </c>
      <c r="AS175" s="2">
        <v>46067.085219907407</v>
      </c>
      <c r="AT175" t="s">
        <v>61</v>
      </c>
      <c r="AU175" t="s">
        <v>62</v>
      </c>
      <c r="AV175">
        <v>336</v>
      </c>
    </row>
    <row r="176" spans="1:48" x14ac:dyDescent="0.25">
      <c r="A176">
        <v>824</v>
      </c>
      <c r="B176" t="s">
        <v>872</v>
      </c>
      <c r="C176" t="s">
        <v>873</v>
      </c>
      <c r="D176" t="s">
        <v>874</v>
      </c>
      <c r="E176" t="s">
        <v>875</v>
      </c>
      <c r="F176">
        <v>8757203447</v>
      </c>
      <c r="G176" t="s">
        <v>53</v>
      </c>
      <c r="H176" s="1">
        <v>34955</v>
      </c>
      <c r="I176">
        <v>31</v>
      </c>
      <c r="J176">
        <v>1995</v>
      </c>
      <c r="K176" s="1">
        <v>45720</v>
      </c>
      <c r="L176">
        <v>2025</v>
      </c>
      <c r="M176" t="s">
        <v>54</v>
      </c>
      <c r="N176">
        <v>4</v>
      </c>
      <c r="O176" t="s">
        <v>215</v>
      </c>
      <c r="P176" t="s">
        <v>119</v>
      </c>
      <c r="Q176">
        <v>120</v>
      </c>
      <c r="R176">
        <v>2</v>
      </c>
      <c r="S176" t="s">
        <v>85</v>
      </c>
      <c r="T176" t="s">
        <v>86</v>
      </c>
      <c r="U176">
        <v>12</v>
      </c>
      <c r="V176">
        <v>12</v>
      </c>
      <c r="W176">
        <v>12</v>
      </c>
      <c r="X176">
        <v>12</v>
      </c>
      <c r="Y176">
        <v>3</v>
      </c>
      <c r="Z176">
        <v>10</v>
      </c>
      <c r="AA176">
        <v>2.15</v>
      </c>
      <c r="AB176">
        <v>21.5</v>
      </c>
      <c r="AC176" t="s">
        <v>70</v>
      </c>
      <c r="AD176" t="s">
        <v>60</v>
      </c>
      <c r="AE176">
        <v>2</v>
      </c>
      <c r="AF176">
        <v>0</v>
      </c>
      <c r="AG176">
        <v>2</v>
      </c>
      <c r="AH176">
        <v>1</v>
      </c>
      <c r="AI176">
        <v>0</v>
      </c>
      <c r="AJ176">
        <v>1</v>
      </c>
      <c r="AK176">
        <v>0</v>
      </c>
      <c r="AL176">
        <v>0</v>
      </c>
      <c r="AM176">
        <v>1</v>
      </c>
      <c r="AN176">
        <v>3</v>
      </c>
      <c r="AO176">
        <v>7</v>
      </c>
      <c r="AP176">
        <v>3</v>
      </c>
      <c r="AQ176">
        <v>70</v>
      </c>
      <c r="AR176" s="2">
        <v>45764.620358796295</v>
      </c>
      <c r="AS176" s="2">
        <v>45979.388206018521</v>
      </c>
      <c r="AT176" t="s">
        <v>61</v>
      </c>
      <c r="AU176" t="s">
        <v>62</v>
      </c>
      <c r="AV176">
        <v>215</v>
      </c>
    </row>
    <row r="177" spans="1:48" x14ac:dyDescent="0.25">
      <c r="A177">
        <v>401</v>
      </c>
      <c r="B177" t="s">
        <v>876</v>
      </c>
      <c r="C177" t="s">
        <v>877</v>
      </c>
      <c r="D177" t="s">
        <v>878</v>
      </c>
      <c r="E177" t="s">
        <v>879</v>
      </c>
      <c r="F177" t="s">
        <v>880</v>
      </c>
      <c r="G177" t="s">
        <v>104</v>
      </c>
      <c r="H177" s="1">
        <v>36284</v>
      </c>
      <c r="I177">
        <v>27</v>
      </c>
      <c r="J177">
        <v>1999</v>
      </c>
      <c r="K177" s="1">
        <v>44666</v>
      </c>
      <c r="L177">
        <v>2022</v>
      </c>
      <c r="M177" t="s">
        <v>54</v>
      </c>
      <c r="N177">
        <v>13</v>
      </c>
      <c r="O177" t="s">
        <v>146</v>
      </c>
      <c r="P177" t="s">
        <v>119</v>
      </c>
      <c r="Q177">
        <v>120</v>
      </c>
      <c r="R177">
        <v>5</v>
      </c>
      <c r="S177" t="s">
        <v>92</v>
      </c>
      <c r="T177" t="s">
        <v>93</v>
      </c>
      <c r="U177">
        <v>12</v>
      </c>
      <c r="V177">
        <v>12</v>
      </c>
      <c r="W177">
        <v>12</v>
      </c>
      <c r="X177">
        <v>12</v>
      </c>
      <c r="Y177">
        <v>3</v>
      </c>
      <c r="Z177">
        <v>10</v>
      </c>
      <c r="AA177">
        <v>2.6</v>
      </c>
      <c r="AB177">
        <v>26</v>
      </c>
      <c r="AC177" t="s">
        <v>70</v>
      </c>
      <c r="AD177" t="s">
        <v>60</v>
      </c>
      <c r="AE177">
        <v>2</v>
      </c>
      <c r="AF177">
        <v>0</v>
      </c>
      <c r="AG177">
        <v>2</v>
      </c>
      <c r="AH177">
        <v>2</v>
      </c>
      <c r="AI177">
        <v>0</v>
      </c>
      <c r="AJ177">
        <v>2</v>
      </c>
      <c r="AK177">
        <v>0</v>
      </c>
      <c r="AL177">
        <v>0</v>
      </c>
      <c r="AM177">
        <v>0</v>
      </c>
      <c r="AN177">
        <v>2</v>
      </c>
      <c r="AO177">
        <v>8</v>
      </c>
      <c r="AP177">
        <v>2</v>
      </c>
      <c r="AQ177">
        <v>80</v>
      </c>
      <c r="AR177" s="2">
        <v>45727.682071759256</v>
      </c>
      <c r="AS177" s="2">
        <v>46075.008344907408</v>
      </c>
      <c r="AT177" t="s">
        <v>61</v>
      </c>
      <c r="AU177" t="s">
        <v>62</v>
      </c>
      <c r="AV177">
        <v>348</v>
      </c>
    </row>
    <row r="178" spans="1:48" x14ac:dyDescent="0.25">
      <c r="A178">
        <v>47</v>
      </c>
      <c r="B178" t="s">
        <v>881</v>
      </c>
      <c r="C178" t="s">
        <v>64</v>
      </c>
      <c r="D178" t="s">
        <v>709</v>
      </c>
      <c r="E178" t="s">
        <v>882</v>
      </c>
      <c r="F178" t="s">
        <v>883</v>
      </c>
      <c r="G178" t="s">
        <v>53</v>
      </c>
      <c r="H178" s="1">
        <v>35269</v>
      </c>
      <c r="I178">
        <v>30</v>
      </c>
      <c r="J178">
        <v>1996</v>
      </c>
      <c r="K178" s="1">
        <v>45182</v>
      </c>
      <c r="L178">
        <v>2023</v>
      </c>
      <c r="M178" t="s">
        <v>54</v>
      </c>
      <c r="N178">
        <v>11</v>
      </c>
      <c r="O178" t="s">
        <v>378</v>
      </c>
      <c r="P178" t="s">
        <v>56</v>
      </c>
      <c r="Q178">
        <v>36</v>
      </c>
      <c r="R178">
        <v>4</v>
      </c>
      <c r="S178" t="s">
        <v>77</v>
      </c>
      <c r="T178" t="s">
        <v>78</v>
      </c>
      <c r="U178">
        <v>10</v>
      </c>
      <c r="V178">
        <v>12</v>
      </c>
      <c r="W178">
        <v>12</v>
      </c>
      <c r="X178">
        <v>9</v>
      </c>
      <c r="Y178">
        <v>3</v>
      </c>
      <c r="Z178">
        <v>9</v>
      </c>
      <c r="AA178">
        <v>2.6666660000000002</v>
      </c>
      <c r="AB178">
        <v>24</v>
      </c>
      <c r="AC178" t="s">
        <v>59</v>
      </c>
      <c r="AD178" t="s">
        <v>60</v>
      </c>
      <c r="AE178">
        <v>1</v>
      </c>
      <c r="AF178">
        <v>0</v>
      </c>
      <c r="AG178">
        <v>3</v>
      </c>
      <c r="AH178">
        <v>0</v>
      </c>
      <c r="AI178">
        <v>0</v>
      </c>
      <c r="AJ178">
        <v>3</v>
      </c>
      <c r="AK178">
        <v>0</v>
      </c>
      <c r="AL178">
        <v>0</v>
      </c>
      <c r="AM178">
        <v>2</v>
      </c>
      <c r="AN178">
        <v>0</v>
      </c>
      <c r="AO178">
        <v>9</v>
      </c>
      <c r="AP178">
        <v>0</v>
      </c>
      <c r="AQ178">
        <v>100</v>
      </c>
      <c r="AR178" s="2">
        <v>45743.604201388887</v>
      </c>
      <c r="AS178" s="2">
        <v>46085.711608796293</v>
      </c>
      <c r="AT178" t="s">
        <v>61</v>
      </c>
      <c r="AU178" t="s">
        <v>62</v>
      </c>
      <c r="AV178">
        <v>342</v>
      </c>
    </row>
    <row r="179" spans="1:48" x14ac:dyDescent="0.25">
      <c r="A179">
        <v>15</v>
      </c>
      <c r="B179" t="s">
        <v>884</v>
      </c>
      <c r="C179" t="s">
        <v>135</v>
      </c>
      <c r="D179" t="s">
        <v>415</v>
      </c>
      <c r="E179" t="s">
        <v>885</v>
      </c>
      <c r="F179" t="s">
        <v>886</v>
      </c>
      <c r="G179" t="s">
        <v>53</v>
      </c>
      <c r="H179" s="1">
        <v>36110</v>
      </c>
      <c r="I179">
        <v>28</v>
      </c>
      <c r="J179">
        <v>1998</v>
      </c>
      <c r="K179" s="1">
        <v>45594</v>
      </c>
      <c r="L179">
        <v>2024</v>
      </c>
      <c r="M179" t="s">
        <v>54</v>
      </c>
      <c r="N179">
        <v>14</v>
      </c>
      <c r="O179" t="s">
        <v>105</v>
      </c>
      <c r="P179" t="s">
        <v>56</v>
      </c>
      <c r="Q179">
        <v>36</v>
      </c>
      <c r="R179">
        <v>5</v>
      </c>
      <c r="S179" t="s">
        <v>92</v>
      </c>
      <c r="T179" t="s">
        <v>93</v>
      </c>
      <c r="U179">
        <v>11</v>
      </c>
      <c r="V179">
        <v>12</v>
      </c>
      <c r="W179">
        <v>12</v>
      </c>
      <c r="X179">
        <v>11</v>
      </c>
      <c r="Y179">
        <v>3</v>
      </c>
      <c r="Z179">
        <v>12</v>
      </c>
      <c r="AA179">
        <v>2.7083330000000001</v>
      </c>
      <c r="AB179">
        <v>32.5</v>
      </c>
      <c r="AC179" t="s">
        <v>70</v>
      </c>
      <c r="AD179" t="s">
        <v>60</v>
      </c>
      <c r="AE179">
        <v>2</v>
      </c>
      <c r="AF179">
        <v>0</v>
      </c>
      <c r="AG179">
        <v>3</v>
      </c>
      <c r="AH179">
        <v>1</v>
      </c>
      <c r="AI179">
        <v>0</v>
      </c>
      <c r="AJ179">
        <v>2</v>
      </c>
      <c r="AK179">
        <v>3</v>
      </c>
      <c r="AL179">
        <v>0</v>
      </c>
      <c r="AM179">
        <v>0</v>
      </c>
      <c r="AN179">
        <v>1</v>
      </c>
      <c r="AO179">
        <v>11</v>
      </c>
      <c r="AP179">
        <v>1</v>
      </c>
      <c r="AQ179">
        <v>91.666666666666003</v>
      </c>
      <c r="AR179" s="2">
        <v>45727.077604166669</v>
      </c>
      <c r="AS179" s="2">
        <v>46070.632048611114</v>
      </c>
      <c r="AT179" t="s">
        <v>61</v>
      </c>
      <c r="AU179" t="s">
        <v>62</v>
      </c>
      <c r="AV179">
        <v>343</v>
      </c>
    </row>
    <row r="180" spans="1:48" x14ac:dyDescent="0.25">
      <c r="A180">
        <v>8</v>
      </c>
      <c r="B180" t="s">
        <v>887</v>
      </c>
      <c r="C180" t="s">
        <v>888</v>
      </c>
      <c r="D180" t="s">
        <v>889</v>
      </c>
      <c r="E180" t="s">
        <v>890</v>
      </c>
      <c r="F180" t="s">
        <v>891</v>
      </c>
      <c r="G180" t="s">
        <v>53</v>
      </c>
      <c r="H180" s="1">
        <v>38283</v>
      </c>
      <c r="I180">
        <v>22</v>
      </c>
      <c r="J180">
        <v>2004</v>
      </c>
      <c r="K180" s="1">
        <v>45431</v>
      </c>
      <c r="L180">
        <v>2024</v>
      </c>
      <c r="M180" t="s">
        <v>54</v>
      </c>
      <c r="N180">
        <v>11</v>
      </c>
      <c r="O180" t="s">
        <v>378</v>
      </c>
      <c r="P180" t="s">
        <v>56</v>
      </c>
      <c r="Q180">
        <v>36</v>
      </c>
      <c r="R180">
        <v>4</v>
      </c>
      <c r="S180" t="s">
        <v>77</v>
      </c>
      <c r="T180" t="s">
        <v>78</v>
      </c>
      <c r="U180">
        <v>11</v>
      </c>
      <c r="V180">
        <v>12</v>
      </c>
      <c r="W180">
        <v>12</v>
      </c>
      <c r="X180">
        <v>11</v>
      </c>
      <c r="Y180">
        <v>3</v>
      </c>
      <c r="Z180">
        <v>9</v>
      </c>
      <c r="AA180">
        <v>1.8888879999999999</v>
      </c>
      <c r="AB180">
        <v>17</v>
      </c>
      <c r="AC180" t="s">
        <v>70</v>
      </c>
      <c r="AD180" t="s">
        <v>60</v>
      </c>
      <c r="AE180">
        <v>1</v>
      </c>
      <c r="AF180">
        <v>0</v>
      </c>
      <c r="AG180">
        <v>1</v>
      </c>
      <c r="AH180">
        <v>1</v>
      </c>
      <c r="AI180">
        <v>0</v>
      </c>
      <c r="AJ180">
        <v>1</v>
      </c>
      <c r="AK180">
        <v>0</v>
      </c>
      <c r="AL180">
        <v>0</v>
      </c>
      <c r="AM180">
        <v>4</v>
      </c>
      <c r="AN180">
        <v>1</v>
      </c>
      <c r="AO180">
        <v>8</v>
      </c>
      <c r="AP180">
        <v>1</v>
      </c>
      <c r="AQ180">
        <v>88.888888888888005</v>
      </c>
      <c r="AR180" s="2">
        <v>45772.630972222221</v>
      </c>
      <c r="AS180" s="2">
        <v>46049.998831018522</v>
      </c>
      <c r="AT180" t="s">
        <v>61</v>
      </c>
      <c r="AU180" t="s">
        <v>62</v>
      </c>
      <c r="AV180">
        <v>277</v>
      </c>
    </row>
    <row r="181" spans="1:48" x14ac:dyDescent="0.25">
      <c r="A181">
        <v>619</v>
      </c>
      <c r="B181" t="s">
        <v>892</v>
      </c>
      <c r="C181" t="s">
        <v>182</v>
      </c>
      <c r="D181" t="s">
        <v>878</v>
      </c>
      <c r="E181" t="s">
        <v>893</v>
      </c>
      <c r="F181" t="s">
        <v>894</v>
      </c>
      <c r="G181" t="s">
        <v>104</v>
      </c>
      <c r="H181" s="1">
        <v>36858</v>
      </c>
      <c r="I181">
        <v>26</v>
      </c>
      <c r="J181">
        <v>2000</v>
      </c>
      <c r="K181" s="1">
        <v>45165</v>
      </c>
      <c r="L181">
        <v>2023</v>
      </c>
      <c r="M181" t="s">
        <v>54</v>
      </c>
      <c r="N181">
        <v>3</v>
      </c>
      <c r="O181" t="s">
        <v>68</v>
      </c>
      <c r="P181" t="s">
        <v>69</v>
      </c>
      <c r="Q181">
        <v>60</v>
      </c>
      <c r="R181">
        <v>1</v>
      </c>
      <c r="S181" t="s">
        <v>57</v>
      </c>
      <c r="T181" t="s">
        <v>58</v>
      </c>
      <c r="U181">
        <v>11</v>
      </c>
      <c r="V181">
        <v>12</v>
      </c>
      <c r="W181">
        <v>12</v>
      </c>
      <c r="X181">
        <v>11</v>
      </c>
      <c r="Y181">
        <v>3</v>
      </c>
      <c r="Z181">
        <v>9</v>
      </c>
      <c r="AA181">
        <v>2.1666660000000002</v>
      </c>
      <c r="AB181">
        <v>19.5</v>
      </c>
      <c r="AC181" t="s">
        <v>70</v>
      </c>
      <c r="AD181" t="s">
        <v>112</v>
      </c>
      <c r="AE181">
        <v>0</v>
      </c>
      <c r="AF181">
        <v>0</v>
      </c>
      <c r="AG181">
        <v>2</v>
      </c>
      <c r="AH181">
        <v>2</v>
      </c>
      <c r="AI181">
        <v>0</v>
      </c>
      <c r="AJ181">
        <v>1</v>
      </c>
      <c r="AK181">
        <v>2</v>
      </c>
      <c r="AL181">
        <v>0</v>
      </c>
      <c r="AM181">
        <v>0</v>
      </c>
      <c r="AN181">
        <v>2</v>
      </c>
      <c r="AO181">
        <v>7</v>
      </c>
      <c r="AP181">
        <v>2</v>
      </c>
      <c r="AQ181">
        <v>77.777777777777004</v>
      </c>
      <c r="AR181" s="2">
        <v>45745.74900462963</v>
      </c>
      <c r="AS181" s="2">
        <v>46073.047777777778</v>
      </c>
      <c r="AT181" t="s">
        <v>61</v>
      </c>
      <c r="AU181" t="s">
        <v>62</v>
      </c>
      <c r="AV181">
        <v>328</v>
      </c>
    </row>
    <row r="182" spans="1:48" x14ac:dyDescent="0.25">
      <c r="A182">
        <v>89</v>
      </c>
      <c r="B182" t="s">
        <v>895</v>
      </c>
      <c r="C182" t="s">
        <v>896</v>
      </c>
      <c r="D182" t="s">
        <v>897</v>
      </c>
      <c r="E182" t="s">
        <v>898</v>
      </c>
      <c r="F182" t="s">
        <v>899</v>
      </c>
      <c r="G182" t="s">
        <v>53</v>
      </c>
      <c r="H182" s="1">
        <v>38806</v>
      </c>
      <c r="I182">
        <v>20</v>
      </c>
      <c r="J182">
        <v>2006</v>
      </c>
      <c r="K182" s="1">
        <v>45664</v>
      </c>
      <c r="L182">
        <v>2025</v>
      </c>
      <c r="M182" t="s">
        <v>54</v>
      </c>
      <c r="N182">
        <v>4</v>
      </c>
      <c r="O182" t="s">
        <v>215</v>
      </c>
      <c r="P182" t="s">
        <v>119</v>
      </c>
      <c r="Q182">
        <v>120</v>
      </c>
      <c r="R182">
        <v>2</v>
      </c>
      <c r="S182" t="s">
        <v>85</v>
      </c>
      <c r="T182" t="s">
        <v>86</v>
      </c>
      <c r="U182">
        <v>12</v>
      </c>
      <c r="V182">
        <v>12</v>
      </c>
      <c r="W182">
        <v>12</v>
      </c>
      <c r="X182">
        <v>10</v>
      </c>
      <c r="Y182">
        <v>3</v>
      </c>
      <c r="Z182">
        <v>8</v>
      </c>
      <c r="AA182">
        <v>2.3125</v>
      </c>
      <c r="AB182">
        <v>18.5</v>
      </c>
      <c r="AC182" t="s">
        <v>70</v>
      </c>
      <c r="AD182" t="s">
        <v>60</v>
      </c>
      <c r="AE182">
        <v>1</v>
      </c>
      <c r="AF182">
        <v>0</v>
      </c>
      <c r="AG182">
        <v>0</v>
      </c>
      <c r="AH182">
        <v>3</v>
      </c>
      <c r="AI182">
        <v>0</v>
      </c>
      <c r="AJ182">
        <v>1</v>
      </c>
      <c r="AK182">
        <v>1</v>
      </c>
      <c r="AL182">
        <v>0</v>
      </c>
      <c r="AM182">
        <v>1</v>
      </c>
      <c r="AN182">
        <v>1</v>
      </c>
      <c r="AO182">
        <v>7</v>
      </c>
      <c r="AP182">
        <v>1</v>
      </c>
      <c r="AQ182">
        <v>87.5</v>
      </c>
      <c r="AR182" s="2">
        <v>45731.386342592596</v>
      </c>
      <c r="AS182" s="2">
        <v>46020.796782407408</v>
      </c>
      <c r="AT182" t="s">
        <v>61</v>
      </c>
      <c r="AU182" t="s">
        <v>62</v>
      </c>
      <c r="AV182">
        <v>289</v>
      </c>
    </row>
    <row r="183" spans="1:48" x14ac:dyDescent="0.25">
      <c r="A183">
        <v>705</v>
      </c>
      <c r="B183" t="s">
        <v>900</v>
      </c>
      <c r="C183" t="s">
        <v>725</v>
      </c>
      <c r="D183" t="s">
        <v>562</v>
      </c>
      <c r="E183" t="s">
        <v>901</v>
      </c>
      <c r="F183" t="s">
        <v>902</v>
      </c>
      <c r="G183" t="s">
        <v>53</v>
      </c>
      <c r="H183" s="1">
        <v>35582</v>
      </c>
      <c r="I183">
        <v>29</v>
      </c>
      <c r="J183">
        <v>1997</v>
      </c>
      <c r="K183" s="1">
        <v>44690</v>
      </c>
      <c r="L183">
        <v>2022</v>
      </c>
      <c r="M183" t="s">
        <v>54</v>
      </c>
      <c r="N183">
        <v>21</v>
      </c>
      <c r="O183" t="s">
        <v>339</v>
      </c>
      <c r="P183" t="s">
        <v>69</v>
      </c>
      <c r="Q183">
        <v>60</v>
      </c>
      <c r="R183">
        <v>7</v>
      </c>
      <c r="S183" t="s">
        <v>163</v>
      </c>
      <c r="T183" t="s">
        <v>164</v>
      </c>
      <c r="U183">
        <v>10</v>
      </c>
      <c r="V183">
        <v>12</v>
      </c>
      <c r="W183">
        <v>12</v>
      </c>
      <c r="X183">
        <v>11</v>
      </c>
      <c r="Y183">
        <v>3</v>
      </c>
      <c r="Z183">
        <v>9</v>
      </c>
      <c r="AA183">
        <v>1.4444440000000001</v>
      </c>
      <c r="AB183">
        <v>13</v>
      </c>
      <c r="AC183" t="s">
        <v>70</v>
      </c>
      <c r="AD183" t="s">
        <v>281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3</v>
      </c>
      <c r="AK183">
        <v>1</v>
      </c>
      <c r="AL183">
        <v>0</v>
      </c>
      <c r="AM183">
        <v>0</v>
      </c>
      <c r="AN183">
        <v>4</v>
      </c>
      <c r="AO183">
        <v>5</v>
      </c>
      <c r="AP183">
        <v>4</v>
      </c>
      <c r="AQ183">
        <v>55.555555555555003</v>
      </c>
      <c r="AR183" s="2">
        <v>45748.130833333336</v>
      </c>
      <c r="AS183" s="2">
        <v>46083.167222222219</v>
      </c>
      <c r="AT183" t="s">
        <v>61</v>
      </c>
      <c r="AU183" t="s">
        <v>62</v>
      </c>
      <c r="AV183">
        <v>335</v>
      </c>
    </row>
    <row r="184" spans="1:48" x14ac:dyDescent="0.25">
      <c r="A184">
        <v>415</v>
      </c>
      <c r="B184" t="s">
        <v>903</v>
      </c>
      <c r="C184" t="s">
        <v>904</v>
      </c>
      <c r="D184" t="s">
        <v>425</v>
      </c>
      <c r="E184" t="s">
        <v>905</v>
      </c>
      <c r="F184" t="s">
        <v>906</v>
      </c>
      <c r="G184" t="s">
        <v>53</v>
      </c>
      <c r="H184" s="1">
        <v>38064</v>
      </c>
      <c r="I184">
        <v>22</v>
      </c>
      <c r="J184">
        <v>2004</v>
      </c>
      <c r="K184" s="1">
        <v>45738</v>
      </c>
      <c r="L184">
        <v>2025</v>
      </c>
      <c r="M184" t="s">
        <v>54</v>
      </c>
      <c r="N184">
        <v>19</v>
      </c>
      <c r="O184" t="s">
        <v>162</v>
      </c>
      <c r="P184" t="s">
        <v>119</v>
      </c>
      <c r="Q184">
        <v>120</v>
      </c>
      <c r="R184">
        <v>7</v>
      </c>
      <c r="S184" t="s">
        <v>163</v>
      </c>
      <c r="T184" t="s">
        <v>164</v>
      </c>
      <c r="U184">
        <v>11</v>
      </c>
      <c r="V184">
        <v>12</v>
      </c>
      <c r="W184">
        <v>12</v>
      </c>
      <c r="X184">
        <v>11</v>
      </c>
      <c r="Y184">
        <v>3</v>
      </c>
      <c r="Z184">
        <v>12</v>
      </c>
      <c r="AA184">
        <v>2.125</v>
      </c>
      <c r="AB184">
        <v>25.5</v>
      </c>
      <c r="AC184" t="s">
        <v>70</v>
      </c>
      <c r="AD184" t="s">
        <v>112</v>
      </c>
      <c r="AE184">
        <v>0</v>
      </c>
      <c r="AF184">
        <v>0</v>
      </c>
      <c r="AG184">
        <v>0</v>
      </c>
      <c r="AH184">
        <v>4</v>
      </c>
      <c r="AI184">
        <v>0</v>
      </c>
      <c r="AJ184">
        <v>3</v>
      </c>
      <c r="AK184">
        <v>2</v>
      </c>
      <c r="AL184">
        <v>0</v>
      </c>
      <c r="AM184">
        <v>2</v>
      </c>
      <c r="AN184">
        <v>1</v>
      </c>
      <c r="AO184">
        <v>11</v>
      </c>
      <c r="AP184">
        <v>1</v>
      </c>
      <c r="AQ184">
        <v>91.666666666666003</v>
      </c>
      <c r="AR184" s="2">
        <v>45752.060381944444</v>
      </c>
      <c r="AS184" s="2">
        <v>46078.389525462961</v>
      </c>
      <c r="AT184" t="s">
        <v>61</v>
      </c>
      <c r="AU184" t="s">
        <v>62</v>
      </c>
      <c r="AV184">
        <v>326</v>
      </c>
    </row>
    <row r="185" spans="1:48" x14ac:dyDescent="0.25">
      <c r="A185">
        <v>605</v>
      </c>
      <c r="B185" t="s">
        <v>907</v>
      </c>
      <c r="C185" t="s">
        <v>908</v>
      </c>
      <c r="D185" t="s">
        <v>909</v>
      </c>
      <c r="E185" t="s">
        <v>910</v>
      </c>
      <c r="F185">
        <f>1-447-576-8634</f>
        <v>-9656</v>
      </c>
      <c r="G185" t="s">
        <v>104</v>
      </c>
      <c r="H185" s="1">
        <v>38025</v>
      </c>
      <c r="I185">
        <v>22</v>
      </c>
      <c r="J185">
        <v>2004</v>
      </c>
      <c r="K185" s="1">
        <v>45921</v>
      </c>
      <c r="L185">
        <v>2025</v>
      </c>
      <c r="M185" t="s">
        <v>54</v>
      </c>
      <c r="N185">
        <v>13</v>
      </c>
      <c r="O185" t="s">
        <v>146</v>
      </c>
      <c r="P185" t="s">
        <v>119</v>
      </c>
      <c r="Q185">
        <v>120</v>
      </c>
      <c r="R185">
        <v>5</v>
      </c>
      <c r="S185" t="s">
        <v>92</v>
      </c>
      <c r="T185" t="s">
        <v>93</v>
      </c>
      <c r="U185">
        <v>11</v>
      </c>
      <c r="V185">
        <v>12</v>
      </c>
      <c r="W185">
        <v>12</v>
      </c>
      <c r="X185">
        <v>11</v>
      </c>
      <c r="Y185">
        <v>3</v>
      </c>
      <c r="Z185">
        <v>10</v>
      </c>
      <c r="AA185">
        <v>1.75</v>
      </c>
      <c r="AB185">
        <v>17.5</v>
      </c>
      <c r="AC185" t="s">
        <v>70</v>
      </c>
      <c r="AD185" t="s">
        <v>60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3</v>
      </c>
      <c r="AK185">
        <v>1</v>
      </c>
      <c r="AL185">
        <v>0</v>
      </c>
      <c r="AM185">
        <v>4</v>
      </c>
      <c r="AN185">
        <v>1</v>
      </c>
      <c r="AO185">
        <v>9</v>
      </c>
      <c r="AP185">
        <v>1</v>
      </c>
      <c r="AQ185">
        <v>90</v>
      </c>
      <c r="AR185" s="2">
        <v>45744.303124999999</v>
      </c>
      <c r="AS185" s="2">
        <v>46040.792291666665</v>
      </c>
      <c r="AT185" t="s">
        <v>61</v>
      </c>
      <c r="AU185" t="s">
        <v>62</v>
      </c>
      <c r="AV185">
        <v>296</v>
      </c>
    </row>
    <row r="186" spans="1:48" x14ac:dyDescent="0.25">
      <c r="A186">
        <v>439</v>
      </c>
      <c r="B186" t="s">
        <v>911</v>
      </c>
      <c r="C186" t="s">
        <v>148</v>
      </c>
      <c r="D186" t="s">
        <v>596</v>
      </c>
      <c r="E186" t="s">
        <v>912</v>
      </c>
      <c r="F186" t="s">
        <v>913</v>
      </c>
      <c r="G186" t="s">
        <v>53</v>
      </c>
      <c r="H186" s="1">
        <v>35529</v>
      </c>
      <c r="I186">
        <v>29</v>
      </c>
      <c r="J186">
        <v>1997</v>
      </c>
      <c r="K186" s="1">
        <v>45685</v>
      </c>
      <c r="L186">
        <v>2025</v>
      </c>
      <c r="M186" t="s">
        <v>111</v>
      </c>
      <c r="N186">
        <v>18</v>
      </c>
      <c r="O186" t="s">
        <v>139</v>
      </c>
      <c r="P186" t="s">
        <v>69</v>
      </c>
      <c r="Q186">
        <v>60</v>
      </c>
      <c r="R186">
        <v>6</v>
      </c>
      <c r="S186" t="s">
        <v>140</v>
      </c>
      <c r="T186" t="s">
        <v>141</v>
      </c>
      <c r="U186">
        <v>11</v>
      </c>
      <c r="V186">
        <v>12</v>
      </c>
      <c r="W186">
        <v>12</v>
      </c>
      <c r="X186">
        <v>9</v>
      </c>
      <c r="Y186">
        <v>3</v>
      </c>
      <c r="Z186">
        <v>9</v>
      </c>
      <c r="AA186">
        <v>2</v>
      </c>
      <c r="AB186">
        <v>18</v>
      </c>
      <c r="AC186" t="s">
        <v>70</v>
      </c>
      <c r="AD186" t="s">
        <v>60</v>
      </c>
      <c r="AE186">
        <v>1</v>
      </c>
      <c r="AF186">
        <v>0</v>
      </c>
      <c r="AG186">
        <v>2</v>
      </c>
      <c r="AH186">
        <v>1</v>
      </c>
      <c r="AI186">
        <v>0</v>
      </c>
      <c r="AJ186">
        <v>0</v>
      </c>
      <c r="AK186">
        <v>2</v>
      </c>
      <c r="AL186">
        <v>0</v>
      </c>
      <c r="AM186">
        <v>0</v>
      </c>
      <c r="AN186">
        <v>3</v>
      </c>
      <c r="AO186">
        <v>6</v>
      </c>
      <c r="AP186">
        <v>3</v>
      </c>
      <c r="AQ186">
        <v>66.666666666666003</v>
      </c>
      <c r="AR186" s="2">
        <v>45729.645787037036</v>
      </c>
      <c r="AS186" s="2">
        <v>46056.086956018517</v>
      </c>
      <c r="AT186" t="s">
        <v>61</v>
      </c>
      <c r="AU186" t="s">
        <v>62</v>
      </c>
      <c r="AV186">
        <v>327</v>
      </c>
    </row>
    <row r="187" spans="1:48" x14ac:dyDescent="0.25">
      <c r="A187">
        <v>626</v>
      </c>
      <c r="B187" t="s">
        <v>914</v>
      </c>
      <c r="C187" t="s">
        <v>472</v>
      </c>
      <c r="D187" t="s">
        <v>415</v>
      </c>
      <c r="E187" t="s">
        <v>915</v>
      </c>
      <c r="F187" t="s">
        <v>916</v>
      </c>
      <c r="G187" t="s">
        <v>53</v>
      </c>
      <c r="H187" s="1">
        <v>38980</v>
      </c>
      <c r="I187">
        <v>20</v>
      </c>
      <c r="J187">
        <v>2006</v>
      </c>
      <c r="K187" s="1">
        <v>45196</v>
      </c>
      <c r="L187">
        <v>2023</v>
      </c>
      <c r="M187" t="s">
        <v>54</v>
      </c>
      <c r="N187">
        <v>15</v>
      </c>
      <c r="O187" t="s">
        <v>91</v>
      </c>
      <c r="P187" t="s">
        <v>69</v>
      </c>
      <c r="Q187">
        <v>60</v>
      </c>
      <c r="R187">
        <v>5</v>
      </c>
      <c r="S187" t="s">
        <v>92</v>
      </c>
      <c r="T187" t="s">
        <v>93</v>
      </c>
      <c r="U187">
        <v>12</v>
      </c>
      <c r="V187">
        <v>12</v>
      </c>
      <c r="W187">
        <v>12</v>
      </c>
      <c r="X187">
        <v>10</v>
      </c>
      <c r="Y187">
        <v>3</v>
      </c>
      <c r="Z187">
        <v>9</v>
      </c>
      <c r="AA187">
        <v>2.2777769999999999</v>
      </c>
      <c r="AB187">
        <v>20.5</v>
      </c>
      <c r="AC187" t="s">
        <v>70</v>
      </c>
      <c r="AD187" t="s">
        <v>60</v>
      </c>
      <c r="AE187">
        <v>2</v>
      </c>
      <c r="AF187">
        <v>0</v>
      </c>
      <c r="AG187">
        <v>0</v>
      </c>
      <c r="AH187">
        <v>1</v>
      </c>
      <c r="AI187">
        <v>0</v>
      </c>
      <c r="AJ187">
        <v>1</v>
      </c>
      <c r="AK187">
        <v>3</v>
      </c>
      <c r="AL187">
        <v>0</v>
      </c>
      <c r="AM187">
        <v>1</v>
      </c>
      <c r="AN187">
        <v>1</v>
      </c>
      <c r="AO187">
        <v>8</v>
      </c>
      <c r="AP187">
        <v>1</v>
      </c>
      <c r="AQ187">
        <v>88.888888888888005</v>
      </c>
      <c r="AR187" s="2">
        <v>45755.391400462962</v>
      </c>
      <c r="AS187" s="2">
        <v>46063.545520833337</v>
      </c>
      <c r="AT187" t="s">
        <v>61</v>
      </c>
      <c r="AU187" t="s">
        <v>62</v>
      </c>
      <c r="AV187">
        <v>308</v>
      </c>
    </row>
    <row r="188" spans="1:48" x14ac:dyDescent="0.25">
      <c r="A188">
        <v>615</v>
      </c>
      <c r="B188" t="s">
        <v>917</v>
      </c>
      <c r="C188" t="s">
        <v>918</v>
      </c>
      <c r="D188" t="s">
        <v>919</v>
      </c>
      <c r="E188" t="s">
        <v>920</v>
      </c>
      <c r="F188" t="s">
        <v>921</v>
      </c>
      <c r="G188" t="s">
        <v>104</v>
      </c>
      <c r="H188" s="1">
        <v>37903</v>
      </c>
      <c r="I188">
        <v>23</v>
      </c>
      <c r="J188">
        <v>2003</v>
      </c>
      <c r="K188" s="1">
        <v>46051</v>
      </c>
      <c r="L188">
        <v>2026</v>
      </c>
      <c r="M188" t="s">
        <v>54</v>
      </c>
      <c r="N188">
        <v>12</v>
      </c>
      <c r="O188" t="s">
        <v>76</v>
      </c>
      <c r="P188" t="s">
        <v>69</v>
      </c>
      <c r="Q188">
        <v>60</v>
      </c>
      <c r="R188">
        <v>4</v>
      </c>
      <c r="S188" t="s">
        <v>77</v>
      </c>
      <c r="T188" t="s">
        <v>78</v>
      </c>
      <c r="U188">
        <v>10</v>
      </c>
      <c r="V188">
        <v>12</v>
      </c>
      <c r="W188">
        <v>12</v>
      </c>
      <c r="X188">
        <v>11</v>
      </c>
      <c r="Y188">
        <v>3</v>
      </c>
      <c r="Z188">
        <v>10</v>
      </c>
      <c r="AA188">
        <v>3.05</v>
      </c>
      <c r="AB188">
        <v>30.5</v>
      </c>
      <c r="AC188" t="s">
        <v>70</v>
      </c>
      <c r="AD188" t="s">
        <v>60</v>
      </c>
      <c r="AE188">
        <v>3</v>
      </c>
      <c r="AF188">
        <v>0</v>
      </c>
      <c r="AG188">
        <v>2</v>
      </c>
      <c r="AH188">
        <v>3</v>
      </c>
      <c r="AI188">
        <v>0</v>
      </c>
      <c r="AJ188">
        <v>1</v>
      </c>
      <c r="AK188">
        <v>0</v>
      </c>
      <c r="AL188">
        <v>0</v>
      </c>
      <c r="AM188">
        <v>0</v>
      </c>
      <c r="AN188">
        <v>1</v>
      </c>
      <c r="AO188">
        <v>9</v>
      </c>
      <c r="AP188">
        <v>1</v>
      </c>
      <c r="AQ188">
        <v>90</v>
      </c>
      <c r="AR188" s="2">
        <v>45750.643136574072</v>
      </c>
      <c r="AS188" s="2">
        <v>46040.915000000001</v>
      </c>
      <c r="AT188" t="s">
        <v>61</v>
      </c>
      <c r="AU188" t="s">
        <v>62</v>
      </c>
      <c r="AV188">
        <v>290</v>
      </c>
    </row>
    <row r="189" spans="1:48" x14ac:dyDescent="0.25">
      <c r="A189">
        <v>486</v>
      </c>
      <c r="B189" t="s">
        <v>922</v>
      </c>
      <c r="C189" t="s">
        <v>923</v>
      </c>
      <c r="D189" t="s">
        <v>924</v>
      </c>
      <c r="E189" t="s">
        <v>925</v>
      </c>
      <c r="F189" t="s">
        <v>926</v>
      </c>
      <c r="G189" t="s">
        <v>104</v>
      </c>
      <c r="H189" s="1">
        <v>36468</v>
      </c>
      <c r="I189">
        <v>27</v>
      </c>
      <c r="J189">
        <v>1999</v>
      </c>
      <c r="K189" s="1">
        <v>44745</v>
      </c>
      <c r="L189">
        <v>2022</v>
      </c>
      <c r="M189" t="s">
        <v>54</v>
      </c>
      <c r="N189">
        <v>8</v>
      </c>
      <c r="O189" t="s">
        <v>125</v>
      </c>
      <c r="P189" t="s">
        <v>56</v>
      </c>
      <c r="Q189">
        <v>36</v>
      </c>
      <c r="R189">
        <v>3</v>
      </c>
      <c r="S189" t="s">
        <v>126</v>
      </c>
      <c r="T189" t="s">
        <v>127</v>
      </c>
      <c r="U189">
        <v>11</v>
      </c>
      <c r="V189">
        <v>12</v>
      </c>
      <c r="W189">
        <v>12</v>
      </c>
      <c r="X189">
        <v>12</v>
      </c>
      <c r="Y189">
        <v>3</v>
      </c>
      <c r="Z189">
        <v>9</v>
      </c>
      <c r="AA189">
        <v>2.555555</v>
      </c>
      <c r="AB189">
        <v>23</v>
      </c>
      <c r="AC189" t="s">
        <v>70</v>
      </c>
      <c r="AD189" t="s">
        <v>112</v>
      </c>
      <c r="AE189">
        <v>0</v>
      </c>
      <c r="AF189">
        <v>0</v>
      </c>
      <c r="AG189">
        <v>3</v>
      </c>
      <c r="AH189">
        <v>3</v>
      </c>
      <c r="AI189">
        <v>0</v>
      </c>
      <c r="AJ189">
        <v>1</v>
      </c>
      <c r="AK189">
        <v>0</v>
      </c>
      <c r="AL189">
        <v>0</v>
      </c>
      <c r="AM189">
        <v>1</v>
      </c>
      <c r="AN189">
        <v>1</v>
      </c>
      <c r="AO189">
        <v>8</v>
      </c>
      <c r="AP189">
        <v>1</v>
      </c>
      <c r="AQ189">
        <v>88.888888888888005</v>
      </c>
      <c r="AR189" s="2">
        <v>45768.066712962966</v>
      </c>
      <c r="AS189" s="2">
        <v>46065.565682870372</v>
      </c>
      <c r="AT189" t="s">
        <v>61</v>
      </c>
      <c r="AU189" t="s">
        <v>62</v>
      </c>
      <c r="AV189">
        <v>297</v>
      </c>
    </row>
    <row r="190" spans="1:48" x14ac:dyDescent="0.25">
      <c r="A190">
        <v>126</v>
      </c>
      <c r="B190" t="s">
        <v>927</v>
      </c>
      <c r="C190" t="s">
        <v>305</v>
      </c>
      <c r="D190" t="s">
        <v>228</v>
      </c>
      <c r="E190" t="s">
        <v>928</v>
      </c>
      <c r="F190" t="s">
        <v>929</v>
      </c>
      <c r="G190" t="s">
        <v>53</v>
      </c>
      <c r="H190" s="1">
        <v>35415</v>
      </c>
      <c r="I190">
        <v>30</v>
      </c>
      <c r="J190">
        <v>1996</v>
      </c>
      <c r="K190" s="1">
        <v>45546</v>
      </c>
      <c r="L190">
        <v>2024</v>
      </c>
      <c r="M190" t="s">
        <v>54</v>
      </c>
      <c r="N190">
        <v>1</v>
      </c>
      <c r="O190" t="s">
        <v>157</v>
      </c>
      <c r="P190" t="s">
        <v>119</v>
      </c>
      <c r="Q190">
        <v>120</v>
      </c>
      <c r="R190">
        <v>1</v>
      </c>
      <c r="S190" t="s">
        <v>57</v>
      </c>
      <c r="T190" t="s">
        <v>58</v>
      </c>
      <c r="U190">
        <v>12</v>
      </c>
      <c r="V190">
        <v>12</v>
      </c>
      <c r="W190">
        <v>12</v>
      </c>
      <c r="X190">
        <v>11</v>
      </c>
      <c r="Y190">
        <v>3</v>
      </c>
      <c r="Z190">
        <v>9</v>
      </c>
      <c r="AA190">
        <v>2.8333330000000001</v>
      </c>
      <c r="AB190">
        <v>25.5</v>
      </c>
      <c r="AC190" t="s">
        <v>540</v>
      </c>
      <c r="AD190" t="s">
        <v>60</v>
      </c>
      <c r="AE190">
        <v>2</v>
      </c>
      <c r="AF190">
        <v>0</v>
      </c>
      <c r="AG190">
        <v>1</v>
      </c>
      <c r="AH190">
        <v>1</v>
      </c>
      <c r="AI190">
        <v>0</v>
      </c>
      <c r="AJ190">
        <v>2</v>
      </c>
      <c r="AK190">
        <v>3</v>
      </c>
      <c r="AL190">
        <v>0</v>
      </c>
      <c r="AM190">
        <v>0</v>
      </c>
      <c r="AN190">
        <v>0</v>
      </c>
      <c r="AO190">
        <v>9</v>
      </c>
      <c r="AP190">
        <v>0</v>
      </c>
      <c r="AQ190">
        <v>100</v>
      </c>
      <c r="AR190" s="2">
        <v>45740.981064814812</v>
      </c>
      <c r="AS190" s="2">
        <v>46073.196030092593</v>
      </c>
      <c r="AT190" t="s">
        <v>61</v>
      </c>
      <c r="AU190" t="s">
        <v>62</v>
      </c>
      <c r="AV190">
        <v>333</v>
      </c>
    </row>
    <row r="191" spans="1:48" x14ac:dyDescent="0.25">
      <c r="A191">
        <v>911</v>
      </c>
      <c r="B191" t="s">
        <v>930</v>
      </c>
      <c r="C191" t="s">
        <v>931</v>
      </c>
      <c r="D191" t="s">
        <v>932</v>
      </c>
      <c r="E191" t="s">
        <v>933</v>
      </c>
      <c r="F191" t="s">
        <v>934</v>
      </c>
      <c r="G191" t="s">
        <v>104</v>
      </c>
      <c r="H191" s="1">
        <v>37818</v>
      </c>
      <c r="I191">
        <v>23</v>
      </c>
      <c r="J191">
        <v>2003</v>
      </c>
      <c r="K191" s="1">
        <v>45647</v>
      </c>
      <c r="L191">
        <v>2024</v>
      </c>
      <c r="M191" t="s">
        <v>54</v>
      </c>
      <c r="N191">
        <v>12</v>
      </c>
      <c r="O191" t="s">
        <v>76</v>
      </c>
      <c r="P191" t="s">
        <v>69</v>
      </c>
      <c r="Q191">
        <v>60</v>
      </c>
      <c r="R191">
        <v>4</v>
      </c>
      <c r="S191" t="s">
        <v>77</v>
      </c>
      <c r="T191" t="s">
        <v>78</v>
      </c>
      <c r="U191">
        <v>11</v>
      </c>
      <c r="V191">
        <v>12</v>
      </c>
      <c r="W191">
        <v>12</v>
      </c>
      <c r="X191">
        <v>11</v>
      </c>
      <c r="Y191">
        <v>3</v>
      </c>
      <c r="Z191">
        <v>10</v>
      </c>
      <c r="AA191">
        <v>2</v>
      </c>
      <c r="AB191">
        <v>20</v>
      </c>
      <c r="AC191" t="s">
        <v>70</v>
      </c>
      <c r="AD191" t="s">
        <v>112</v>
      </c>
      <c r="AE191">
        <v>0</v>
      </c>
      <c r="AF191">
        <v>0</v>
      </c>
      <c r="AG191">
        <v>2</v>
      </c>
      <c r="AH191">
        <v>1</v>
      </c>
      <c r="AI191">
        <v>0</v>
      </c>
      <c r="AJ191">
        <v>2</v>
      </c>
      <c r="AK191">
        <v>1</v>
      </c>
      <c r="AL191">
        <v>0</v>
      </c>
      <c r="AM191">
        <v>3</v>
      </c>
      <c r="AN191">
        <v>1</v>
      </c>
      <c r="AO191">
        <v>9</v>
      </c>
      <c r="AP191">
        <v>1</v>
      </c>
      <c r="AQ191">
        <v>90</v>
      </c>
      <c r="AR191" s="2">
        <v>45808.602719907409</v>
      </c>
      <c r="AS191" s="2">
        <v>46075.560543981483</v>
      </c>
      <c r="AT191" t="s">
        <v>61</v>
      </c>
      <c r="AU191" t="s">
        <v>62</v>
      </c>
      <c r="AV191">
        <v>267</v>
      </c>
    </row>
    <row r="192" spans="1:48" x14ac:dyDescent="0.25">
      <c r="A192">
        <v>968</v>
      </c>
      <c r="B192" t="s">
        <v>935</v>
      </c>
      <c r="C192" t="s">
        <v>888</v>
      </c>
      <c r="D192" t="s">
        <v>936</v>
      </c>
      <c r="E192" t="s">
        <v>937</v>
      </c>
      <c r="F192" t="s">
        <v>938</v>
      </c>
      <c r="G192" t="s">
        <v>53</v>
      </c>
      <c r="H192" s="1">
        <v>39471</v>
      </c>
      <c r="I192">
        <v>18</v>
      </c>
      <c r="J192">
        <v>2008</v>
      </c>
      <c r="K192" s="1">
        <v>44764</v>
      </c>
      <c r="L192">
        <v>2022</v>
      </c>
      <c r="M192" t="s">
        <v>111</v>
      </c>
      <c r="N192">
        <v>16</v>
      </c>
      <c r="O192" t="s">
        <v>280</v>
      </c>
      <c r="P192" t="s">
        <v>119</v>
      </c>
      <c r="Q192">
        <v>120</v>
      </c>
      <c r="R192">
        <v>6</v>
      </c>
      <c r="S192" t="s">
        <v>140</v>
      </c>
      <c r="T192" t="s">
        <v>141</v>
      </c>
      <c r="U192">
        <v>12</v>
      </c>
      <c r="V192">
        <v>12</v>
      </c>
      <c r="W192">
        <v>12</v>
      </c>
      <c r="X192">
        <v>11</v>
      </c>
      <c r="Y192">
        <v>3</v>
      </c>
      <c r="Z192">
        <v>10</v>
      </c>
      <c r="AA192">
        <v>1.75</v>
      </c>
      <c r="AB192">
        <v>17.5</v>
      </c>
      <c r="AC192" t="s">
        <v>70</v>
      </c>
      <c r="AD192" t="s">
        <v>60</v>
      </c>
      <c r="AE192">
        <v>1</v>
      </c>
      <c r="AF192">
        <v>0</v>
      </c>
      <c r="AG192">
        <v>1</v>
      </c>
      <c r="AH192">
        <v>2</v>
      </c>
      <c r="AI192">
        <v>0</v>
      </c>
      <c r="AJ192">
        <v>0</v>
      </c>
      <c r="AK192">
        <v>1</v>
      </c>
      <c r="AL192">
        <v>0</v>
      </c>
      <c r="AM192">
        <v>2</v>
      </c>
      <c r="AN192">
        <v>3</v>
      </c>
      <c r="AO192">
        <v>7</v>
      </c>
      <c r="AP192">
        <v>3</v>
      </c>
      <c r="AQ192">
        <v>70</v>
      </c>
      <c r="AR192" s="2">
        <v>45729.247523148151</v>
      </c>
      <c r="AS192" s="2">
        <v>46053.12667824074</v>
      </c>
      <c r="AT192" t="s">
        <v>61</v>
      </c>
      <c r="AU192" t="s">
        <v>62</v>
      </c>
      <c r="AV192">
        <v>324</v>
      </c>
    </row>
    <row r="193" spans="1:48" x14ac:dyDescent="0.25">
      <c r="A193">
        <v>758</v>
      </c>
      <c r="B193" t="s">
        <v>939</v>
      </c>
      <c r="C193" t="s">
        <v>561</v>
      </c>
      <c r="D193" t="s">
        <v>940</v>
      </c>
      <c r="E193" t="s">
        <v>941</v>
      </c>
      <c r="F193" t="s">
        <v>942</v>
      </c>
      <c r="G193" t="s">
        <v>53</v>
      </c>
      <c r="H193" s="1">
        <v>34793</v>
      </c>
      <c r="I193">
        <v>31</v>
      </c>
      <c r="J193">
        <v>1995</v>
      </c>
      <c r="K193" s="1">
        <v>45835</v>
      </c>
      <c r="L193">
        <v>2025</v>
      </c>
      <c r="M193" t="s">
        <v>111</v>
      </c>
      <c r="N193">
        <v>7</v>
      </c>
      <c r="O193" t="s">
        <v>231</v>
      </c>
      <c r="P193" t="s">
        <v>119</v>
      </c>
      <c r="Q193">
        <v>120</v>
      </c>
      <c r="R193">
        <v>3</v>
      </c>
      <c r="S193" t="s">
        <v>126</v>
      </c>
      <c r="T193" t="s">
        <v>127</v>
      </c>
      <c r="U193">
        <v>9</v>
      </c>
      <c r="V193">
        <v>12</v>
      </c>
      <c r="W193">
        <v>12</v>
      </c>
      <c r="X193">
        <v>10</v>
      </c>
      <c r="Y193">
        <v>3</v>
      </c>
      <c r="Z193">
        <v>11</v>
      </c>
      <c r="AA193">
        <v>1.5909089999999999</v>
      </c>
      <c r="AB193">
        <v>17.5</v>
      </c>
      <c r="AC193" t="s">
        <v>70</v>
      </c>
      <c r="AD193" t="s">
        <v>112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1</v>
      </c>
      <c r="AK193">
        <v>4</v>
      </c>
      <c r="AL193">
        <v>0</v>
      </c>
      <c r="AM193">
        <v>4</v>
      </c>
      <c r="AN193">
        <v>1</v>
      </c>
      <c r="AO193">
        <v>10</v>
      </c>
      <c r="AP193">
        <v>1</v>
      </c>
      <c r="AQ193">
        <v>90.909090909089997</v>
      </c>
      <c r="AR193" s="2">
        <v>45738.4371875</v>
      </c>
      <c r="AS193" s="2">
        <v>46083.5309837963</v>
      </c>
      <c r="AT193" t="s">
        <v>61</v>
      </c>
      <c r="AU193" t="s">
        <v>62</v>
      </c>
      <c r="AV193">
        <v>345</v>
      </c>
    </row>
    <row r="194" spans="1:48" x14ac:dyDescent="0.25">
      <c r="A194">
        <v>601</v>
      </c>
      <c r="B194" t="s">
        <v>943</v>
      </c>
      <c r="C194" t="s">
        <v>944</v>
      </c>
      <c r="D194" t="s">
        <v>945</v>
      </c>
      <c r="E194" t="s">
        <v>946</v>
      </c>
      <c r="F194" t="s">
        <v>947</v>
      </c>
      <c r="G194" t="s">
        <v>53</v>
      </c>
      <c r="H194" s="1">
        <v>37110</v>
      </c>
      <c r="I194">
        <v>25</v>
      </c>
      <c r="J194">
        <v>2001</v>
      </c>
      <c r="K194" s="1">
        <v>45153</v>
      </c>
      <c r="L194">
        <v>2023</v>
      </c>
      <c r="M194" t="s">
        <v>54</v>
      </c>
      <c r="N194">
        <v>9</v>
      </c>
      <c r="O194" t="s">
        <v>151</v>
      </c>
      <c r="P194" t="s">
        <v>69</v>
      </c>
      <c r="Q194">
        <v>60</v>
      </c>
      <c r="R194">
        <v>3</v>
      </c>
      <c r="S194" t="s">
        <v>126</v>
      </c>
      <c r="T194" t="s">
        <v>127</v>
      </c>
      <c r="U194">
        <v>12</v>
      </c>
      <c r="V194">
        <v>12</v>
      </c>
      <c r="W194">
        <v>12</v>
      </c>
      <c r="X194">
        <v>12</v>
      </c>
      <c r="Y194">
        <v>3</v>
      </c>
      <c r="Z194">
        <v>12</v>
      </c>
      <c r="AA194">
        <v>2.3333330000000001</v>
      </c>
      <c r="AB194">
        <v>28</v>
      </c>
      <c r="AC194" t="s">
        <v>70</v>
      </c>
      <c r="AD194" t="s">
        <v>60</v>
      </c>
      <c r="AE194">
        <v>1</v>
      </c>
      <c r="AF194">
        <v>0</v>
      </c>
      <c r="AG194">
        <v>3</v>
      </c>
      <c r="AH194">
        <v>1</v>
      </c>
      <c r="AI194">
        <v>0</v>
      </c>
      <c r="AJ194">
        <v>1</v>
      </c>
      <c r="AK194">
        <v>3</v>
      </c>
      <c r="AL194">
        <v>0</v>
      </c>
      <c r="AM194">
        <v>2</v>
      </c>
      <c r="AN194">
        <v>1</v>
      </c>
      <c r="AO194">
        <v>11</v>
      </c>
      <c r="AP194">
        <v>1</v>
      </c>
      <c r="AQ194">
        <v>91.666666666666003</v>
      </c>
      <c r="AR194" s="2">
        <v>45749.131203703706</v>
      </c>
      <c r="AS194" s="2">
        <v>46081.488703703704</v>
      </c>
      <c r="AT194" t="s">
        <v>61</v>
      </c>
      <c r="AU194" t="s">
        <v>62</v>
      </c>
      <c r="AV194">
        <v>332</v>
      </c>
    </row>
    <row r="195" spans="1:48" x14ac:dyDescent="0.25">
      <c r="A195">
        <v>701</v>
      </c>
      <c r="B195" t="s">
        <v>948</v>
      </c>
      <c r="C195" t="s">
        <v>854</v>
      </c>
      <c r="D195" t="s">
        <v>949</v>
      </c>
      <c r="E195" t="s">
        <v>950</v>
      </c>
      <c r="F195">
        <f>1-565-520-5756</f>
        <v>-6840</v>
      </c>
      <c r="G195" t="s">
        <v>104</v>
      </c>
      <c r="H195" s="1">
        <v>36579</v>
      </c>
      <c r="I195">
        <v>26</v>
      </c>
      <c r="J195">
        <v>2000</v>
      </c>
      <c r="K195" s="1">
        <v>44886</v>
      </c>
      <c r="L195">
        <v>2022</v>
      </c>
      <c r="M195" t="s">
        <v>54</v>
      </c>
      <c r="N195">
        <v>6</v>
      </c>
      <c r="O195" t="s">
        <v>133</v>
      </c>
      <c r="P195" t="s">
        <v>69</v>
      </c>
      <c r="Q195">
        <v>60</v>
      </c>
      <c r="R195">
        <v>2</v>
      </c>
      <c r="S195" t="s">
        <v>85</v>
      </c>
      <c r="T195" t="s">
        <v>86</v>
      </c>
      <c r="U195">
        <v>11</v>
      </c>
      <c r="V195">
        <v>12</v>
      </c>
      <c r="W195">
        <v>12</v>
      </c>
      <c r="X195">
        <v>10</v>
      </c>
      <c r="Y195">
        <v>3</v>
      </c>
      <c r="Z195">
        <v>11</v>
      </c>
      <c r="AA195">
        <v>2.2727270000000002</v>
      </c>
      <c r="AB195">
        <v>25</v>
      </c>
      <c r="AC195" t="s">
        <v>70</v>
      </c>
      <c r="AD195" t="s">
        <v>112</v>
      </c>
      <c r="AE195">
        <v>0</v>
      </c>
      <c r="AF195">
        <v>0</v>
      </c>
      <c r="AG195">
        <v>4</v>
      </c>
      <c r="AH195">
        <v>2</v>
      </c>
      <c r="AI195">
        <v>0</v>
      </c>
      <c r="AJ195">
        <v>0</v>
      </c>
      <c r="AK195">
        <v>1</v>
      </c>
      <c r="AL195">
        <v>0</v>
      </c>
      <c r="AM195">
        <v>3</v>
      </c>
      <c r="AN195">
        <v>1</v>
      </c>
      <c r="AO195">
        <v>10</v>
      </c>
      <c r="AP195">
        <v>1</v>
      </c>
      <c r="AQ195">
        <v>90.909090909089997</v>
      </c>
      <c r="AR195" s="2">
        <v>45752.477361111109</v>
      </c>
      <c r="AS195" s="2">
        <v>46078.635104166664</v>
      </c>
      <c r="AT195" t="s">
        <v>61</v>
      </c>
      <c r="AU195" t="s">
        <v>62</v>
      </c>
      <c r="AV195">
        <v>326</v>
      </c>
    </row>
    <row r="196" spans="1:48" x14ac:dyDescent="0.25">
      <c r="A196">
        <v>121</v>
      </c>
      <c r="B196" t="s">
        <v>951</v>
      </c>
      <c r="C196" t="s">
        <v>763</v>
      </c>
      <c r="D196" t="s">
        <v>649</v>
      </c>
      <c r="E196" t="s">
        <v>952</v>
      </c>
      <c r="F196" t="s">
        <v>953</v>
      </c>
      <c r="G196" t="s">
        <v>104</v>
      </c>
      <c r="H196" s="1">
        <v>35916</v>
      </c>
      <c r="I196">
        <v>28</v>
      </c>
      <c r="J196">
        <v>1998</v>
      </c>
      <c r="K196" s="1">
        <v>44922</v>
      </c>
      <c r="L196">
        <v>2022</v>
      </c>
      <c r="M196" t="s">
        <v>54</v>
      </c>
      <c r="N196">
        <v>20</v>
      </c>
      <c r="O196" t="s">
        <v>180</v>
      </c>
      <c r="P196" t="s">
        <v>56</v>
      </c>
      <c r="Q196">
        <v>36</v>
      </c>
      <c r="R196">
        <v>7</v>
      </c>
      <c r="S196" t="s">
        <v>163</v>
      </c>
      <c r="T196" t="s">
        <v>164</v>
      </c>
      <c r="U196">
        <v>11</v>
      </c>
      <c r="V196">
        <v>12</v>
      </c>
      <c r="W196">
        <v>12</v>
      </c>
      <c r="X196">
        <v>12</v>
      </c>
      <c r="Y196">
        <v>3</v>
      </c>
      <c r="Z196">
        <v>8</v>
      </c>
      <c r="AA196">
        <v>2.5625</v>
      </c>
      <c r="AB196">
        <v>20.5</v>
      </c>
      <c r="AC196" t="s">
        <v>70</v>
      </c>
      <c r="AD196" t="s">
        <v>60</v>
      </c>
      <c r="AE196">
        <v>3</v>
      </c>
      <c r="AF196">
        <v>0</v>
      </c>
      <c r="AG196">
        <v>0</v>
      </c>
      <c r="AH196">
        <v>2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2</v>
      </c>
      <c r="AO196">
        <v>6</v>
      </c>
      <c r="AP196">
        <v>2</v>
      </c>
      <c r="AQ196">
        <v>75</v>
      </c>
      <c r="AR196" s="2">
        <v>45739.320196759261</v>
      </c>
      <c r="AS196" s="2">
        <v>45959.258819444447</v>
      </c>
      <c r="AT196" t="s">
        <v>61</v>
      </c>
      <c r="AU196" t="s">
        <v>62</v>
      </c>
      <c r="AV196">
        <v>220</v>
      </c>
    </row>
    <row r="197" spans="1:48" x14ac:dyDescent="0.25">
      <c r="A197">
        <v>919</v>
      </c>
      <c r="B197" t="s">
        <v>954</v>
      </c>
      <c r="C197" t="s">
        <v>955</v>
      </c>
      <c r="D197" t="s">
        <v>956</v>
      </c>
      <c r="E197" t="s">
        <v>957</v>
      </c>
      <c r="F197">
        <v>2395464083</v>
      </c>
      <c r="G197" t="s">
        <v>104</v>
      </c>
      <c r="H197" s="1">
        <v>39284</v>
      </c>
      <c r="I197">
        <v>19</v>
      </c>
      <c r="J197">
        <v>2007</v>
      </c>
      <c r="K197" s="1">
        <v>45281</v>
      </c>
      <c r="L197">
        <v>2023</v>
      </c>
      <c r="M197" t="s">
        <v>54</v>
      </c>
      <c r="N197">
        <v>11</v>
      </c>
      <c r="O197" t="s">
        <v>378</v>
      </c>
      <c r="P197" t="s">
        <v>56</v>
      </c>
      <c r="Q197">
        <v>36</v>
      </c>
      <c r="R197">
        <v>4</v>
      </c>
      <c r="S197" t="s">
        <v>77</v>
      </c>
      <c r="T197" t="s">
        <v>78</v>
      </c>
      <c r="U197">
        <v>11</v>
      </c>
      <c r="V197">
        <v>12</v>
      </c>
      <c r="W197">
        <v>12</v>
      </c>
      <c r="X197">
        <v>11</v>
      </c>
      <c r="Y197">
        <v>3</v>
      </c>
      <c r="Z197">
        <v>10</v>
      </c>
      <c r="AA197">
        <v>2.5</v>
      </c>
      <c r="AB197">
        <v>25</v>
      </c>
      <c r="AC197" t="s">
        <v>70</v>
      </c>
      <c r="AD197" t="s">
        <v>60</v>
      </c>
      <c r="AE197">
        <v>1</v>
      </c>
      <c r="AF197">
        <v>0</v>
      </c>
      <c r="AG197">
        <v>2</v>
      </c>
      <c r="AH197">
        <v>2</v>
      </c>
      <c r="AI197">
        <v>0</v>
      </c>
      <c r="AJ197">
        <v>2</v>
      </c>
      <c r="AK197">
        <v>1</v>
      </c>
      <c r="AL197">
        <v>0</v>
      </c>
      <c r="AM197">
        <v>1</v>
      </c>
      <c r="AN197">
        <v>1</v>
      </c>
      <c r="AO197">
        <v>9</v>
      </c>
      <c r="AP197">
        <v>1</v>
      </c>
      <c r="AQ197">
        <v>90</v>
      </c>
      <c r="AR197" s="2">
        <v>45788.656701388885</v>
      </c>
      <c r="AS197" s="2">
        <v>46083.104953703703</v>
      </c>
      <c r="AT197" t="s">
        <v>61</v>
      </c>
      <c r="AU197" t="s">
        <v>62</v>
      </c>
      <c r="AV197">
        <v>295</v>
      </c>
    </row>
    <row r="198" spans="1:48" x14ac:dyDescent="0.25">
      <c r="A198">
        <v>966</v>
      </c>
      <c r="B198" t="s">
        <v>958</v>
      </c>
      <c r="C198" t="s">
        <v>114</v>
      </c>
      <c r="D198" t="s">
        <v>959</v>
      </c>
      <c r="E198" t="s">
        <v>960</v>
      </c>
      <c r="F198">
        <v>5507404333</v>
      </c>
      <c r="G198" t="s">
        <v>53</v>
      </c>
      <c r="H198" s="1">
        <v>35685</v>
      </c>
      <c r="I198">
        <v>29</v>
      </c>
      <c r="J198">
        <v>1997</v>
      </c>
      <c r="K198" s="1">
        <v>45393</v>
      </c>
      <c r="L198">
        <v>2024</v>
      </c>
      <c r="M198" t="s">
        <v>54</v>
      </c>
      <c r="N198">
        <v>3</v>
      </c>
      <c r="O198" t="s">
        <v>68</v>
      </c>
      <c r="P198" t="s">
        <v>69</v>
      </c>
      <c r="Q198">
        <v>60</v>
      </c>
      <c r="R198">
        <v>1</v>
      </c>
      <c r="S198" t="s">
        <v>57</v>
      </c>
      <c r="T198" t="s">
        <v>58</v>
      </c>
      <c r="U198">
        <v>12</v>
      </c>
      <c r="V198">
        <v>12</v>
      </c>
      <c r="W198">
        <v>12</v>
      </c>
      <c r="X198">
        <v>11</v>
      </c>
      <c r="Y198">
        <v>3</v>
      </c>
      <c r="Z198">
        <v>11</v>
      </c>
      <c r="AA198">
        <v>2.1818179999999998</v>
      </c>
      <c r="AB198">
        <v>24</v>
      </c>
      <c r="AC198" t="s">
        <v>70</v>
      </c>
      <c r="AD198" t="s">
        <v>112</v>
      </c>
      <c r="AE198">
        <v>0</v>
      </c>
      <c r="AF198">
        <v>0</v>
      </c>
      <c r="AG198">
        <v>3</v>
      </c>
      <c r="AH198">
        <v>2</v>
      </c>
      <c r="AI198">
        <v>0</v>
      </c>
      <c r="AJ198">
        <v>1</v>
      </c>
      <c r="AK198">
        <v>1</v>
      </c>
      <c r="AL198">
        <v>0</v>
      </c>
      <c r="AM198">
        <v>3</v>
      </c>
      <c r="AN198">
        <v>1</v>
      </c>
      <c r="AO198">
        <v>10</v>
      </c>
      <c r="AP198">
        <v>1</v>
      </c>
      <c r="AQ198">
        <v>90.909090909089997</v>
      </c>
      <c r="AR198" s="2">
        <v>45747.523715277777</v>
      </c>
      <c r="AS198" s="2">
        <v>46020.402962962966</v>
      </c>
      <c r="AT198" t="s">
        <v>61</v>
      </c>
      <c r="AU198" t="s">
        <v>62</v>
      </c>
      <c r="AV198">
        <v>273</v>
      </c>
    </row>
    <row r="199" spans="1:48" x14ac:dyDescent="0.25">
      <c r="A199">
        <v>224</v>
      </c>
      <c r="B199" t="s">
        <v>961</v>
      </c>
      <c r="C199" t="s">
        <v>107</v>
      </c>
      <c r="D199" t="s">
        <v>962</v>
      </c>
      <c r="E199" t="s">
        <v>963</v>
      </c>
      <c r="F199" t="s">
        <v>964</v>
      </c>
      <c r="G199" t="s">
        <v>53</v>
      </c>
      <c r="H199" s="1">
        <v>35758</v>
      </c>
      <c r="I199">
        <v>29</v>
      </c>
      <c r="J199">
        <v>1997</v>
      </c>
      <c r="K199" s="1">
        <v>45668</v>
      </c>
      <c r="L199">
        <v>2025</v>
      </c>
      <c r="M199" t="s">
        <v>54</v>
      </c>
      <c r="N199">
        <v>17</v>
      </c>
      <c r="O199" t="s">
        <v>350</v>
      </c>
      <c r="P199" t="s">
        <v>56</v>
      </c>
      <c r="Q199">
        <v>36</v>
      </c>
      <c r="R199">
        <v>6</v>
      </c>
      <c r="S199" t="s">
        <v>140</v>
      </c>
      <c r="T199" t="s">
        <v>141</v>
      </c>
      <c r="U199">
        <v>12</v>
      </c>
      <c r="V199">
        <v>12</v>
      </c>
      <c r="W199">
        <v>12</v>
      </c>
      <c r="X199">
        <v>10</v>
      </c>
      <c r="Y199">
        <v>3</v>
      </c>
      <c r="Z199">
        <v>10</v>
      </c>
      <c r="AA199">
        <v>2.5499999999999998</v>
      </c>
      <c r="AB199">
        <v>25.5</v>
      </c>
      <c r="AC199" t="s">
        <v>59</v>
      </c>
      <c r="AD199" t="s">
        <v>60</v>
      </c>
      <c r="AE199">
        <v>1</v>
      </c>
      <c r="AF199">
        <v>0</v>
      </c>
      <c r="AG199">
        <v>2</v>
      </c>
      <c r="AH199">
        <v>1</v>
      </c>
      <c r="AI199">
        <v>0</v>
      </c>
      <c r="AJ199">
        <v>3</v>
      </c>
      <c r="AK199">
        <v>1</v>
      </c>
      <c r="AL199">
        <v>0</v>
      </c>
      <c r="AM199">
        <v>2</v>
      </c>
      <c r="AN199">
        <v>0</v>
      </c>
      <c r="AO199">
        <v>10</v>
      </c>
      <c r="AP199">
        <v>0</v>
      </c>
      <c r="AQ199">
        <v>100</v>
      </c>
      <c r="AR199" s="2">
        <v>45721.768831018519</v>
      </c>
      <c r="AS199" s="2">
        <v>46044.512025462966</v>
      </c>
      <c r="AT199" t="s">
        <v>61</v>
      </c>
      <c r="AU199" t="s">
        <v>62</v>
      </c>
      <c r="AV199">
        <v>323</v>
      </c>
    </row>
    <row r="200" spans="1:48" x14ac:dyDescent="0.25">
      <c r="A200">
        <v>403</v>
      </c>
      <c r="B200" t="s">
        <v>965</v>
      </c>
      <c r="C200" t="s">
        <v>867</v>
      </c>
      <c r="D200" t="s">
        <v>966</v>
      </c>
      <c r="E200" t="s">
        <v>967</v>
      </c>
      <c r="F200" t="s">
        <v>968</v>
      </c>
      <c r="G200" t="s">
        <v>53</v>
      </c>
      <c r="H200" s="1">
        <v>38068</v>
      </c>
      <c r="I200">
        <v>22</v>
      </c>
      <c r="J200">
        <v>2004</v>
      </c>
      <c r="K200" s="1">
        <v>45484</v>
      </c>
      <c r="L200">
        <v>2024</v>
      </c>
      <c r="M200" t="s">
        <v>54</v>
      </c>
      <c r="N200">
        <v>3</v>
      </c>
      <c r="O200" t="s">
        <v>68</v>
      </c>
      <c r="P200" t="s">
        <v>69</v>
      </c>
      <c r="Q200">
        <v>60</v>
      </c>
      <c r="R200">
        <v>1</v>
      </c>
      <c r="S200" t="s">
        <v>57</v>
      </c>
      <c r="T200" t="s">
        <v>58</v>
      </c>
      <c r="U200">
        <v>10</v>
      </c>
      <c r="V200">
        <v>12</v>
      </c>
      <c r="W200">
        <v>12</v>
      </c>
      <c r="X200">
        <v>10</v>
      </c>
      <c r="Y200">
        <v>3</v>
      </c>
      <c r="Z200">
        <v>10</v>
      </c>
      <c r="AA200">
        <v>2.15</v>
      </c>
      <c r="AB200">
        <v>21.5</v>
      </c>
      <c r="AC200" t="s">
        <v>70</v>
      </c>
      <c r="AD200" t="s">
        <v>60</v>
      </c>
      <c r="AE200">
        <v>1</v>
      </c>
      <c r="AF200">
        <v>0</v>
      </c>
      <c r="AG200">
        <v>1</v>
      </c>
      <c r="AH200">
        <v>2</v>
      </c>
      <c r="AI200">
        <v>0</v>
      </c>
      <c r="AJ200">
        <v>0</v>
      </c>
      <c r="AK200">
        <v>4</v>
      </c>
      <c r="AL200">
        <v>0</v>
      </c>
      <c r="AM200">
        <v>0</v>
      </c>
      <c r="AN200">
        <v>2</v>
      </c>
      <c r="AO200">
        <v>8</v>
      </c>
      <c r="AP200">
        <v>2</v>
      </c>
      <c r="AQ200">
        <v>80</v>
      </c>
      <c r="AR200" s="2">
        <v>45728.492280092592</v>
      </c>
      <c r="AS200" s="2">
        <v>46083.148263888892</v>
      </c>
      <c r="AT200" t="s">
        <v>61</v>
      </c>
      <c r="AU200" t="s">
        <v>62</v>
      </c>
      <c r="AV200">
        <v>355</v>
      </c>
    </row>
    <row r="201" spans="1:48" x14ac:dyDescent="0.25">
      <c r="A201">
        <v>211</v>
      </c>
      <c r="B201" t="s">
        <v>969</v>
      </c>
      <c r="C201" t="s">
        <v>970</v>
      </c>
      <c r="D201" t="s">
        <v>562</v>
      </c>
      <c r="E201" t="s">
        <v>971</v>
      </c>
      <c r="F201" t="s">
        <v>972</v>
      </c>
      <c r="G201" t="s">
        <v>53</v>
      </c>
      <c r="H201" s="1">
        <v>35706</v>
      </c>
      <c r="I201">
        <v>29</v>
      </c>
      <c r="J201">
        <v>1997</v>
      </c>
      <c r="K201" s="1">
        <v>44916</v>
      </c>
      <c r="L201">
        <v>2022</v>
      </c>
      <c r="M201" t="s">
        <v>111</v>
      </c>
      <c r="N201">
        <v>19</v>
      </c>
      <c r="O201" t="s">
        <v>162</v>
      </c>
      <c r="P201" t="s">
        <v>119</v>
      </c>
      <c r="Q201">
        <v>120</v>
      </c>
      <c r="R201">
        <v>7</v>
      </c>
      <c r="S201" t="s">
        <v>163</v>
      </c>
      <c r="T201" t="s">
        <v>164</v>
      </c>
      <c r="U201">
        <v>11</v>
      </c>
      <c r="V201">
        <v>12</v>
      </c>
      <c r="W201">
        <v>12</v>
      </c>
      <c r="X201">
        <v>11</v>
      </c>
      <c r="Y201">
        <v>3</v>
      </c>
      <c r="Z201">
        <v>9</v>
      </c>
      <c r="AA201">
        <v>2.1666660000000002</v>
      </c>
      <c r="AB201">
        <v>19.5</v>
      </c>
      <c r="AC201" t="s">
        <v>70</v>
      </c>
      <c r="AD201" t="s">
        <v>60</v>
      </c>
      <c r="AE201">
        <v>1</v>
      </c>
      <c r="AF201">
        <v>0</v>
      </c>
      <c r="AG201">
        <v>2</v>
      </c>
      <c r="AH201">
        <v>0</v>
      </c>
      <c r="AI201">
        <v>0</v>
      </c>
      <c r="AJ201">
        <v>3</v>
      </c>
      <c r="AK201">
        <v>0</v>
      </c>
      <c r="AL201">
        <v>0</v>
      </c>
      <c r="AM201">
        <v>1</v>
      </c>
      <c r="AN201">
        <v>2</v>
      </c>
      <c r="AO201">
        <v>7</v>
      </c>
      <c r="AP201">
        <v>2</v>
      </c>
      <c r="AQ201">
        <v>77.777777777777004</v>
      </c>
      <c r="AR201" s="2">
        <v>45743.035844907405</v>
      </c>
      <c r="AS201" s="2">
        <v>46073.369571759256</v>
      </c>
      <c r="AT201" t="s">
        <v>61</v>
      </c>
      <c r="AU201" t="s">
        <v>62</v>
      </c>
      <c r="AV201">
        <v>330</v>
      </c>
    </row>
    <row r="202" spans="1:48" x14ac:dyDescent="0.25">
      <c r="A202">
        <v>616</v>
      </c>
      <c r="B202" t="s">
        <v>973</v>
      </c>
      <c r="C202" t="s">
        <v>717</v>
      </c>
      <c r="D202" t="s">
        <v>974</v>
      </c>
      <c r="E202" t="s">
        <v>975</v>
      </c>
      <c r="F202" t="s">
        <v>976</v>
      </c>
      <c r="G202" t="s">
        <v>53</v>
      </c>
      <c r="H202" s="1">
        <v>39377</v>
      </c>
      <c r="I202">
        <v>19</v>
      </c>
      <c r="J202">
        <v>2007</v>
      </c>
      <c r="K202" s="1">
        <v>44713</v>
      </c>
      <c r="L202">
        <v>2022</v>
      </c>
      <c r="M202" t="s">
        <v>54</v>
      </c>
      <c r="N202">
        <v>14</v>
      </c>
      <c r="O202" t="s">
        <v>105</v>
      </c>
      <c r="P202" t="s">
        <v>56</v>
      </c>
      <c r="Q202">
        <v>36</v>
      </c>
      <c r="R202">
        <v>5</v>
      </c>
      <c r="S202" t="s">
        <v>92</v>
      </c>
      <c r="T202" t="s">
        <v>93</v>
      </c>
      <c r="U202">
        <v>11</v>
      </c>
      <c r="V202">
        <v>12</v>
      </c>
      <c r="W202">
        <v>12</v>
      </c>
      <c r="X202">
        <v>10</v>
      </c>
      <c r="Y202">
        <v>3</v>
      </c>
      <c r="Z202">
        <v>10</v>
      </c>
      <c r="AA202">
        <v>2.95</v>
      </c>
      <c r="AB202">
        <v>29.5</v>
      </c>
      <c r="AC202" t="s">
        <v>540</v>
      </c>
      <c r="AD202" t="s">
        <v>60</v>
      </c>
      <c r="AE202">
        <v>3</v>
      </c>
      <c r="AF202">
        <v>0</v>
      </c>
      <c r="AG202">
        <v>0</v>
      </c>
      <c r="AH202">
        <v>1</v>
      </c>
      <c r="AI202">
        <v>0</v>
      </c>
      <c r="AJ202">
        <v>5</v>
      </c>
      <c r="AK202">
        <v>1</v>
      </c>
      <c r="AL202">
        <v>0</v>
      </c>
      <c r="AM202">
        <v>0</v>
      </c>
      <c r="AN202">
        <v>0</v>
      </c>
      <c r="AO202">
        <v>10</v>
      </c>
      <c r="AP202">
        <v>0</v>
      </c>
      <c r="AQ202">
        <v>100</v>
      </c>
      <c r="AR202" s="2">
        <v>45790.289884259262</v>
      </c>
      <c r="AS202" s="2">
        <v>46082.538182870368</v>
      </c>
      <c r="AT202" t="s">
        <v>61</v>
      </c>
      <c r="AU202" t="s">
        <v>62</v>
      </c>
      <c r="AV202">
        <v>292</v>
      </c>
    </row>
    <row r="203" spans="1:48" x14ac:dyDescent="0.25">
      <c r="A203">
        <v>728</v>
      </c>
      <c r="B203" t="s">
        <v>977</v>
      </c>
      <c r="C203" t="s">
        <v>978</v>
      </c>
      <c r="D203" t="s">
        <v>979</v>
      </c>
      <c r="E203" t="s">
        <v>980</v>
      </c>
      <c r="F203" t="s">
        <v>981</v>
      </c>
      <c r="G203" t="s">
        <v>104</v>
      </c>
      <c r="H203" s="1">
        <v>37428</v>
      </c>
      <c r="I203">
        <v>24</v>
      </c>
      <c r="J203">
        <v>2002</v>
      </c>
      <c r="K203" s="1">
        <v>45129</v>
      </c>
      <c r="L203">
        <v>2023</v>
      </c>
      <c r="M203" t="s">
        <v>111</v>
      </c>
      <c r="N203">
        <v>7</v>
      </c>
      <c r="O203" t="s">
        <v>231</v>
      </c>
      <c r="P203" t="s">
        <v>119</v>
      </c>
      <c r="Q203">
        <v>120</v>
      </c>
      <c r="R203">
        <v>3</v>
      </c>
      <c r="S203" t="s">
        <v>126</v>
      </c>
      <c r="T203" t="s">
        <v>127</v>
      </c>
      <c r="U203">
        <v>12</v>
      </c>
      <c r="V203">
        <v>12</v>
      </c>
      <c r="W203">
        <v>12</v>
      </c>
      <c r="X203">
        <v>10</v>
      </c>
      <c r="Y203">
        <v>3</v>
      </c>
      <c r="Z203">
        <v>10</v>
      </c>
      <c r="AA203">
        <v>2.6</v>
      </c>
      <c r="AB203">
        <v>26</v>
      </c>
      <c r="AC203" t="s">
        <v>70</v>
      </c>
      <c r="AD203" t="s">
        <v>60</v>
      </c>
      <c r="AE203">
        <v>1</v>
      </c>
      <c r="AF203">
        <v>0</v>
      </c>
      <c r="AG203">
        <v>4</v>
      </c>
      <c r="AH203">
        <v>1</v>
      </c>
      <c r="AI203">
        <v>0</v>
      </c>
      <c r="AJ203">
        <v>0</v>
      </c>
      <c r="AK203">
        <v>2</v>
      </c>
      <c r="AL203">
        <v>0</v>
      </c>
      <c r="AM203">
        <v>1</v>
      </c>
      <c r="AN203">
        <v>1</v>
      </c>
      <c r="AO203">
        <v>9</v>
      </c>
      <c r="AP203">
        <v>1</v>
      </c>
      <c r="AQ203">
        <v>90</v>
      </c>
      <c r="AR203" s="2">
        <v>45723.928506944445</v>
      </c>
      <c r="AS203" s="2">
        <v>46082.147893518515</v>
      </c>
      <c r="AT203" t="s">
        <v>61</v>
      </c>
      <c r="AU203" t="s">
        <v>62</v>
      </c>
      <c r="AV203">
        <v>359</v>
      </c>
    </row>
    <row r="204" spans="1:48" x14ac:dyDescent="0.25">
      <c r="A204">
        <v>640</v>
      </c>
      <c r="B204" t="s">
        <v>982</v>
      </c>
      <c r="C204" t="s">
        <v>96</v>
      </c>
      <c r="D204" t="s">
        <v>659</v>
      </c>
      <c r="E204" t="s">
        <v>983</v>
      </c>
      <c r="F204" t="s">
        <v>984</v>
      </c>
      <c r="G204" t="s">
        <v>53</v>
      </c>
      <c r="H204" s="1">
        <v>37877</v>
      </c>
      <c r="I204">
        <v>23</v>
      </c>
      <c r="J204">
        <v>2003</v>
      </c>
      <c r="K204" s="1">
        <v>45139</v>
      </c>
      <c r="L204">
        <v>2023</v>
      </c>
      <c r="M204" t="s">
        <v>54</v>
      </c>
      <c r="N204">
        <v>20</v>
      </c>
      <c r="O204" t="s">
        <v>180</v>
      </c>
      <c r="P204" t="s">
        <v>56</v>
      </c>
      <c r="Q204">
        <v>36</v>
      </c>
      <c r="R204">
        <v>7</v>
      </c>
      <c r="S204" t="s">
        <v>163</v>
      </c>
      <c r="T204" t="s">
        <v>164</v>
      </c>
      <c r="U204">
        <v>12</v>
      </c>
      <c r="V204">
        <v>12</v>
      </c>
      <c r="W204">
        <v>12</v>
      </c>
      <c r="X204">
        <v>11</v>
      </c>
      <c r="Y204">
        <v>3</v>
      </c>
      <c r="Z204">
        <v>11</v>
      </c>
      <c r="AA204">
        <v>2.1818179999999998</v>
      </c>
      <c r="AB204">
        <v>24</v>
      </c>
      <c r="AC204" t="s">
        <v>70</v>
      </c>
      <c r="AD204" t="s">
        <v>60</v>
      </c>
      <c r="AE204">
        <v>2</v>
      </c>
      <c r="AF204">
        <v>0</v>
      </c>
      <c r="AG204">
        <v>0</v>
      </c>
      <c r="AH204">
        <v>2</v>
      </c>
      <c r="AI204">
        <v>0</v>
      </c>
      <c r="AJ204">
        <v>2</v>
      </c>
      <c r="AK204">
        <v>2</v>
      </c>
      <c r="AL204">
        <v>0</v>
      </c>
      <c r="AM204">
        <v>1</v>
      </c>
      <c r="AN204">
        <v>2</v>
      </c>
      <c r="AO204">
        <v>9</v>
      </c>
      <c r="AP204">
        <v>2</v>
      </c>
      <c r="AQ204">
        <v>81.818181818181003</v>
      </c>
      <c r="AR204" s="2">
        <v>45733.518171296295</v>
      </c>
      <c r="AS204" s="2">
        <v>46049.874108796299</v>
      </c>
      <c r="AT204" t="s">
        <v>61</v>
      </c>
      <c r="AU204" t="s">
        <v>62</v>
      </c>
      <c r="AV204">
        <v>316</v>
      </c>
    </row>
    <row r="205" spans="1:48" x14ac:dyDescent="0.25">
      <c r="A205">
        <v>332</v>
      </c>
      <c r="B205" t="s">
        <v>985</v>
      </c>
      <c r="C205" t="s">
        <v>789</v>
      </c>
      <c r="D205" t="s">
        <v>207</v>
      </c>
      <c r="E205" t="s">
        <v>986</v>
      </c>
      <c r="F205" t="s">
        <v>987</v>
      </c>
      <c r="G205" t="s">
        <v>53</v>
      </c>
      <c r="H205" s="1">
        <v>35305</v>
      </c>
      <c r="I205">
        <v>30</v>
      </c>
      <c r="J205">
        <v>1996</v>
      </c>
      <c r="K205" s="1">
        <v>45495</v>
      </c>
      <c r="L205">
        <v>2024</v>
      </c>
      <c r="M205" t="s">
        <v>111</v>
      </c>
      <c r="N205">
        <v>11</v>
      </c>
      <c r="O205" t="s">
        <v>378</v>
      </c>
      <c r="P205" t="s">
        <v>56</v>
      </c>
      <c r="Q205">
        <v>36</v>
      </c>
      <c r="R205">
        <v>4</v>
      </c>
      <c r="S205" t="s">
        <v>77</v>
      </c>
      <c r="T205" t="s">
        <v>78</v>
      </c>
      <c r="U205">
        <v>11</v>
      </c>
      <c r="V205">
        <v>12</v>
      </c>
      <c r="W205">
        <v>12</v>
      </c>
      <c r="X205">
        <v>10</v>
      </c>
      <c r="Y205">
        <v>3</v>
      </c>
      <c r="Z205">
        <v>9</v>
      </c>
      <c r="AA205">
        <v>2.4444439999999998</v>
      </c>
      <c r="AB205">
        <v>22</v>
      </c>
      <c r="AC205" t="s">
        <v>59</v>
      </c>
      <c r="AD205" t="s">
        <v>112</v>
      </c>
      <c r="AE205">
        <v>0</v>
      </c>
      <c r="AF205">
        <v>0</v>
      </c>
      <c r="AG205">
        <v>3</v>
      </c>
      <c r="AH205">
        <v>2</v>
      </c>
      <c r="AI205">
        <v>0</v>
      </c>
      <c r="AJ205">
        <v>1</v>
      </c>
      <c r="AK205">
        <v>0</v>
      </c>
      <c r="AL205">
        <v>0</v>
      </c>
      <c r="AM205">
        <v>3</v>
      </c>
      <c r="AN205">
        <v>0</v>
      </c>
      <c r="AO205">
        <v>9</v>
      </c>
      <c r="AP205">
        <v>0</v>
      </c>
      <c r="AQ205">
        <v>100</v>
      </c>
      <c r="AR205" s="2">
        <v>45770.471631944441</v>
      </c>
      <c r="AS205" s="2">
        <v>46083.505856481483</v>
      </c>
      <c r="AT205" t="s">
        <v>61</v>
      </c>
      <c r="AU205" t="s">
        <v>62</v>
      </c>
      <c r="AV205">
        <v>313</v>
      </c>
    </row>
    <row r="206" spans="1:48" x14ac:dyDescent="0.25">
      <c r="A206">
        <v>381</v>
      </c>
      <c r="B206" t="s">
        <v>988</v>
      </c>
      <c r="C206" t="s">
        <v>873</v>
      </c>
      <c r="D206" t="s">
        <v>342</v>
      </c>
      <c r="E206" t="s">
        <v>989</v>
      </c>
      <c r="F206" t="s">
        <v>990</v>
      </c>
      <c r="G206" t="s">
        <v>53</v>
      </c>
      <c r="H206" s="1">
        <v>38219</v>
      </c>
      <c r="I206">
        <v>22</v>
      </c>
      <c r="J206">
        <v>2004</v>
      </c>
      <c r="K206" s="1">
        <v>45274</v>
      </c>
      <c r="L206">
        <v>2023</v>
      </c>
      <c r="M206" t="s">
        <v>54</v>
      </c>
      <c r="N206">
        <v>12</v>
      </c>
      <c r="O206" t="s">
        <v>76</v>
      </c>
      <c r="P206" t="s">
        <v>69</v>
      </c>
      <c r="Q206">
        <v>60</v>
      </c>
      <c r="R206">
        <v>4</v>
      </c>
      <c r="S206" t="s">
        <v>77</v>
      </c>
      <c r="T206" t="s">
        <v>78</v>
      </c>
      <c r="U206">
        <v>11</v>
      </c>
      <c r="V206">
        <v>12</v>
      </c>
      <c r="W206">
        <v>12</v>
      </c>
      <c r="X206">
        <v>10</v>
      </c>
      <c r="Y206">
        <v>3</v>
      </c>
      <c r="Z206">
        <v>10</v>
      </c>
      <c r="AA206">
        <v>1.45</v>
      </c>
      <c r="AB206">
        <v>14.5</v>
      </c>
      <c r="AC206" t="s">
        <v>70</v>
      </c>
      <c r="AD206" t="s">
        <v>281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2</v>
      </c>
      <c r="AK206">
        <v>2</v>
      </c>
      <c r="AL206">
        <v>0</v>
      </c>
      <c r="AM206">
        <v>2</v>
      </c>
      <c r="AN206">
        <v>3</v>
      </c>
      <c r="AO206">
        <v>7</v>
      </c>
      <c r="AP206">
        <v>3</v>
      </c>
      <c r="AQ206">
        <v>70</v>
      </c>
      <c r="AR206" s="2">
        <v>45786.128877314812</v>
      </c>
      <c r="AS206" s="2">
        <v>46062.342349537037</v>
      </c>
      <c r="AT206" t="s">
        <v>61</v>
      </c>
      <c r="AU206" t="s">
        <v>62</v>
      </c>
      <c r="AV206">
        <v>276</v>
      </c>
    </row>
    <row r="207" spans="1:48" x14ac:dyDescent="0.25">
      <c r="A207">
        <v>128</v>
      </c>
      <c r="B207" t="s">
        <v>991</v>
      </c>
      <c r="C207" t="s">
        <v>992</v>
      </c>
      <c r="D207" t="s">
        <v>993</v>
      </c>
      <c r="E207" t="s">
        <v>994</v>
      </c>
      <c r="F207">
        <f>1-440-586-2118</f>
        <v>-3143</v>
      </c>
      <c r="G207" t="s">
        <v>53</v>
      </c>
      <c r="H207" s="1">
        <v>35674</v>
      </c>
      <c r="I207">
        <v>29</v>
      </c>
      <c r="J207">
        <v>1997</v>
      </c>
      <c r="K207" s="1">
        <v>45394</v>
      </c>
      <c r="L207">
        <v>2024</v>
      </c>
      <c r="M207" t="s">
        <v>54</v>
      </c>
      <c r="N207">
        <v>17</v>
      </c>
      <c r="O207" t="s">
        <v>350</v>
      </c>
      <c r="P207" t="s">
        <v>56</v>
      </c>
      <c r="Q207">
        <v>36</v>
      </c>
      <c r="R207">
        <v>6</v>
      </c>
      <c r="S207" t="s">
        <v>140</v>
      </c>
      <c r="T207" t="s">
        <v>141</v>
      </c>
      <c r="U207">
        <v>11</v>
      </c>
      <c r="V207">
        <v>12</v>
      </c>
      <c r="W207">
        <v>12</v>
      </c>
      <c r="X207">
        <v>12</v>
      </c>
      <c r="Y207">
        <v>3</v>
      </c>
      <c r="Z207">
        <v>11</v>
      </c>
      <c r="AA207">
        <v>2.2272720000000001</v>
      </c>
      <c r="AB207">
        <v>24.5</v>
      </c>
      <c r="AC207" t="s">
        <v>70</v>
      </c>
      <c r="AD207" t="s">
        <v>60</v>
      </c>
      <c r="AE207">
        <v>1</v>
      </c>
      <c r="AF207">
        <v>0</v>
      </c>
      <c r="AG207">
        <v>3</v>
      </c>
      <c r="AH207">
        <v>0</v>
      </c>
      <c r="AI207">
        <v>0</v>
      </c>
      <c r="AJ207">
        <v>2</v>
      </c>
      <c r="AK207">
        <v>1</v>
      </c>
      <c r="AL207">
        <v>0</v>
      </c>
      <c r="AM207">
        <v>3</v>
      </c>
      <c r="AN207">
        <v>1</v>
      </c>
      <c r="AO207">
        <v>10</v>
      </c>
      <c r="AP207">
        <v>1</v>
      </c>
      <c r="AQ207">
        <v>90.909090909089997</v>
      </c>
      <c r="AR207" s="2">
        <v>45757.860868055555</v>
      </c>
      <c r="AS207" s="2">
        <v>46076.531851851854</v>
      </c>
      <c r="AT207" t="s">
        <v>61</v>
      </c>
      <c r="AU207" t="s">
        <v>62</v>
      </c>
      <c r="AV207">
        <v>319</v>
      </c>
    </row>
    <row r="208" spans="1:48" x14ac:dyDescent="0.25">
      <c r="A208">
        <v>528</v>
      </c>
      <c r="B208" t="s">
        <v>995</v>
      </c>
      <c r="C208" t="s">
        <v>627</v>
      </c>
      <c r="D208" t="s">
        <v>996</v>
      </c>
      <c r="E208" t="s">
        <v>997</v>
      </c>
      <c r="F208" t="s">
        <v>998</v>
      </c>
      <c r="G208" t="s">
        <v>104</v>
      </c>
      <c r="H208" s="1">
        <v>36935</v>
      </c>
      <c r="I208">
        <v>25</v>
      </c>
      <c r="J208">
        <v>2001</v>
      </c>
      <c r="K208" s="1">
        <v>44864</v>
      </c>
      <c r="L208">
        <v>2022</v>
      </c>
      <c r="M208" t="s">
        <v>54</v>
      </c>
      <c r="N208">
        <v>5</v>
      </c>
      <c r="O208" t="s">
        <v>84</v>
      </c>
      <c r="P208" t="s">
        <v>56</v>
      </c>
      <c r="Q208">
        <v>36</v>
      </c>
      <c r="R208">
        <v>2</v>
      </c>
      <c r="S208" t="s">
        <v>85</v>
      </c>
      <c r="T208" t="s">
        <v>86</v>
      </c>
      <c r="U208">
        <v>11</v>
      </c>
      <c r="V208">
        <v>12</v>
      </c>
      <c r="W208">
        <v>12</v>
      </c>
      <c r="X208">
        <v>11</v>
      </c>
      <c r="Y208">
        <v>3</v>
      </c>
      <c r="Z208">
        <v>11</v>
      </c>
      <c r="AA208">
        <v>1.90909</v>
      </c>
      <c r="AB208">
        <v>21</v>
      </c>
      <c r="AC208" t="s">
        <v>70</v>
      </c>
      <c r="AD208" t="s">
        <v>112</v>
      </c>
      <c r="AE208">
        <v>0</v>
      </c>
      <c r="AF208">
        <v>0</v>
      </c>
      <c r="AG208">
        <v>1</v>
      </c>
      <c r="AH208">
        <v>4</v>
      </c>
      <c r="AI208">
        <v>0</v>
      </c>
      <c r="AJ208">
        <v>1</v>
      </c>
      <c r="AK208">
        <v>0</v>
      </c>
      <c r="AL208">
        <v>0</v>
      </c>
      <c r="AM208">
        <v>3</v>
      </c>
      <c r="AN208">
        <v>2</v>
      </c>
      <c r="AO208">
        <v>9</v>
      </c>
      <c r="AP208">
        <v>2</v>
      </c>
      <c r="AQ208">
        <v>81.818181818181003</v>
      </c>
      <c r="AR208" s="2">
        <v>45722.898842592593</v>
      </c>
      <c r="AS208" s="2">
        <v>46036.639479166668</v>
      </c>
      <c r="AT208" t="s">
        <v>61</v>
      </c>
      <c r="AU208" t="s">
        <v>62</v>
      </c>
      <c r="AV208">
        <v>314</v>
      </c>
    </row>
    <row r="209" spans="1:48" x14ac:dyDescent="0.25">
      <c r="A209">
        <v>906</v>
      </c>
      <c r="B209" t="s">
        <v>999</v>
      </c>
      <c r="C209" t="s">
        <v>399</v>
      </c>
      <c r="D209" t="s">
        <v>1000</v>
      </c>
      <c r="E209" t="s">
        <v>1001</v>
      </c>
      <c r="F209" t="s">
        <v>1002</v>
      </c>
      <c r="G209" t="s">
        <v>104</v>
      </c>
      <c r="H209" s="1">
        <v>38289</v>
      </c>
      <c r="I209">
        <v>22</v>
      </c>
      <c r="J209">
        <v>2004</v>
      </c>
      <c r="K209" s="1">
        <v>45237</v>
      </c>
      <c r="L209">
        <v>2023</v>
      </c>
      <c r="M209" t="s">
        <v>54</v>
      </c>
      <c r="N209">
        <v>9</v>
      </c>
      <c r="O209" t="s">
        <v>151</v>
      </c>
      <c r="P209" t="s">
        <v>69</v>
      </c>
      <c r="Q209">
        <v>60</v>
      </c>
      <c r="R209">
        <v>3</v>
      </c>
      <c r="S209" t="s">
        <v>126</v>
      </c>
      <c r="T209" t="s">
        <v>127</v>
      </c>
      <c r="U209">
        <v>12</v>
      </c>
      <c r="V209">
        <v>12</v>
      </c>
      <c r="W209">
        <v>12</v>
      </c>
      <c r="X209">
        <v>11</v>
      </c>
      <c r="Y209">
        <v>3</v>
      </c>
      <c r="Z209">
        <v>10</v>
      </c>
      <c r="AA209">
        <v>2.1</v>
      </c>
      <c r="AB209">
        <v>21</v>
      </c>
      <c r="AC209" t="s">
        <v>70</v>
      </c>
      <c r="AD209" t="s">
        <v>60</v>
      </c>
      <c r="AE209">
        <v>1</v>
      </c>
      <c r="AF209">
        <v>0</v>
      </c>
      <c r="AG209">
        <v>2</v>
      </c>
      <c r="AH209">
        <v>1</v>
      </c>
      <c r="AI209">
        <v>0</v>
      </c>
      <c r="AJ209">
        <v>2</v>
      </c>
      <c r="AK209">
        <v>0</v>
      </c>
      <c r="AL209">
        <v>0</v>
      </c>
      <c r="AM209">
        <v>2</v>
      </c>
      <c r="AN209">
        <v>2</v>
      </c>
      <c r="AO209">
        <v>8</v>
      </c>
      <c r="AP209">
        <v>2</v>
      </c>
      <c r="AQ209">
        <v>80</v>
      </c>
      <c r="AR209" s="2">
        <v>45743.250902777778</v>
      </c>
      <c r="AS209" s="2">
        <v>46080.899270833332</v>
      </c>
      <c r="AT209" t="s">
        <v>61</v>
      </c>
      <c r="AU209" t="s">
        <v>62</v>
      </c>
      <c r="AV209">
        <v>337</v>
      </c>
    </row>
    <row r="210" spans="1:48" x14ac:dyDescent="0.25">
      <c r="A210">
        <v>578</v>
      </c>
      <c r="B210" t="s">
        <v>1003</v>
      </c>
      <c r="C210" t="s">
        <v>172</v>
      </c>
      <c r="D210" t="s">
        <v>1004</v>
      </c>
      <c r="E210" t="s">
        <v>1005</v>
      </c>
      <c r="F210" t="s">
        <v>1006</v>
      </c>
      <c r="G210" t="s">
        <v>104</v>
      </c>
      <c r="H210" s="1">
        <v>38691</v>
      </c>
      <c r="I210">
        <v>21</v>
      </c>
      <c r="J210">
        <v>2005</v>
      </c>
      <c r="K210" s="1">
        <v>44865</v>
      </c>
      <c r="L210">
        <v>2022</v>
      </c>
      <c r="M210" t="s">
        <v>111</v>
      </c>
      <c r="N210">
        <v>3</v>
      </c>
      <c r="O210" t="s">
        <v>68</v>
      </c>
      <c r="P210" t="s">
        <v>69</v>
      </c>
      <c r="Q210">
        <v>60</v>
      </c>
      <c r="R210">
        <v>1</v>
      </c>
      <c r="S210" t="s">
        <v>57</v>
      </c>
      <c r="T210" t="s">
        <v>58</v>
      </c>
      <c r="U210">
        <v>11</v>
      </c>
      <c r="V210">
        <v>12</v>
      </c>
      <c r="W210">
        <v>12</v>
      </c>
      <c r="X210">
        <v>10</v>
      </c>
      <c r="Y210">
        <v>3</v>
      </c>
      <c r="Z210">
        <v>9</v>
      </c>
      <c r="AA210">
        <v>2.5</v>
      </c>
      <c r="AB210">
        <v>22.5</v>
      </c>
      <c r="AC210" t="s">
        <v>59</v>
      </c>
      <c r="AD210" t="s">
        <v>60</v>
      </c>
      <c r="AE210">
        <v>1</v>
      </c>
      <c r="AF210">
        <v>0</v>
      </c>
      <c r="AG210">
        <v>1</v>
      </c>
      <c r="AH210">
        <v>1</v>
      </c>
      <c r="AI210">
        <v>0</v>
      </c>
      <c r="AJ210">
        <v>2</v>
      </c>
      <c r="AK210">
        <v>3</v>
      </c>
      <c r="AL210">
        <v>0</v>
      </c>
      <c r="AM210">
        <v>1</v>
      </c>
      <c r="AN210">
        <v>0</v>
      </c>
      <c r="AO210">
        <v>9</v>
      </c>
      <c r="AP210">
        <v>0</v>
      </c>
      <c r="AQ210">
        <v>100</v>
      </c>
      <c r="AR210" s="2">
        <v>45732.174733796295</v>
      </c>
      <c r="AS210" s="2">
        <v>46034.188009259262</v>
      </c>
      <c r="AT210" t="s">
        <v>61</v>
      </c>
      <c r="AU210" t="s">
        <v>62</v>
      </c>
      <c r="AV210">
        <v>302</v>
      </c>
    </row>
    <row r="211" spans="1:48" x14ac:dyDescent="0.25">
      <c r="A211">
        <v>385</v>
      </c>
      <c r="B211" t="s">
        <v>1007</v>
      </c>
      <c r="C211" t="s">
        <v>305</v>
      </c>
      <c r="D211" t="s">
        <v>1008</v>
      </c>
      <c r="E211" t="s">
        <v>1009</v>
      </c>
      <c r="F211" t="s">
        <v>1010</v>
      </c>
      <c r="G211" t="s">
        <v>53</v>
      </c>
      <c r="H211" s="1">
        <v>35536</v>
      </c>
      <c r="I211">
        <v>29</v>
      </c>
      <c r="J211">
        <v>1997</v>
      </c>
      <c r="K211" s="1">
        <v>44710</v>
      </c>
      <c r="L211">
        <v>2022</v>
      </c>
      <c r="M211" t="s">
        <v>54</v>
      </c>
      <c r="N211">
        <v>8</v>
      </c>
      <c r="O211" t="s">
        <v>125</v>
      </c>
      <c r="P211" t="s">
        <v>56</v>
      </c>
      <c r="Q211">
        <v>36</v>
      </c>
      <c r="R211">
        <v>3</v>
      </c>
      <c r="S211" t="s">
        <v>126</v>
      </c>
      <c r="T211" t="s">
        <v>127</v>
      </c>
      <c r="U211">
        <v>11</v>
      </c>
      <c r="V211">
        <v>12</v>
      </c>
      <c r="W211">
        <v>12</v>
      </c>
      <c r="X211">
        <v>11</v>
      </c>
      <c r="Y211">
        <v>3</v>
      </c>
      <c r="Z211">
        <v>10</v>
      </c>
      <c r="AA211">
        <v>2.65</v>
      </c>
      <c r="AB211">
        <v>26.5</v>
      </c>
      <c r="AC211" t="s">
        <v>70</v>
      </c>
      <c r="AD211" t="s">
        <v>60</v>
      </c>
      <c r="AE211">
        <v>1</v>
      </c>
      <c r="AF211">
        <v>0</v>
      </c>
      <c r="AG211">
        <v>4</v>
      </c>
      <c r="AH211">
        <v>0</v>
      </c>
      <c r="AI211">
        <v>0</v>
      </c>
      <c r="AJ211">
        <v>3</v>
      </c>
      <c r="AK211">
        <v>0</v>
      </c>
      <c r="AL211">
        <v>0</v>
      </c>
      <c r="AM211">
        <v>1</v>
      </c>
      <c r="AN211">
        <v>1</v>
      </c>
      <c r="AO211">
        <v>9</v>
      </c>
      <c r="AP211">
        <v>1</v>
      </c>
      <c r="AQ211">
        <v>90</v>
      </c>
      <c r="AR211" s="2">
        <v>45728.594236111108</v>
      </c>
      <c r="AS211" s="2">
        <v>46075.94902777778</v>
      </c>
      <c r="AT211" t="s">
        <v>61</v>
      </c>
      <c r="AU211" t="s">
        <v>62</v>
      </c>
      <c r="AV211">
        <v>347</v>
      </c>
    </row>
    <row r="212" spans="1:48" x14ac:dyDescent="0.25">
      <c r="A212">
        <v>169</v>
      </c>
      <c r="B212" t="s">
        <v>1011</v>
      </c>
      <c r="C212" t="s">
        <v>627</v>
      </c>
      <c r="D212" t="s">
        <v>562</v>
      </c>
      <c r="E212" t="s">
        <v>1012</v>
      </c>
      <c r="F212" t="s">
        <v>1013</v>
      </c>
      <c r="G212" t="s">
        <v>104</v>
      </c>
      <c r="H212" s="1">
        <v>39024</v>
      </c>
      <c r="I212">
        <v>20</v>
      </c>
      <c r="J212">
        <v>2006</v>
      </c>
      <c r="K212" s="1">
        <v>45384</v>
      </c>
      <c r="L212">
        <v>2024</v>
      </c>
      <c r="M212" t="s">
        <v>225</v>
      </c>
      <c r="N212">
        <v>3</v>
      </c>
      <c r="O212" t="s">
        <v>68</v>
      </c>
      <c r="P212" t="s">
        <v>69</v>
      </c>
      <c r="Q212">
        <v>60</v>
      </c>
      <c r="R212">
        <v>1</v>
      </c>
      <c r="S212" t="s">
        <v>57</v>
      </c>
      <c r="T212" t="s">
        <v>58</v>
      </c>
      <c r="U212">
        <v>12</v>
      </c>
      <c r="V212">
        <v>12</v>
      </c>
      <c r="W212">
        <v>12</v>
      </c>
      <c r="X212">
        <v>10</v>
      </c>
      <c r="Y212">
        <v>3</v>
      </c>
      <c r="Z212">
        <v>12</v>
      </c>
      <c r="AA212">
        <v>1.9583330000000001</v>
      </c>
      <c r="AB212">
        <v>23.5</v>
      </c>
      <c r="AC212" t="s">
        <v>70</v>
      </c>
      <c r="AD212" t="s">
        <v>112</v>
      </c>
      <c r="AE212">
        <v>0</v>
      </c>
      <c r="AF212">
        <v>0</v>
      </c>
      <c r="AG212">
        <v>1</v>
      </c>
      <c r="AH212">
        <v>1</v>
      </c>
      <c r="AI212">
        <v>0</v>
      </c>
      <c r="AJ212">
        <v>4</v>
      </c>
      <c r="AK212">
        <v>3</v>
      </c>
      <c r="AL212">
        <v>0</v>
      </c>
      <c r="AM212">
        <v>1</v>
      </c>
      <c r="AN212">
        <v>2</v>
      </c>
      <c r="AO212">
        <v>10</v>
      </c>
      <c r="AP212">
        <v>2</v>
      </c>
      <c r="AQ212">
        <v>83.333333333333002</v>
      </c>
      <c r="AR212" s="2">
        <v>45729.905011574076</v>
      </c>
      <c r="AS212" s="2">
        <v>46065.887233796297</v>
      </c>
      <c r="AT212" t="s">
        <v>61</v>
      </c>
      <c r="AU212" t="s">
        <v>62</v>
      </c>
      <c r="AV212">
        <v>336</v>
      </c>
    </row>
    <row r="213" spans="1:48" x14ac:dyDescent="0.25">
      <c r="A213">
        <v>356</v>
      </c>
      <c r="B213" t="s">
        <v>1014</v>
      </c>
      <c r="C213" t="s">
        <v>1015</v>
      </c>
      <c r="D213" t="s">
        <v>311</v>
      </c>
      <c r="E213" t="s">
        <v>1016</v>
      </c>
      <c r="F213" t="s">
        <v>1017</v>
      </c>
      <c r="G213" t="s">
        <v>53</v>
      </c>
      <c r="H213" s="1">
        <v>37084</v>
      </c>
      <c r="I213">
        <v>25</v>
      </c>
      <c r="J213">
        <v>2001</v>
      </c>
      <c r="K213" s="1">
        <v>44652</v>
      </c>
      <c r="L213">
        <v>2022</v>
      </c>
      <c r="M213" t="s">
        <v>225</v>
      </c>
      <c r="N213">
        <v>5</v>
      </c>
      <c r="O213" t="s">
        <v>84</v>
      </c>
      <c r="P213" t="s">
        <v>56</v>
      </c>
      <c r="Q213">
        <v>36</v>
      </c>
      <c r="R213">
        <v>2</v>
      </c>
      <c r="S213" t="s">
        <v>85</v>
      </c>
      <c r="T213" t="s">
        <v>86</v>
      </c>
      <c r="U213">
        <v>12</v>
      </c>
      <c r="V213">
        <v>12</v>
      </c>
      <c r="W213">
        <v>12</v>
      </c>
      <c r="X213">
        <v>9</v>
      </c>
      <c r="Y213">
        <v>3</v>
      </c>
      <c r="Z213">
        <v>9</v>
      </c>
      <c r="AA213">
        <v>2.2777769999999999</v>
      </c>
      <c r="AB213">
        <v>20.5</v>
      </c>
      <c r="AC213" t="s">
        <v>70</v>
      </c>
      <c r="AD213" t="s">
        <v>60</v>
      </c>
      <c r="AE213">
        <v>1</v>
      </c>
      <c r="AF213">
        <v>0</v>
      </c>
      <c r="AG213">
        <v>2</v>
      </c>
      <c r="AH213">
        <v>0</v>
      </c>
      <c r="AI213">
        <v>0</v>
      </c>
      <c r="AJ213">
        <v>3</v>
      </c>
      <c r="AK213">
        <v>0</v>
      </c>
      <c r="AL213">
        <v>0</v>
      </c>
      <c r="AM213">
        <v>2</v>
      </c>
      <c r="AN213">
        <v>1</v>
      </c>
      <c r="AO213">
        <v>8</v>
      </c>
      <c r="AP213">
        <v>1</v>
      </c>
      <c r="AQ213">
        <v>88.888888888888005</v>
      </c>
      <c r="AR213" s="2">
        <v>45779.812986111108</v>
      </c>
      <c r="AS213" s="2">
        <v>46067.479907407411</v>
      </c>
      <c r="AT213" t="s">
        <v>61</v>
      </c>
      <c r="AU213" t="s">
        <v>62</v>
      </c>
      <c r="AV213">
        <v>288</v>
      </c>
    </row>
    <row r="214" spans="1:48" x14ac:dyDescent="0.25">
      <c r="A214">
        <v>984</v>
      </c>
      <c r="B214" t="s">
        <v>1018</v>
      </c>
      <c r="C214" t="s">
        <v>1019</v>
      </c>
      <c r="D214" t="s">
        <v>177</v>
      </c>
      <c r="E214" t="s">
        <v>1020</v>
      </c>
      <c r="F214" t="s">
        <v>1021</v>
      </c>
      <c r="G214" t="s">
        <v>53</v>
      </c>
      <c r="H214" s="1">
        <v>37954</v>
      </c>
      <c r="I214">
        <v>23</v>
      </c>
      <c r="J214">
        <v>2003</v>
      </c>
      <c r="K214" s="1">
        <v>45626</v>
      </c>
      <c r="L214">
        <v>2024</v>
      </c>
      <c r="M214" t="s">
        <v>54</v>
      </c>
      <c r="N214">
        <v>6</v>
      </c>
      <c r="O214" t="s">
        <v>133</v>
      </c>
      <c r="P214" t="s">
        <v>69</v>
      </c>
      <c r="Q214">
        <v>60</v>
      </c>
      <c r="R214">
        <v>2</v>
      </c>
      <c r="S214" t="s">
        <v>85</v>
      </c>
      <c r="T214" t="s">
        <v>86</v>
      </c>
      <c r="U214">
        <v>12</v>
      </c>
      <c r="V214">
        <v>12</v>
      </c>
      <c r="W214">
        <v>12</v>
      </c>
      <c r="X214">
        <v>10</v>
      </c>
      <c r="Y214">
        <v>3</v>
      </c>
      <c r="Z214">
        <v>10</v>
      </c>
      <c r="AA214">
        <v>2.2000000000000002</v>
      </c>
      <c r="AB214">
        <v>22</v>
      </c>
      <c r="AC214" t="s">
        <v>59</v>
      </c>
      <c r="AD214" t="s">
        <v>112</v>
      </c>
      <c r="AE214">
        <v>0</v>
      </c>
      <c r="AF214">
        <v>0</v>
      </c>
      <c r="AG214">
        <v>2</v>
      </c>
      <c r="AH214">
        <v>1</v>
      </c>
      <c r="AI214">
        <v>0</v>
      </c>
      <c r="AJ214">
        <v>2</v>
      </c>
      <c r="AK214">
        <v>2</v>
      </c>
      <c r="AL214">
        <v>0</v>
      </c>
      <c r="AM214">
        <v>3</v>
      </c>
      <c r="AN214">
        <v>0</v>
      </c>
      <c r="AO214">
        <v>10</v>
      </c>
      <c r="AP214">
        <v>0</v>
      </c>
      <c r="AQ214">
        <v>100</v>
      </c>
      <c r="AR214" s="2">
        <v>45771.887407407405</v>
      </c>
      <c r="AS214" s="2">
        <v>46046.921527777777</v>
      </c>
      <c r="AT214" t="s">
        <v>61</v>
      </c>
      <c r="AU214" t="s">
        <v>62</v>
      </c>
      <c r="AV214">
        <v>275</v>
      </c>
    </row>
    <row r="215" spans="1:48" x14ac:dyDescent="0.25">
      <c r="A215">
        <v>754</v>
      </c>
      <c r="B215" t="s">
        <v>1022</v>
      </c>
      <c r="C215" t="s">
        <v>1023</v>
      </c>
      <c r="D215" t="s">
        <v>1024</v>
      </c>
      <c r="E215" t="s">
        <v>1025</v>
      </c>
      <c r="F215" t="s">
        <v>1026</v>
      </c>
      <c r="G215" t="s">
        <v>53</v>
      </c>
      <c r="H215" s="1">
        <v>36844</v>
      </c>
      <c r="I215">
        <v>26</v>
      </c>
      <c r="J215">
        <v>2000</v>
      </c>
      <c r="K215" s="1">
        <v>45103</v>
      </c>
      <c r="L215">
        <v>2023</v>
      </c>
      <c r="M215" t="s">
        <v>54</v>
      </c>
      <c r="N215">
        <v>2</v>
      </c>
      <c r="O215" t="s">
        <v>55</v>
      </c>
      <c r="P215" t="s">
        <v>56</v>
      </c>
      <c r="Q215">
        <v>36</v>
      </c>
      <c r="R215">
        <v>1</v>
      </c>
      <c r="S215" t="s">
        <v>57</v>
      </c>
      <c r="T215" t="s">
        <v>58</v>
      </c>
      <c r="U215">
        <v>9</v>
      </c>
      <c r="V215">
        <v>12</v>
      </c>
      <c r="W215">
        <v>12</v>
      </c>
      <c r="X215">
        <v>12</v>
      </c>
      <c r="Y215">
        <v>3</v>
      </c>
      <c r="Z215">
        <v>12</v>
      </c>
      <c r="AA215">
        <v>2.7083330000000001</v>
      </c>
      <c r="AB215">
        <v>32.5</v>
      </c>
      <c r="AC215" t="s">
        <v>70</v>
      </c>
      <c r="AD215" t="s">
        <v>60</v>
      </c>
      <c r="AE215">
        <v>3</v>
      </c>
      <c r="AF215">
        <v>0</v>
      </c>
      <c r="AG215">
        <v>3</v>
      </c>
      <c r="AH215">
        <v>1</v>
      </c>
      <c r="AI215">
        <v>0</v>
      </c>
      <c r="AJ215">
        <v>2</v>
      </c>
      <c r="AK215">
        <v>0</v>
      </c>
      <c r="AL215">
        <v>0</v>
      </c>
      <c r="AM215">
        <v>2</v>
      </c>
      <c r="AN215">
        <v>1</v>
      </c>
      <c r="AO215">
        <v>11</v>
      </c>
      <c r="AP215">
        <v>1</v>
      </c>
      <c r="AQ215">
        <v>91.666666666666003</v>
      </c>
      <c r="AR215" s="2">
        <v>45723.551851851851</v>
      </c>
      <c r="AS215" s="2">
        <v>45988.371817129628</v>
      </c>
      <c r="AT215" t="s">
        <v>61</v>
      </c>
      <c r="AU215" t="s">
        <v>62</v>
      </c>
      <c r="AV215">
        <v>265</v>
      </c>
    </row>
    <row r="216" spans="1:48" x14ac:dyDescent="0.25">
      <c r="A216">
        <v>821</v>
      </c>
      <c r="B216" t="s">
        <v>1027</v>
      </c>
      <c r="C216" t="s">
        <v>177</v>
      </c>
      <c r="D216" t="s">
        <v>1028</v>
      </c>
      <c r="E216" t="s">
        <v>1029</v>
      </c>
      <c r="F216">
        <f>1-287-443-1271</f>
        <v>-2000</v>
      </c>
      <c r="G216" t="s">
        <v>104</v>
      </c>
      <c r="H216" s="1">
        <v>38943</v>
      </c>
      <c r="I216">
        <v>20</v>
      </c>
      <c r="J216">
        <v>2006</v>
      </c>
      <c r="K216" s="1">
        <v>45315</v>
      </c>
      <c r="L216">
        <v>2024</v>
      </c>
      <c r="M216" t="s">
        <v>54</v>
      </c>
      <c r="N216">
        <v>16</v>
      </c>
      <c r="O216" t="s">
        <v>280</v>
      </c>
      <c r="P216" t="s">
        <v>119</v>
      </c>
      <c r="Q216">
        <v>120</v>
      </c>
      <c r="R216">
        <v>6</v>
      </c>
      <c r="S216" t="s">
        <v>140</v>
      </c>
      <c r="T216" t="s">
        <v>141</v>
      </c>
      <c r="U216">
        <v>11</v>
      </c>
      <c r="V216">
        <v>12</v>
      </c>
      <c r="W216">
        <v>12</v>
      </c>
      <c r="X216">
        <v>11</v>
      </c>
      <c r="Y216">
        <v>3</v>
      </c>
      <c r="Z216">
        <v>9</v>
      </c>
      <c r="AA216">
        <v>2.555555</v>
      </c>
      <c r="AB216">
        <v>23</v>
      </c>
      <c r="AC216" t="s">
        <v>70</v>
      </c>
      <c r="AD216" t="s">
        <v>60</v>
      </c>
      <c r="AE216">
        <v>3</v>
      </c>
      <c r="AF216">
        <v>0</v>
      </c>
      <c r="AG216">
        <v>1</v>
      </c>
      <c r="AH216">
        <v>0</v>
      </c>
      <c r="AI216">
        <v>0</v>
      </c>
      <c r="AJ216">
        <v>1</v>
      </c>
      <c r="AK216">
        <v>2</v>
      </c>
      <c r="AL216">
        <v>0</v>
      </c>
      <c r="AM216">
        <v>1</v>
      </c>
      <c r="AN216">
        <v>1</v>
      </c>
      <c r="AO216">
        <v>8</v>
      </c>
      <c r="AP216">
        <v>1</v>
      </c>
      <c r="AQ216">
        <v>88.888888888888005</v>
      </c>
      <c r="AR216" s="2">
        <v>45753.587951388887</v>
      </c>
      <c r="AS216" s="2">
        <v>46063.106354166666</v>
      </c>
      <c r="AT216" t="s">
        <v>61</v>
      </c>
      <c r="AU216" t="s">
        <v>62</v>
      </c>
      <c r="AV216">
        <v>310</v>
      </c>
    </row>
    <row r="217" spans="1:48" x14ac:dyDescent="0.25">
      <c r="A217">
        <v>985</v>
      </c>
      <c r="B217" t="s">
        <v>1030</v>
      </c>
      <c r="C217" t="s">
        <v>595</v>
      </c>
      <c r="D217" t="s">
        <v>1031</v>
      </c>
      <c r="E217" t="s">
        <v>1032</v>
      </c>
      <c r="F217" t="s">
        <v>1033</v>
      </c>
      <c r="G217" t="s">
        <v>104</v>
      </c>
      <c r="H217" s="1">
        <v>38821</v>
      </c>
      <c r="I217">
        <v>20</v>
      </c>
      <c r="J217">
        <v>2006</v>
      </c>
      <c r="K217" s="1">
        <v>45841</v>
      </c>
      <c r="L217">
        <v>2025</v>
      </c>
      <c r="M217" t="s">
        <v>54</v>
      </c>
      <c r="N217">
        <v>7</v>
      </c>
      <c r="O217" t="s">
        <v>231</v>
      </c>
      <c r="P217" t="s">
        <v>119</v>
      </c>
      <c r="Q217">
        <v>120</v>
      </c>
      <c r="R217">
        <v>3</v>
      </c>
      <c r="S217" t="s">
        <v>126</v>
      </c>
      <c r="T217" t="s">
        <v>127</v>
      </c>
      <c r="U217">
        <v>12</v>
      </c>
      <c r="V217">
        <v>12</v>
      </c>
      <c r="W217">
        <v>12</v>
      </c>
      <c r="X217">
        <v>11</v>
      </c>
      <c r="Y217">
        <v>3</v>
      </c>
      <c r="Z217">
        <v>10</v>
      </c>
      <c r="AA217">
        <v>2.25</v>
      </c>
      <c r="AB217">
        <v>22.5</v>
      </c>
      <c r="AC217" t="s">
        <v>70</v>
      </c>
      <c r="AD217" t="s">
        <v>60</v>
      </c>
      <c r="AE217">
        <v>2</v>
      </c>
      <c r="AF217">
        <v>0</v>
      </c>
      <c r="AG217">
        <v>0</v>
      </c>
      <c r="AH217">
        <v>2</v>
      </c>
      <c r="AI217">
        <v>0</v>
      </c>
      <c r="AJ217">
        <v>1</v>
      </c>
      <c r="AK217">
        <v>3</v>
      </c>
      <c r="AL217">
        <v>0</v>
      </c>
      <c r="AM217">
        <v>0</v>
      </c>
      <c r="AN217">
        <v>2</v>
      </c>
      <c r="AO217">
        <v>8</v>
      </c>
      <c r="AP217">
        <v>2</v>
      </c>
      <c r="AQ217">
        <v>80</v>
      </c>
      <c r="AR217" s="2">
        <v>45729.746990740743</v>
      </c>
      <c r="AS217" s="2">
        <v>46078.321944444448</v>
      </c>
      <c r="AT217" t="s">
        <v>61</v>
      </c>
      <c r="AU217" t="s">
        <v>62</v>
      </c>
      <c r="AV217">
        <v>349</v>
      </c>
    </row>
    <row r="218" spans="1:48" x14ac:dyDescent="0.25">
      <c r="A218">
        <v>159</v>
      </c>
      <c r="B218" t="s">
        <v>1034</v>
      </c>
      <c r="C218" t="s">
        <v>561</v>
      </c>
      <c r="D218" t="s">
        <v>1035</v>
      </c>
      <c r="E218" t="s">
        <v>1036</v>
      </c>
      <c r="F218" t="s">
        <v>1037</v>
      </c>
      <c r="G218" t="s">
        <v>53</v>
      </c>
      <c r="H218" s="1">
        <v>38789</v>
      </c>
      <c r="I218">
        <v>20</v>
      </c>
      <c r="J218">
        <v>2006</v>
      </c>
      <c r="K218" s="1">
        <v>45586</v>
      </c>
      <c r="L218">
        <v>2024</v>
      </c>
      <c r="M218" t="s">
        <v>54</v>
      </c>
      <c r="N218">
        <v>8</v>
      </c>
      <c r="O218" t="s">
        <v>125</v>
      </c>
      <c r="P218" t="s">
        <v>56</v>
      </c>
      <c r="Q218">
        <v>36</v>
      </c>
      <c r="R218">
        <v>3</v>
      </c>
      <c r="S218" t="s">
        <v>126</v>
      </c>
      <c r="T218" t="s">
        <v>127</v>
      </c>
      <c r="U218">
        <v>12</v>
      </c>
      <c r="V218">
        <v>12</v>
      </c>
      <c r="W218">
        <v>12</v>
      </c>
      <c r="X218">
        <v>11</v>
      </c>
      <c r="Y218">
        <v>3</v>
      </c>
      <c r="Z218">
        <v>10</v>
      </c>
      <c r="AA218">
        <v>2.9</v>
      </c>
      <c r="AB218">
        <v>29</v>
      </c>
      <c r="AC218" t="s">
        <v>59</v>
      </c>
      <c r="AD218" t="s">
        <v>60</v>
      </c>
      <c r="AE218">
        <v>2</v>
      </c>
      <c r="AF218">
        <v>0</v>
      </c>
      <c r="AG218">
        <v>2</v>
      </c>
      <c r="AH218">
        <v>3</v>
      </c>
      <c r="AI218">
        <v>0</v>
      </c>
      <c r="AJ218">
        <v>0</v>
      </c>
      <c r="AK218">
        <v>2</v>
      </c>
      <c r="AL218">
        <v>0</v>
      </c>
      <c r="AM218">
        <v>1</v>
      </c>
      <c r="AN218">
        <v>0</v>
      </c>
      <c r="AO218">
        <v>10</v>
      </c>
      <c r="AP218">
        <v>0</v>
      </c>
      <c r="AQ218">
        <v>100</v>
      </c>
      <c r="AR218" s="2">
        <v>45727.541192129633</v>
      </c>
      <c r="AS218" s="2">
        <v>46037.795358796298</v>
      </c>
      <c r="AT218" t="s">
        <v>61</v>
      </c>
      <c r="AU218" t="s">
        <v>62</v>
      </c>
      <c r="AV218">
        <v>310</v>
      </c>
    </row>
    <row r="219" spans="1:48" x14ac:dyDescent="0.25">
      <c r="A219">
        <v>343</v>
      </c>
      <c r="B219" t="s">
        <v>1038</v>
      </c>
      <c r="C219" t="s">
        <v>315</v>
      </c>
      <c r="D219" t="s">
        <v>576</v>
      </c>
      <c r="E219" t="s">
        <v>1039</v>
      </c>
      <c r="F219" t="s">
        <v>1040</v>
      </c>
      <c r="G219" t="s">
        <v>104</v>
      </c>
      <c r="H219" s="1">
        <v>39436</v>
      </c>
      <c r="I219">
        <v>19</v>
      </c>
      <c r="J219">
        <v>2007</v>
      </c>
      <c r="K219" s="1">
        <v>46038</v>
      </c>
      <c r="L219">
        <v>2026</v>
      </c>
      <c r="M219" t="s">
        <v>54</v>
      </c>
      <c r="N219">
        <v>18</v>
      </c>
      <c r="O219" t="s">
        <v>139</v>
      </c>
      <c r="P219" t="s">
        <v>69</v>
      </c>
      <c r="Q219">
        <v>60</v>
      </c>
      <c r="R219">
        <v>6</v>
      </c>
      <c r="S219" t="s">
        <v>140</v>
      </c>
      <c r="T219" t="s">
        <v>141</v>
      </c>
      <c r="U219">
        <v>12</v>
      </c>
      <c r="V219">
        <v>12</v>
      </c>
      <c r="W219">
        <v>12</v>
      </c>
      <c r="X219">
        <v>11</v>
      </c>
      <c r="Y219">
        <v>3</v>
      </c>
      <c r="Z219">
        <v>10</v>
      </c>
      <c r="AA219">
        <v>1.4</v>
      </c>
      <c r="AB219">
        <v>14</v>
      </c>
      <c r="AC219" t="s">
        <v>70</v>
      </c>
      <c r="AD219" t="s">
        <v>60</v>
      </c>
      <c r="AE219">
        <v>1</v>
      </c>
      <c r="AF219">
        <v>0</v>
      </c>
      <c r="AG219">
        <v>1</v>
      </c>
      <c r="AH219">
        <v>0</v>
      </c>
      <c r="AI219">
        <v>0</v>
      </c>
      <c r="AJ219">
        <v>1</v>
      </c>
      <c r="AK219">
        <v>1</v>
      </c>
      <c r="AL219">
        <v>0</v>
      </c>
      <c r="AM219">
        <v>2</v>
      </c>
      <c r="AN219">
        <v>4</v>
      </c>
      <c r="AO219">
        <v>6</v>
      </c>
      <c r="AP219">
        <v>4</v>
      </c>
      <c r="AQ219">
        <v>60</v>
      </c>
      <c r="AR219" s="2">
        <v>45814.40284722222</v>
      </c>
      <c r="AS219" s="2">
        <v>46067.306666666664</v>
      </c>
      <c r="AT219" t="s">
        <v>61</v>
      </c>
      <c r="AU219" t="s">
        <v>62</v>
      </c>
      <c r="AV219">
        <v>253</v>
      </c>
    </row>
    <row r="220" spans="1:48" x14ac:dyDescent="0.25">
      <c r="A220">
        <v>853</v>
      </c>
      <c r="B220" t="s">
        <v>1041</v>
      </c>
      <c r="C220" t="s">
        <v>1042</v>
      </c>
      <c r="D220" t="s">
        <v>192</v>
      </c>
      <c r="E220" t="s">
        <v>1043</v>
      </c>
      <c r="F220">
        <f>1-294-231-9100</f>
        <v>-9624</v>
      </c>
      <c r="G220" t="s">
        <v>104</v>
      </c>
      <c r="H220" s="1">
        <v>39259</v>
      </c>
      <c r="I220">
        <v>19</v>
      </c>
      <c r="J220">
        <v>2007</v>
      </c>
      <c r="K220" s="1">
        <v>45983</v>
      </c>
      <c r="L220">
        <v>2025</v>
      </c>
      <c r="M220" t="s">
        <v>54</v>
      </c>
      <c r="N220">
        <v>19</v>
      </c>
      <c r="O220" t="s">
        <v>162</v>
      </c>
      <c r="P220" t="s">
        <v>119</v>
      </c>
      <c r="Q220">
        <v>120</v>
      </c>
      <c r="R220">
        <v>7</v>
      </c>
      <c r="S220" t="s">
        <v>163</v>
      </c>
      <c r="T220" t="s">
        <v>164</v>
      </c>
      <c r="U220">
        <v>11</v>
      </c>
      <c r="V220">
        <v>12</v>
      </c>
      <c r="W220">
        <v>12</v>
      </c>
      <c r="X220">
        <v>11</v>
      </c>
      <c r="Y220">
        <v>3</v>
      </c>
      <c r="Z220">
        <v>10</v>
      </c>
      <c r="AA220">
        <v>2.5499999999999998</v>
      </c>
      <c r="AB220">
        <v>25.5</v>
      </c>
      <c r="AC220" t="s">
        <v>70</v>
      </c>
      <c r="AD220" t="s">
        <v>60</v>
      </c>
      <c r="AE220">
        <v>2</v>
      </c>
      <c r="AF220">
        <v>0</v>
      </c>
      <c r="AG220">
        <v>2</v>
      </c>
      <c r="AH220">
        <v>2</v>
      </c>
      <c r="AI220">
        <v>0</v>
      </c>
      <c r="AJ220">
        <v>1</v>
      </c>
      <c r="AK220">
        <v>1</v>
      </c>
      <c r="AL220">
        <v>0</v>
      </c>
      <c r="AM220">
        <v>0</v>
      </c>
      <c r="AN220">
        <v>2</v>
      </c>
      <c r="AO220">
        <v>8</v>
      </c>
      <c r="AP220">
        <v>2</v>
      </c>
      <c r="AQ220">
        <v>80</v>
      </c>
      <c r="AR220" s="2">
        <v>45755.622916666667</v>
      </c>
      <c r="AS220" s="2">
        <v>46049.954131944447</v>
      </c>
      <c r="AT220" t="s">
        <v>61</v>
      </c>
      <c r="AU220" t="s">
        <v>62</v>
      </c>
      <c r="AV220">
        <v>294</v>
      </c>
    </row>
    <row r="221" spans="1:48" x14ac:dyDescent="0.25">
      <c r="A221">
        <v>926</v>
      </c>
      <c r="B221" t="s">
        <v>1044</v>
      </c>
      <c r="C221" t="s">
        <v>575</v>
      </c>
      <c r="D221" t="s">
        <v>1045</v>
      </c>
      <c r="E221" t="s">
        <v>1046</v>
      </c>
      <c r="F221" t="s">
        <v>1047</v>
      </c>
      <c r="G221" t="s">
        <v>53</v>
      </c>
      <c r="H221" s="1">
        <v>34780</v>
      </c>
      <c r="I221">
        <v>31</v>
      </c>
      <c r="J221">
        <v>1995</v>
      </c>
      <c r="K221" s="1">
        <v>45144</v>
      </c>
      <c r="L221">
        <v>2023</v>
      </c>
      <c r="M221" t="s">
        <v>54</v>
      </c>
      <c r="N221">
        <v>21</v>
      </c>
      <c r="O221" t="s">
        <v>339</v>
      </c>
      <c r="P221" t="s">
        <v>69</v>
      </c>
      <c r="Q221">
        <v>60</v>
      </c>
      <c r="R221">
        <v>7</v>
      </c>
      <c r="S221" t="s">
        <v>163</v>
      </c>
      <c r="T221" t="s">
        <v>164</v>
      </c>
      <c r="U221">
        <v>11</v>
      </c>
      <c r="V221">
        <v>12</v>
      </c>
      <c r="W221">
        <v>12</v>
      </c>
      <c r="X221">
        <v>11</v>
      </c>
      <c r="Y221">
        <v>3</v>
      </c>
      <c r="Z221">
        <v>10</v>
      </c>
      <c r="AA221">
        <v>2.35</v>
      </c>
      <c r="AB221">
        <v>23.5</v>
      </c>
      <c r="AC221" t="s">
        <v>70</v>
      </c>
      <c r="AD221" t="s">
        <v>60</v>
      </c>
      <c r="AE221">
        <v>1</v>
      </c>
      <c r="AF221">
        <v>0</v>
      </c>
      <c r="AG221">
        <v>3</v>
      </c>
      <c r="AH221">
        <v>2</v>
      </c>
      <c r="AI221">
        <v>0</v>
      </c>
      <c r="AJ221">
        <v>0</v>
      </c>
      <c r="AK221">
        <v>1</v>
      </c>
      <c r="AL221">
        <v>0</v>
      </c>
      <c r="AM221">
        <v>1</v>
      </c>
      <c r="AN221">
        <v>2</v>
      </c>
      <c r="AO221">
        <v>8</v>
      </c>
      <c r="AP221">
        <v>2</v>
      </c>
      <c r="AQ221">
        <v>80</v>
      </c>
      <c r="AR221" s="2">
        <v>45762.02679398148</v>
      </c>
      <c r="AS221" s="2">
        <v>46010.909710648149</v>
      </c>
      <c r="AT221" t="s">
        <v>61</v>
      </c>
      <c r="AU221" t="s">
        <v>62</v>
      </c>
      <c r="AV221">
        <v>248</v>
      </c>
    </row>
    <row r="222" spans="1:48" x14ac:dyDescent="0.25">
      <c r="A222">
        <v>167</v>
      </c>
      <c r="B222" t="s">
        <v>1048</v>
      </c>
      <c r="C222" t="s">
        <v>1049</v>
      </c>
      <c r="D222" t="s">
        <v>1050</v>
      </c>
      <c r="E222" t="s">
        <v>1051</v>
      </c>
      <c r="F222">
        <v>6237806174</v>
      </c>
      <c r="G222" t="s">
        <v>104</v>
      </c>
      <c r="H222" s="1">
        <v>35173</v>
      </c>
      <c r="I222">
        <v>30</v>
      </c>
      <c r="J222">
        <v>1996</v>
      </c>
      <c r="K222" s="1">
        <v>45292</v>
      </c>
      <c r="L222">
        <v>2024</v>
      </c>
      <c r="M222" t="s">
        <v>111</v>
      </c>
      <c r="N222">
        <v>19</v>
      </c>
      <c r="O222" t="s">
        <v>162</v>
      </c>
      <c r="P222" t="s">
        <v>119</v>
      </c>
      <c r="Q222">
        <v>120</v>
      </c>
      <c r="R222">
        <v>7</v>
      </c>
      <c r="S222" t="s">
        <v>163</v>
      </c>
      <c r="T222" t="s">
        <v>164</v>
      </c>
      <c r="U222">
        <v>12</v>
      </c>
      <c r="V222">
        <v>12</v>
      </c>
      <c r="W222">
        <v>12</v>
      </c>
      <c r="X222">
        <v>8</v>
      </c>
      <c r="Y222">
        <v>3</v>
      </c>
      <c r="Z222">
        <v>9</v>
      </c>
      <c r="AA222">
        <v>1.666666</v>
      </c>
      <c r="AB222">
        <v>15</v>
      </c>
      <c r="AC222" t="s">
        <v>70</v>
      </c>
      <c r="AD222" t="s">
        <v>112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2</v>
      </c>
      <c r="AK222">
        <v>2</v>
      </c>
      <c r="AL222">
        <v>0</v>
      </c>
      <c r="AM222">
        <v>3</v>
      </c>
      <c r="AN222">
        <v>1</v>
      </c>
      <c r="AO222">
        <v>8</v>
      </c>
      <c r="AP222">
        <v>1</v>
      </c>
      <c r="AQ222">
        <v>88.888888888888005</v>
      </c>
      <c r="AR222" s="2">
        <v>45772.803564814814</v>
      </c>
      <c r="AS222" s="2">
        <v>46008.049143518518</v>
      </c>
      <c r="AT222" t="s">
        <v>61</v>
      </c>
      <c r="AU222" t="s">
        <v>62</v>
      </c>
      <c r="AV222">
        <v>236</v>
      </c>
    </row>
    <row r="223" spans="1:48" x14ac:dyDescent="0.25">
      <c r="A223">
        <v>682</v>
      </c>
      <c r="B223" t="s">
        <v>1052</v>
      </c>
      <c r="C223" t="s">
        <v>1053</v>
      </c>
      <c r="D223" t="s">
        <v>820</v>
      </c>
      <c r="E223" t="s">
        <v>1054</v>
      </c>
      <c r="F223" t="s">
        <v>1055</v>
      </c>
      <c r="G223" t="s">
        <v>104</v>
      </c>
      <c r="H223" s="1">
        <v>38752</v>
      </c>
      <c r="I223">
        <v>20</v>
      </c>
      <c r="J223">
        <v>2006</v>
      </c>
      <c r="K223" s="1">
        <v>45887</v>
      </c>
      <c r="L223">
        <v>2025</v>
      </c>
      <c r="M223" t="s">
        <v>54</v>
      </c>
      <c r="N223">
        <v>17</v>
      </c>
      <c r="O223" t="s">
        <v>350</v>
      </c>
      <c r="P223" t="s">
        <v>56</v>
      </c>
      <c r="Q223">
        <v>36</v>
      </c>
      <c r="R223">
        <v>6</v>
      </c>
      <c r="S223" t="s">
        <v>140</v>
      </c>
      <c r="T223" t="s">
        <v>141</v>
      </c>
      <c r="U223">
        <v>12</v>
      </c>
      <c r="V223">
        <v>12</v>
      </c>
      <c r="W223">
        <v>12</v>
      </c>
      <c r="X223">
        <v>11</v>
      </c>
      <c r="Y223">
        <v>3</v>
      </c>
      <c r="Z223">
        <v>11</v>
      </c>
      <c r="AA223">
        <v>2.40909</v>
      </c>
      <c r="AB223">
        <v>26.5</v>
      </c>
      <c r="AC223" t="s">
        <v>70</v>
      </c>
      <c r="AD223" t="s">
        <v>112</v>
      </c>
      <c r="AE223">
        <v>0</v>
      </c>
      <c r="AF223">
        <v>0</v>
      </c>
      <c r="AG223">
        <v>2</v>
      </c>
      <c r="AH223">
        <v>5</v>
      </c>
      <c r="AI223">
        <v>0</v>
      </c>
      <c r="AJ223">
        <v>1</v>
      </c>
      <c r="AK223">
        <v>1</v>
      </c>
      <c r="AL223">
        <v>0</v>
      </c>
      <c r="AM223">
        <v>0</v>
      </c>
      <c r="AN223">
        <v>2</v>
      </c>
      <c r="AO223">
        <v>9</v>
      </c>
      <c r="AP223">
        <v>2</v>
      </c>
      <c r="AQ223">
        <v>81.818181818181003</v>
      </c>
      <c r="AR223" s="2">
        <v>45735.407986111109</v>
      </c>
      <c r="AS223" s="2">
        <v>46075.707800925928</v>
      </c>
      <c r="AT223" t="s">
        <v>61</v>
      </c>
      <c r="AU223" t="s">
        <v>62</v>
      </c>
      <c r="AV223">
        <v>340</v>
      </c>
    </row>
    <row r="224" spans="1:48" x14ac:dyDescent="0.25">
      <c r="A224">
        <v>173</v>
      </c>
      <c r="B224" t="s">
        <v>1056</v>
      </c>
      <c r="C224" t="s">
        <v>1057</v>
      </c>
      <c r="D224" t="s">
        <v>1058</v>
      </c>
      <c r="E224" t="s">
        <v>1059</v>
      </c>
      <c r="F224" t="s">
        <v>1060</v>
      </c>
      <c r="G224" t="s">
        <v>53</v>
      </c>
      <c r="H224" s="1">
        <v>36957</v>
      </c>
      <c r="I224">
        <v>25</v>
      </c>
      <c r="J224">
        <v>2001</v>
      </c>
      <c r="K224" s="1">
        <v>45799</v>
      </c>
      <c r="L224">
        <v>2025</v>
      </c>
      <c r="M224" t="s">
        <v>54</v>
      </c>
      <c r="N224">
        <v>19</v>
      </c>
      <c r="O224" t="s">
        <v>162</v>
      </c>
      <c r="P224" t="s">
        <v>119</v>
      </c>
      <c r="Q224">
        <v>120</v>
      </c>
      <c r="R224">
        <v>7</v>
      </c>
      <c r="S224" t="s">
        <v>163</v>
      </c>
      <c r="T224" t="s">
        <v>164</v>
      </c>
      <c r="U224">
        <v>12</v>
      </c>
      <c r="V224">
        <v>12</v>
      </c>
      <c r="W224">
        <v>12</v>
      </c>
      <c r="X224">
        <v>12</v>
      </c>
      <c r="Y224">
        <v>3</v>
      </c>
      <c r="Z224">
        <v>10</v>
      </c>
      <c r="AA224">
        <v>3.3</v>
      </c>
      <c r="AB224">
        <v>33</v>
      </c>
      <c r="AC224" t="s">
        <v>1061</v>
      </c>
      <c r="AD224" t="s">
        <v>60</v>
      </c>
      <c r="AE224">
        <v>4</v>
      </c>
      <c r="AF224">
        <v>0</v>
      </c>
      <c r="AG224">
        <v>2</v>
      </c>
      <c r="AH224">
        <v>2</v>
      </c>
      <c r="AI224">
        <v>0</v>
      </c>
      <c r="AJ224">
        <v>0</v>
      </c>
      <c r="AK224">
        <v>2</v>
      </c>
      <c r="AL224">
        <v>0</v>
      </c>
      <c r="AM224">
        <v>0</v>
      </c>
      <c r="AN224">
        <v>0</v>
      </c>
      <c r="AO224">
        <v>10</v>
      </c>
      <c r="AP224">
        <v>0</v>
      </c>
      <c r="AQ224">
        <v>100</v>
      </c>
      <c r="AR224" s="2">
        <v>45756.639976851853</v>
      </c>
      <c r="AS224" s="2">
        <v>46064.680972222224</v>
      </c>
      <c r="AT224" t="s">
        <v>61</v>
      </c>
      <c r="AU224" t="s">
        <v>62</v>
      </c>
      <c r="AV224">
        <v>308</v>
      </c>
    </row>
    <row r="225" spans="1:48" x14ac:dyDescent="0.25">
      <c r="A225">
        <v>573</v>
      </c>
      <c r="B225" t="s">
        <v>1062</v>
      </c>
      <c r="C225" t="s">
        <v>1063</v>
      </c>
      <c r="D225" t="s">
        <v>1064</v>
      </c>
      <c r="E225" t="s">
        <v>1065</v>
      </c>
      <c r="F225" t="s">
        <v>1066</v>
      </c>
      <c r="G225" t="s">
        <v>53</v>
      </c>
      <c r="H225" s="1">
        <v>39091</v>
      </c>
      <c r="I225">
        <v>19</v>
      </c>
      <c r="J225">
        <v>2007</v>
      </c>
      <c r="K225" s="1">
        <v>45152</v>
      </c>
      <c r="L225">
        <v>2023</v>
      </c>
      <c r="M225" t="s">
        <v>54</v>
      </c>
      <c r="N225">
        <v>6</v>
      </c>
      <c r="O225" t="s">
        <v>133</v>
      </c>
      <c r="P225" t="s">
        <v>69</v>
      </c>
      <c r="Q225">
        <v>60</v>
      </c>
      <c r="R225">
        <v>2</v>
      </c>
      <c r="S225" t="s">
        <v>85</v>
      </c>
      <c r="T225" t="s">
        <v>86</v>
      </c>
      <c r="U225">
        <v>12</v>
      </c>
      <c r="V225">
        <v>12</v>
      </c>
      <c r="W225">
        <v>12</v>
      </c>
      <c r="X225">
        <v>11</v>
      </c>
      <c r="Y225">
        <v>3</v>
      </c>
      <c r="Z225">
        <v>10</v>
      </c>
      <c r="AA225">
        <v>1.85</v>
      </c>
      <c r="AB225">
        <v>18.5</v>
      </c>
      <c r="AC225" t="s">
        <v>70</v>
      </c>
      <c r="AD225" t="s">
        <v>60</v>
      </c>
      <c r="AE225">
        <v>1</v>
      </c>
      <c r="AF225">
        <v>0</v>
      </c>
      <c r="AG225">
        <v>1</v>
      </c>
      <c r="AH225">
        <v>2</v>
      </c>
      <c r="AI225">
        <v>0</v>
      </c>
      <c r="AJ225">
        <v>0</v>
      </c>
      <c r="AK225">
        <v>0</v>
      </c>
      <c r="AL225">
        <v>0</v>
      </c>
      <c r="AM225">
        <v>5</v>
      </c>
      <c r="AN225">
        <v>1</v>
      </c>
      <c r="AO225">
        <v>9</v>
      </c>
      <c r="AP225">
        <v>1</v>
      </c>
      <c r="AQ225">
        <v>90</v>
      </c>
      <c r="AR225" s="2">
        <v>45724.594756944447</v>
      </c>
      <c r="AS225" s="2">
        <v>46070.900173611109</v>
      </c>
      <c r="AT225" t="s">
        <v>61</v>
      </c>
      <c r="AU225" t="s">
        <v>62</v>
      </c>
      <c r="AV225">
        <v>346</v>
      </c>
    </row>
    <row r="226" spans="1:48" x14ac:dyDescent="0.25">
      <c r="A226">
        <v>256</v>
      </c>
      <c r="B226" t="s">
        <v>1067</v>
      </c>
      <c r="C226" t="s">
        <v>359</v>
      </c>
      <c r="D226" t="s">
        <v>1068</v>
      </c>
      <c r="E226" t="s">
        <v>1069</v>
      </c>
      <c r="F226" t="s">
        <v>1070</v>
      </c>
      <c r="G226" t="s">
        <v>53</v>
      </c>
      <c r="H226" s="1">
        <v>36471</v>
      </c>
      <c r="I226">
        <v>27</v>
      </c>
      <c r="J226">
        <v>1999</v>
      </c>
      <c r="K226" s="1">
        <v>45581</v>
      </c>
      <c r="L226">
        <v>2024</v>
      </c>
      <c r="M226" t="s">
        <v>225</v>
      </c>
      <c r="N226">
        <v>15</v>
      </c>
      <c r="O226" t="s">
        <v>91</v>
      </c>
      <c r="P226" t="s">
        <v>69</v>
      </c>
      <c r="Q226">
        <v>60</v>
      </c>
      <c r="R226">
        <v>5</v>
      </c>
      <c r="S226" t="s">
        <v>92</v>
      </c>
      <c r="T226" t="s">
        <v>93</v>
      </c>
      <c r="U226">
        <v>12</v>
      </c>
      <c r="V226">
        <v>12</v>
      </c>
      <c r="W226">
        <v>12</v>
      </c>
      <c r="X226">
        <v>10</v>
      </c>
      <c r="Y226">
        <v>3</v>
      </c>
      <c r="Z226">
        <v>8</v>
      </c>
      <c r="AA226">
        <v>2.25</v>
      </c>
      <c r="AB226">
        <v>18</v>
      </c>
      <c r="AC226" t="s">
        <v>70</v>
      </c>
      <c r="AD226" t="s">
        <v>60</v>
      </c>
      <c r="AE226">
        <v>2</v>
      </c>
      <c r="AF226">
        <v>0</v>
      </c>
      <c r="AG226">
        <v>1</v>
      </c>
      <c r="AH226">
        <v>0</v>
      </c>
      <c r="AI226">
        <v>0</v>
      </c>
      <c r="AJ226">
        <v>1</v>
      </c>
      <c r="AK226">
        <v>1</v>
      </c>
      <c r="AL226">
        <v>0</v>
      </c>
      <c r="AM226">
        <v>2</v>
      </c>
      <c r="AN226">
        <v>1</v>
      </c>
      <c r="AO226">
        <v>7</v>
      </c>
      <c r="AP226">
        <v>1</v>
      </c>
      <c r="AQ226">
        <v>87.5</v>
      </c>
      <c r="AR226" s="2">
        <v>45819.344074074077</v>
      </c>
      <c r="AS226" s="2">
        <v>46055.978113425925</v>
      </c>
      <c r="AT226" t="s">
        <v>61</v>
      </c>
      <c r="AU226" t="s">
        <v>62</v>
      </c>
      <c r="AV226">
        <v>236</v>
      </c>
    </row>
    <row r="227" spans="1:48" x14ac:dyDescent="0.25">
      <c r="A227">
        <v>371</v>
      </c>
      <c r="B227" t="s">
        <v>1071</v>
      </c>
      <c r="C227" t="s">
        <v>1072</v>
      </c>
      <c r="D227" t="s">
        <v>1073</v>
      </c>
      <c r="E227" t="s">
        <v>1074</v>
      </c>
      <c r="F227" t="s">
        <v>1075</v>
      </c>
      <c r="G227" t="s">
        <v>53</v>
      </c>
      <c r="H227" s="1">
        <v>39422</v>
      </c>
      <c r="I227">
        <v>19</v>
      </c>
      <c r="J227">
        <v>2007</v>
      </c>
      <c r="K227" s="1">
        <v>44973</v>
      </c>
      <c r="L227">
        <v>2023</v>
      </c>
      <c r="M227" t="s">
        <v>54</v>
      </c>
      <c r="N227">
        <v>21</v>
      </c>
      <c r="O227" t="s">
        <v>339</v>
      </c>
      <c r="P227" t="s">
        <v>69</v>
      </c>
      <c r="Q227">
        <v>60</v>
      </c>
      <c r="R227">
        <v>7</v>
      </c>
      <c r="S227" t="s">
        <v>163</v>
      </c>
      <c r="T227" t="s">
        <v>164</v>
      </c>
      <c r="U227">
        <v>10</v>
      </c>
      <c r="V227">
        <v>12</v>
      </c>
      <c r="W227">
        <v>12</v>
      </c>
      <c r="X227">
        <v>10</v>
      </c>
      <c r="Y227">
        <v>3</v>
      </c>
      <c r="Z227">
        <v>11</v>
      </c>
      <c r="AA227">
        <v>2.318181</v>
      </c>
      <c r="AB227">
        <v>25.5</v>
      </c>
      <c r="AC227" t="s">
        <v>70</v>
      </c>
      <c r="AD227" t="s">
        <v>60</v>
      </c>
      <c r="AE227">
        <v>2</v>
      </c>
      <c r="AF227">
        <v>0</v>
      </c>
      <c r="AG227">
        <v>1</v>
      </c>
      <c r="AH227">
        <v>2</v>
      </c>
      <c r="AI227">
        <v>0</v>
      </c>
      <c r="AJ227">
        <v>2</v>
      </c>
      <c r="AK227">
        <v>1</v>
      </c>
      <c r="AL227">
        <v>0</v>
      </c>
      <c r="AM227">
        <v>1</v>
      </c>
      <c r="AN227">
        <v>2</v>
      </c>
      <c r="AO227">
        <v>9</v>
      </c>
      <c r="AP227">
        <v>2</v>
      </c>
      <c r="AQ227">
        <v>81.818181818181003</v>
      </c>
      <c r="AR227" s="2">
        <v>45764.740983796299</v>
      </c>
      <c r="AS227" s="2">
        <v>46071.911759259259</v>
      </c>
      <c r="AT227" t="s">
        <v>61</v>
      </c>
      <c r="AU227" t="s">
        <v>62</v>
      </c>
      <c r="AV227">
        <v>307</v>
      </c>
    </row>
    <row r="228" spans="1:48" x14ac:dyDescent="0.25">
      <c r="A228">
        <v>842</v>
      </c>
      <c r="B228" t="s">
        <v>1076</v>
      </c>
      <c r="C228" t="s">
        <v>1077</v>
      </c>
      <c r="D228" t="s">
        <v>1078</v>
      </c>
      <c r="E228" t="s">
        <v>1079</v>
      </c>
      <c r="F228">
        <f>1-633-599-1403</f>
        <v>-2634</v>
      </c>
      <c r="G228" t="s">
        <v>53</v>
      </c>
      <c r="H228" s="1">
        <v>38518</v>
      </c>
      <c r="I228">
        <v>21</v>
      </c>
      <c r="J228">
        <v>2005</v>
      </c>
      <c r="K228" s="1">
        <v>45242</v>
      </c>
      <c r="L228">
        <v>2023</v>
      </c>
      <c r="M228" t="s">
        <v>111</v>
      </c>
      <c r="N228">
        <v>7</v>
      </c>
      <c r="O228" t="s">
        <v>231</v>
      </c>
      <c r="P228" t="s">
        <v>119</v>
      </c>
      <c r="Q228">
        <v>120</v>
      </c>
      <c r="R228">
        <v>3</v>
      </c>
      <c r="S228" t="s">
        <v>126</v>
      </c>
      <c r="T228" t="s">
        <v>127</v>
      </c>
      <c r="U228">
        <v>11</v>
      </c>
      <c r="V228">
        <v>12</v>
      </c>
      <c r="W228">
        <v>12</v>
      </c>
      <c r="X228">
        <v>12</v>
      </c>
      <c r="Y228">
        <v>3</v>
      </c>
      <c r="Z228">
        <v>10</v>
      </c>
      <c r="AA228">
        <v>2.2000000000000002</v>
      </c>
      <c r="AB228">
        <v>22</v>
      </c>
      <c r="AC228" t="s">
        <v>70</v>
      </c>
      <c r="AD228" t="s">
        <v>60</v>
      </c>
      <c r="AE228">
        <v>3</v>
      </c>
      <c r="AF228">
        <v>0</v>
      </c>
      <c r="AG228">
        <v>1</v>
      </c>
      <c r="AH228">
        <v>1</v>
      </c>
      <c r="AI228">
        <v>0</v>
      </c>
      <c r="AJ228">
        <v>1</v>
      </c>
      <c r="AK228">
        <v>0</v>
      </c>
      <c r="AL228">
        <v>0</v>
      </c>
      <c r="AM228">
        <v>1</v>
      </c>
      <c r="AN228">
        <v>3</v>
      </c>
      <c r="AO228">
        <v>7</v>
      </c>
      <c r="AP228">
        <v>3</v>
      </c>
      <c r="AQ228">
        <v>70</v>
      </c>
      <c r="AR228" s="2">
        <v>45766.048460648148</v>
      </c>
      <c r="AS228" s="2">
        <v>46058.611863425926</v>
      </c>
      <c r="AT228" t="s">
        <v>61</v>
      </c>
      <c r="AU228" t="s">
        <v>62</v>
      </c>
      <c r="AV228">
        <v>292</v>
      </c>
    </row>
    <row r="229" spans="1:48" x14ac:dyDescent="0.25">
      <c r="A229">
        <v>874</v>
      </c>
      <c r="B229" t="s">
        <v>1080</v>
      </c>
      <c r="C229" t="s">
        <v>1042</v>
      </c>
      <c r="D229" t="s">
        <v>1081</v>
      </c>
      <c r="E229" t="s">
        <v>1082</v>
      </c>
      <c r="F229" t="s">
        <v>1083</v>
      </c>
      <c r="G229" t="s">
        <v>104</v>
      </c>
      <c r="H229" s="1">
        <v>38751</v>
      </c>
      <c r="I229">
        <v>20</v>
      </c>
      <c r="J229">
        <v>2006</v>
      </c>
      <c r="K229" s="1">
        <v>45153</v>
      </c>
      <c r="L229">
        <v>2023</v>
      </c>
      <c r="M229" t="s">
        <v>54</v>
      </c>
      <c r="N229">
        <v>4</v>
      </c>
      <c r="O229" t="s">
        <v>215</v>
      </c>
      <c r="P229" t="s">
        <v>119</v>
      </c>
      <c r="Q229">
        <v>120</v>
      </c>
      <c r="R229">
        <v>2</v>
      </c>
      <c r="S229" t="s">
        <v>85</v>
      </c>
      <c r="T229" t="s">
        <v>86</v>
      </c>
      <c r="U229">
        <v>10</v>
      </c>
      <c r="V229">
        <v>12</v>
      </c>
      <c r="W229">
        <v>12</v>
      </c>
      <c r="X229">
        <v>10</v>
      </c>
      <c r="Y229">
        <v>3</v>
      </c>
      <c r="Z229">
        <v>9</v>
      </c>
      <c r="AA229">
        <v>2.1111110000000002</v>
      </c>
      <c r="AB229">
        <v>19</v>
      </c>
      <c r="AC229" t="s">
        <v>70</v>
      </c>
      <c r="AD229" t="s">
        <v>60</v>
      </c>
      <c r="AE229">
        <v>2</v>
      </c>
      <c r="AF229">
        <v>0</v>
      </c>
      <c r="AG229">
        <v>0</v>
      </c>
      <c r="AH229">
        <v>2</v>
      </c>
      <c r="AI229">
        <v>0</v>
      </c>
      <c r="AJ229">
        <v>0</v>
      </c>
      <c r="AK229">
        <v>1</v>
      </c>
      <c r="AL229">
        <v>0</v>
      </c>
      <c r="AM229">
        <v>3</v>
      </c>
      <c r="AN229">
        <v>1</v>
      </c>
      <c r="AO229">
        <v>8</v>
      </c>
      <c r="AP229">
        <v>1</v>
      </c>
      <c r="AQ229">
        <v>88.888888888888005</v>
      </c>
      <c r="AR229" s="2">
        <v>45758.267766203702</v>
      </c>
      <c r="AS229" s="2">
        <v>46076.694490740738</v>
      </c>
      <c r="AT229" t="s">
        <v>61</v>
      </c>
      <c r="AU229" t="s">
        <v>62</v>
      </c>
      <c r="AV229">
        <v>318</v>
      </c>
    </row>
    <row r="230" spans="1:48" x14ac:dyDescent="0.25">
      <c r="A230">
        <v>627</v>
      </c>
      <c r="B230" t="s">
        <v>1084</v>
      </c>
      <c r="C230" t="s">
        <v>148</v>
      </c>
      <c r="D230" t="s">
        <v>1085</v>
      </c>
      <c r="E230" t="s">
        <v>1086</v>
      </c>
      <c r="F230" t="s">
        <v>1087</v>
      </c>
      <c r="G230" t="s">
        <v>53</v>
      </c>
      <c r="H230" s="1">
        <v>37132</v>
      </c>
      <c r="I230">
        <v>25</v>
      </c>
      <c r="J230">
        <v>2001</v>
      </c>
      <c r="K230" s="1">
        <v>45626</v>
      </c>
      <c r="L230">
        <v>2024</v>
      </c>
      <c r="M230" t="s">
        <v>54</v>
      </c>
      <c r="N230">
        <v>4</v>
      </c>
      <c r="O230" t="s">
        <v>215</v>
      </c>
      <c r="P230" t="s">
        <v>119</v>
      </c>
      <c r="Q230">
        <v>120</v>
      </c>
      <c r="R230">
        <v>2</v>
      </c>
      <c r="S230" t="s">
        <v>85</v>
      </c>
      <c r="T230" t="s">
        <v>86</v>
      </c>
      <c r="U230">
        <v>10</v>
      </c>
      <c r="V230">
        <v>12</v>
      </c>
      <c r="W230">
        <v>12</v>
      </c>
      <c r="X230">
        <v>10</v>
      </c>
      <c r="Y230">
        <v>3</v>
      </c>
      <c r="Z230">
        <v>8</v>
      </c>
      <c r="AA230">
        <v>1.875</v>
      </c>
      <c r="AB230">
        <v>15</v>
      </c>
      <c r="AC230" t="s">
        <v>70</v>
      </c>
      <c r="AD230" t="s">
        <v>60</v>
      </c>
      <c r="AE230">
        <v>1</v>
      </c>
      <c r="AF230">
        <v>0</v>
      </c>
      <c r="AG230">
        <v>0</v>
      </c>
      <c r="AH230">
        <v>1</v>
      </c>
      <c r="AI230">
        <v>0</v>
      </c>
      <c r="AJ230">
        <v>2</v>
      </c>
      <c r="AK230">
        <v>1</v>
      </c>
      <c r="AL230">
        <v>0</v>
      </c>
      <c r="AM230">
        <v>1</v>
      </c>
      <c r="AN230">
        <v>2</v>
      </c>
      <c r="AO230">
        <v>6</v>
      </c>
      <c r="AP230">
        <v>2</v>
      </c>
      <c r="AQ230">
        <v>75</v>
      </c>
      <c r="AR230" s="2">
        <v>45732.926435185182</v>
      </c>
      <c r="AS230" s="2">
        <v>46056.872523148151</v>
      </c>
      <c r="AT230" t="s">
        <v>61</v>
      </c>
      <c r="AU230" t="s">
        <v>62</v>
      </c>
      <c r="AV230">
        <v>324</v>
      </c>
    </row>
    <row r="231" spans="1:48" x14ac:dyDescent="0.25">
      <c r="A231">
        <v>110</v>
      </c>
      <c r="B231" t="s">
        <v>1088</v>
      </c>
      <c r="C231" t="s">
        <v>1089</v>
      </c>
      <c r="D231" t="s">
        <v>974</v>
      </c>
      <c r="E231" t="s">
        <v>1090</v>
      </c>
      <c r="F231" t="s">
        <v>1091</v>
      </c>
      <c r="G231" t="s">
        <v>53</v>
      </c>
      <c r="H231" s="1">
        <v>36666</v>
      </c>
      <c r="I231">
        <v>26</v>
      </c>
      <c r="J231">
        <v>2000</v>
      </c>
      <c r="K231" s="1">
        <v>44764</v>
      </c>
      <c r="L231">
        <v>2022</v>
      </c>
      <c r="M231" t="s">
        <v>54</v>
      </c>
      <c r="N231">
        <v>8</v>
      </c>
      <c r="O231" t="s">
        <v>125</v>
      </c>
      <c r="P231" t="s">
        <v>56</v>
      </c>
      <c r="Q231">
        <v>36</v>
      </c>
      <c r="R231">
        <v>3</v>
      </c>
      <c r="S231" t="s">
        <v>126</v>
      </c>
      <c r="T231" t="s">
        <v>127</v>
      </c>
      <c r="U231">
        <v>11</v>
      </c>
      <c r="V231">
        <v>11</v>
      </c>
      <c r="W231">
        <v>11</v>
      </c>
      <c r="X231">
        <v>10</v>
      </c>
      <c r="Y231">
        <v>3</v>
      </c>
      <c r="Z231">
        <v>8</v>
      </c>
      <c r="AA231">
        <v>2.6875</v>
      </c>
      <c r="AB231">
        <v>21.5</v>
      </c>
      <c r="AC231" t="s">
        <v>70</v>
      </c>
      <c r="AD231" t="s">
        <v>60</v>
      </c>
      <c r="AE231">
        <v>2</v>
      </c>
      <c r="AF231">
        <v>0</v>
      </c>
      <c r="AG231">
        <v>2</v>
      </c>
      <c r="AH231">
        <v>1</v>
      </c>
      <c r="AI231">
        <v>0</v>
      </c>
      <c r="AJ231">
        <v>1</v>
      </c>
      <c r="AK231">
        <v>0</v>
      </c>
      <c r="AL231">
        <v>0</v>
      </c>
      <c r="AM231">
        <v>1</v>
      </c>
      <c r="AN231">
        <v>1</v>
      </c>
      <c r="AO231">
        <v>7</v>
      </c>
      <c r="AP231">
        <v>1</v>
      </c>
      <c r="AQ231">
        <v>87.5</v>
      </c>
      <c r="AR231" s="2">
        <v>45731.687858796293</v>
      </c>
      <c r="AS231" s="2">
        <v>45928.539212962962</v>
      </c>
      <c r="AT231" t="s">
        <v>61</v>
      </c>
      <c r="AU231" t="s">
        <v>62</v>
      </c>
      <c r="AV231">
        <v>197</v>
      </c>
    </row>
    <row r="232" spans="1:48" x14ac:dyDescent="0.25">
      <c r="A232">
        <v>151</v>
      </c>
      <c r="B232" t="s">
        <v>1092</v>
      </c>
      <c r="C232" t="s">
        <v>1093</v>
      </c>
      <c r="D232" t="s">
        <v>415</v>
      </c>
      <c r="E232" t="s">
        <v>1094</v>
      </c>
      <c r="F232">
        <v>6956849825</v>
      </c>
      <c r="G232" t="s">
        <v>53</v>
      </c>
      <c r="H232" s="1">
        <v>37482</v>
      </c>
      <c r="I232">
        <v>24</v>
      </c>
      <c r="J232">
        <v>2002</v>
      </c>
      <c r="K232" s="1">
        <v>46016</v>
      </c>
      <c r="L232">
        <v>2025</v>
      </c>
      <c r="M232" t="s">
        <v>225</v>
      </c>
      <c r="N232">
        <v>4</v>
      </c>
      <c r="O232" t="s">
        <v>215</v>
      </c>
      <c r="P232" t="s">
        <v>119</v>
      </c>
      <c r="Q232">
        <v>120</v>
      </c>
      <c r="R232">
        <v>2</v>
      </c>
      <c r="S232" t="s">
        <v>85</v>
      </c>
      <c r="T232" t="s">
        <v>86</v>
      </c>
      <c r="U232">
        <v>11</v>
      </c>
      <c r="V232">
        <v>11</v>
      </c>
      <c r="W232">
        <v>11</v>
      </c>
      <c r="X232">
        <v>9</v>
      </c>
      <c r="Y232">
        <v>3</v>
      </c>
      <c r="Z232">
        <v>11</v>
      </c>
      <c r="AA232">
        <v>2.318181</v>
      </c>
      <c r="AB232">
        <v>25.5</v>
      </c>
      <c r="AC232" t="s">
        <v>70</v>
      </c>
      <c r="AD232" t="s">
        <v>60</v>
      </c>
      <c r="AE232">
        <v>4</v>
      </c>
      <c r="AF232">
        <v>0</v>
      </c>
      <c r="AG232">
        <v>1</v>
      </c>
      <c r="AH232">
        <v>0</v>
      </c>
      <c r="AI232">
        <v>0</v>
      </c>
      <c r="AJ232">
        <v>2</v>
      </c>
      <c r="AK232">
        <v>0</v>
      </c>
      <c r="AL232">
        <v>0</v>
      </c>
      <c r="AM232">
        <v>1</v>
      </c>
      <c r="AN232">
        <v>3</v>
      </c>
      <c r="AO232">
        <v>8</v>
      </c>
      <c r="AP232">
        <v>3</v>
      </c>
      <c r="AQ232">
        <v>72.727272727271995</v>
      </c>
      <c r="AR232" s="2">
        <v>45726.81113425926</v>
      </c>
      <c r="AS232" s="2">
        <v>46058.89472222222</v>
      </c>
      <c r="AT232" t="s">
        <v>61</v>
      </c>
      <c r="AU232" t="s">
        <v>62</v>
      </c>
      <c r="AV232">
        <v>332</v>
      </c>
    </row>
    <row r="233" spans="1:48" x14ac:dyDescent="0.25">
      <c r="A233">
        <v>537</v>
      </c>
      <c r="B233" t="s">
        <v>1095</v>
      </c>
      <c r="C233" t="s">
        <v>1096</v>
      </c>
      <c r="D233" t="s">
        <v>1097</v>
      </c>
      <c r="E233" t="s">
        <v>1098</v>
      </c>
      <c r="F233">
        <f>1-844-462-6714</f>
        <v>-8019</v>
      </c>
      <c r="G233" t="s">
        <v>104</v>
      </c>
      <c r="H233" s="1">
        <v>37308</v>
      </c>
      <c r="I233">
        <v>24</v>
      </c>
      <c r="J233">
        <v>2002</v>
      </c>
      <c r="K233" s="1">
        <v>44728</v>
      </c>
      <c r="L233">
        <v>2022</v>
      </c>
      <c r="M233" t="s">
        <v>111</v>
      </c>
      <c r="N233">
        <v>12</v>
      </c>
      <c r="O233" t="s">
        <v>76</v>
      </c>
      <c r="P233" t="s">
        <v>69</v>
      </c>
      <c r="Q233">
        <v>60</v>
      </c>
      <c r="R233">
        <v>4</v>
      </c>
      <c r="S233" t="s">
        <v>77</v>
      </c>
      <c r="T233" t="s">
        <v>78</v>
      </c>
      <c r="U233">
        <v>11</v>
      </c>
      <c r="V233">
        <v>11</v>
      </c>
      <c r="W233">
        <v>11</v>
      </c>
      <c r="X233">
        <v>8</v>
      </c>
      <c r="Y233">
        <v>3</v>
      </c>
      <c r="Z233">
        <v>8</v>
      </c>
      <c r="AA233">
        <v>1.8125</v>
      </c>
      <c r="AB233">
        <v>14.5</v>
      </c>
      <c r="AC233" t="s">
        <v>70</v>
      </c>
      <c r="AD233" t="s">
        <v>60</v>
      </c>
      <c r="AE233">
        <v>1</v>
      </c>
      <c r="AF233">
        <v>0</v>
      </c>
      <c r="AG233">
        <v>1</v>
      </c>
      <c r="AH233">
        <v>2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3</v>
      </c>
      <c r="AO233">
        <v>5</v>
      </c>
      <c r="AP233">
        <v>3</v>
      </c>
      <c r="AQ233">
        <v>62.5</v>
      </c>
      <c r="AR233" s="2">
        <v>45761.934571759259</v>
      </c>
      <c r="AS233" s="2">
        <v>46082.168217592596</v>
      </c>
      <c r="AT233" t="s">
        <v>61</v>
      </c>
      <c r="AU233" t="s">
        <v>62</v>
      </c>
      <c r="AV233">
        <v>321</v>
      </c>
    </row>
    <row r="234" spans="1:48" x14ac:dyDescent="0.25">
      <c r="A234">
        <v>487</v>
      </c>
      <c r="B234" t="s">
        <v>1099</v>
      </c>
      <c r="C234" t="s">
        <v>129</v>
      </c>
      <c r="D234" t="s">
        <v>1100</v>
      </c>
      <c r="E234" t="s">
        <v>1101</v>
      </c>
      <c r="F234" t="s">
        <v>1102</v>
      </c>
      <c r="G234" t="s">
        <v>53</v>
      </c>
      <c r="H234" s="1">
        <v>36200</v>
      </c>
      <c r="I234">
        <v>27</v>
      </c>
      <c r="J234">
        <v>1999</v>
      </c>
      <c r="K234" s="1">
        <v>45816</v>
      </c>
      <c r="L234">
        <v>2025</v>
      </c>
      <c r="M234" t="s">
        <v>54</v>
      </c>
      <c r="N234">
        <v>5</v>
      </c>
      <c r="O234" t="s">
        <v>84</v>
      </c>
      <c r="P234" t="s">
        <v>56</v>
      </c>
      <c r="Q234">
        <v>36</v>
      </c>
      <c r="R234">
        <v>2</v>
      </c>
      <c r="S234" t="s">
        <v>85</v>
      </c>
      <c r="T234" t="s">
        <v>86</v>
      </c>
      <c r="U234">
        <v>11</v>
      </c>
      <c r="V234">
        <v>11</v>
      </c>
      <c r="W234">
        <v>11</v>
      </c>
      <c r="X234">
        <v>11</v>
      </c>
      <c r="Y234">
        <v>3</v>
      </c>
      <c r="Z234">
        <v>10</v>
      </c>
      <c r="AA234">
        <v>2.1</v>
      </c>
      <c r="AB234">
        <v>21</v>
      </c>
      <c r="AC234" t="s">
        <v>70</v>
      </c>
      <c r="AD234" t="s">
        <v>112</v>
      </c>
      <c r="AE234">
        <v>0</v>
      </c>
      <c r="AF234">
        <v>0</v>
      </c>
      <c r="AG234">
        <v>2</v>
      </c>
      <c r="AH234">
        <v>2</v>
      </c>
      <c r="AI234">
        <v>0</v>
      </c>
      <c r="AJ234">
        <v>2</v>
      </c>
      <c r="AK234">
        <v>1</v>
      </c>
      <c r="AL234">
        <v>0</v>
      </c>
      <c r="AM234">
        <v>1</v>
      </c>
      <c r="AN234">
        <v>2</v>
      </c>
      <c r="AO234">
        <v>8</v>
      </c>
      <c r="AP234">
        <v>2</v>
      </c>
      <c r="AQ234">
        <v>80</v>
      </c>
      <c r="AR234" s="2">
        <v>45724.921203703707</v>
      </c>
      <c r="AS234" s="2">
        <v>46073.994166666664</v>
      </c>
      <c r="AT234" t="s">
        <v>61</v>
      </c>
      <c r="AU234" t="s">
        <v>62</v>
      </c>
      <c r="AV234">
        <v>349</v>
      </c>
    </row>
    <row r="235" spans="1:48" x14ac:dyDescent="0.25">
      <c r="A235">
        <v>99</v>
      </c>
      <c r="B235" t="s">
        <v>1103</v>
      </c>
      <c r="C235" t="s">
        <v>187</v>
      </c>
      <c r="D235" t="s">
        <v>1104</v>
      </c>
      <c r="E235" t="s">
        <v>1105</v>
      </c>
      <c r="F235" t="s">
        <v>1106</v>
      </c>
      <c r="G235" t="s">
        <v>104</v>
      </c>
      <c r="H235" s="1">
        <v>37157</v>
      </c>
      <c r="I235">
        <v>25</v>
      </c>
      <c r="J235">
        <v>2001</v>
      </c>
      <c r="K235" s="1">
        <v>45741</v>
      </c>
      <c r="L235">
        <v>2025</v>
      </c>
      <c r="M235" t="s">
        <v>54</v>
      </c>
      <c r="N235">
        <v>21</v>
      </c>
      <c r="O235" t="s">
        <v>339</v>
      </c>
      <c r="P235" t="s">
        <v>69</v>
      </c>
      <c r="Q235">
        <v>60</v>
      </c>
      <c r="R235">
        <v>7</v>
      </c>
      <c r="S235" t="s">
        <v>163</v>
      </c>
      <c r="T235" t="s">
        <v>164</v>
      </c>
      <c r="U235">
        <v>10</v>
      </c>
      <c r="V235">
        <v>11</v>
      </c>
      <c r="W235">
        <v>11</v>
      </c>
      <c r="X235">
        <v>9</v>
      </c>
      <c r="Y235">
        <v>3</v>
      </c>
      <c r="Z235">
        <v>10</v>
      </c>
      <c r="AA235">
        <v>2.4</v>
      </c>
      <c r="AB235">
        <v>24</v>
      </c>
      <c r="AC235" t="s">
        <v>70</v>
      </c>
      <c r="AD235" t="s">
        <v>60</v>
      </c>
      <c r="AE235">
        <v>1</v>
      </c>
      <c r="AF235">
        <v>0</v>
      </c>
      <c r="AG235">
        <v>2</v>
      </c>
      <c r="AH235">
        <v>1</v>
      </c>
      <c r="AI235">
        <v>0</v>
      </c>
      <c r="AJ235">
        <v>2</v>
      </c>
      <c r="AK235">
        <v>2</v>
      </c>
      <c r="AL235">
        <v>0</v>
      </c>
      <c r="AM235">
        <v>1</v>
      </c>
      <c r="AN235">
        <v>1</v>
      </c>
      <c r="AO235">
        <v>9</v>
      </c>
      <c r="AP235">
        <v>1</v>
      </c>
      <c r="AQ235">
        <v>90</v>
      </c>
      <c r="AR235" s="2">
        <v>45737.122534722221</v>
      </c>
      <c r="AS235" s="2">
        <v>46065.888009259259</v>
      </c>
      <c r="AT235" t="s">
        <v>61</v>
      </c>
      <c r="AU235" t="s">
        <v>62</v>
      </c>
      <c r="AV235">
        <v>328</v>
      </c>
    </row>
    <row r="236" spans="1:48" x14ac:dyDescent="0.25">
      <c r="A236">
        <v>820</v>
      </c>
      <c r="B236" t="s">
        <v>1107</v>
      </c>
      <c r="C236" t="s">
        <v>531</v>
      </c>
      <c r="D236" t="s">
        <v>1108</v>
      </c>
      <c r="E236" t="s">
        <v>1109</v>
      </c>
      <c r="F236" t="s">
        <v>1110</v>
      </c>
      <c r="G236" t="s">
        <v>104</v>
      </c>
      <c r="H236" s="1">
        <v>35538</v>
      </c>
      <c r="I236">
        <v>29</v>
      </c>
      <c r="J236">
        <v>1997</v>
      </c>
      <c r="K236" s="1">
        <v>44798</v>
      </c>
      <c r="L236">
        <v>2022</v>
      </c>
      <c r="M236" t="s">
        <v>111</v>
      </c>
      <c r="N236">
        <v>9</v>
      </c>
      <c r="O236" t="s">
        <v>151</v>
      </c>
      <c r="P236" t="s">
        <v>69</v>
      </c>
      <c r="Q236">
        <v>60</v>
      </c>
      <c r="R236">
        <v>3</v>
      </c>
      <c r="S236" t="s">
        <v>126</v>
      </c>
      <c r="T236" t="s">
        <v>127</v>
      </c>
      <c r="U236">
        <v>10</v>
      </c>
      <c r="V236">
        <v>11</v>
      </c>
      <c r="W236">
        <v>11</v>
      </c>
      <c r="X236">
        <v>10</v>
      </c>
      <c r="Y236">
        <v>3</v>
      </c>
      <c r="Z236">
        <v>9</v>
      </c>
      <c r="AA236">
        <v>2.2777769999999999</v>
      </c>
      <c r="AB236">
        <v>20.5</v>
      </c>
      <c r="AC236" t="s">
        <v>70</v>
      </c>
      <c r="AD236" t="s">
        <v>60</v>
      </c>
      <c r="AE236">
        <v>2</v>
      </c>
      <c r="AF236">
        <v>0</v>
      </c>
      <c r="AG236">
        <v>1</v>
      </c>
      <c r="AH236">
        <v>2</v>
      </c>
      <c r="AI236">
        <v>0</v>
      </c>
      <c r="AJ236">
        <v>0</v>
      </c>
      <c r="AK236">
        <v>1</v>
      </c>
      <c r="AL236">
        <v>0</v>
      </c>
      <c r="AM236">
        <v>1</v>
      </c>
      <c r="AN236">
        <v>2</v>
      </c>
      <c r="AO236">
        <v>7</v>
      </c>
      <c r="AP236">
        <v>2</v>
      </c>
      <c r="AQ236">
        <v>77.777777777777004</v>
      </c>
      <c r="AR236" s="2">
        <v>45776.496493055558</v>
      </c>
      <c r="AS236" s="2">
        <v>46071.810254629629</v>
      </c>
      <c r="AT236" t="s">
        <v>61</v>
      </c>
      <c r="AU236" t="s">
        <v>62</v>
      </c>
      <c r="AV236">
        <v>295</v>
      </c>
    </row>
    <row r="237" spans="1:48" x14ac:dyDescent="0.25">
      <c r="A237">
        <v>996</v>
      </c>
      <c r="B237" t="s">
        <v>1111</v>
      </c>
      <c r="C237" t="s">
        <v>1042</v>
      </c>
      <c r="D237" t="s">
        <v>1112</v>
      </c>
      <c r="E237" t="s">
        <v>1113</v>
      </c>
      <c r="F237" t="s">
        <v>1114</v>
      </c>
      <c r="G237" t="s">
        <v>104</v>
      </c>
      <c r="H237" s="1">
        <v>38087</v>
      </c>
      <c r="I237">
        <v>22</v>
      </c>
      <c r="J237">
        <v>2004</v>
      </c>
      <c r="K237" s="1">
        <v>45213</v>
      </c>
      <c r="L237">
        <v>2023</v>
      </c>
      <c r="M237" t="s">
        <v>54</v>
      </c>
      <c r="N237">
        <v>10</v>
      </c>
      <c r="O237" t="s">
        <v>118</v>
      </c>
      <c r="P237" t="s">
        <v>119</v>
      </c>
      <c r="Q237">
        <v>120</v>
      </c>
      <c r="R237">
        <v>4</v>
      </c>
      <c r="S237" t="s">
        <v>77</v>
      </c>
      <c r="T237" t="s">
        <v>78</v>
      </c>
      <c r="U237">
        <v>9</v>
      </c>
      <c r="V237">
        <v>11</v>
      </c>
      <c r="W237">
        <v>11</v>
      </c>
      <c r="X237">
        <v>9</v>
      </c>
      <c r="Y237">
        <v>3</v>
      </c>
      <c r="Z237">
        <v>10</v>
      </c>
      <c r="AA237">
        <v>2.25</v>
      </c>
      <c r="AB237">
        <v>22.5</v>
      </c>
      <c r="AC237" t="s">
        <v>70</v>
      </c>
      <c r="AD237" t="s">
        <v>60</v>
      </c>
      <c r="AE237">
        <v>1</v>
      </c>
      <c r="AF237">
        <v>0</v>
      </c>
      <c r="AG237">
        <v>2</v>
      </c>
      <c r="AH237">
        <v>2</v>
      </c>
      <c r="AI237">
        <v>0</v>
      </c>
      <c r="AJ237">
        <v>1</v>
      </c>
      <c r="AK237">
        <v>1</v>
      </c>
      <c r="AL237">
        <v>0</v>
      </c>
      <c r="AM237">
        <v>1</v>
      </c>
      <c r="AN237">
        <v>2</v>
      </c>
      <c r="AO237">
        <v>8</v>
      </c>
      <c r="AP237">
        <v>2</v>
      </c>
      <c r="AQ237">
        <v>80</v>
      </c>
      <c r="AR237" s="2">
        <v>45760.340266203704</v>
      </c>
      <c r="AS237" s="2">
        <v>46010.020787037036</v>
      </c>
      <c r="AT237" t="s">
        <v>61</v>
      </c>
      <c r="AU237" t="s">
        <v>62</v>
      </c>
      <c r="AV237">
        <v>250</v>
      </c>
    </row>
    <row r="238" spans="1:48" x14ac:dyDescent="0.25">
      <c r="A238">
        <v>949</v>
      </c>
      <c r="B238" t="s">
        <v>1115</v>
      </c>
      <c r="C238" t="s">
        <v>1116</v>
      </c>
      <c r="D238" t="s">
        <v>1117</v>
      </c>
      <c r="E238" t="s">
        <v>1118</v>
      </c>
      <c r="F238" t="s">
        <v>1119</v>
      </c>
      <c r="G238" t="s">
        <v>104</v>
      </c>
      <c r="H238" s="1">
        <v>35768</v>
      </c>
      <c r="I238">
        <v>29</v>
      </c>
      <c r="J238">
        <v>1997</v>
      </c>
      <c r="K238" s="1">
        <v>44849</v>
      </c>
      <c r="L238">
        <v>2022</v>
      </c>
      <c r="M238" t="s">
        <v>54</v>
      </c>
      <c r="N238">
        <v>3</v>
      </c>
      <c r="O238" t="s">
        <v>68</v>
      </c>
      <c r="P238" t="s">
        <v>69</v>
      </c>
      <c r="Q238">
        <v>60</v>
      </c>
      <c r="R238">
        <v>1</v>
      </c>
      <c r="S238" t="s">
        <v>57</v>
      </c>
      <c r="T238" t="s">
        <v>58</v>
      </c>
      <c r="U238">
        <v>11</v>
      </c>
      <c r="V238">
        <v>11</v>
      </c>
      <c r="W238">
        <v>11</v>
      </c>
      <c r="X238">
        <v>11</v>
      </c>
      <c r="Y238">
        <v>3</v>
      </c>
      <c r="Z238">
        <v>8</v>
      </c>
      <c r="AA238">
        <v>1</v>
      </c>
      <c r="AB238">
        <v>8</v>
      </c>
      <c r="AC238" t="s">
        <v>70</v>
      </c>
      <c r="AD238" t="s">
        <v>540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</v>
      </c>
      <c r="AK238">
        <v>0</v>
      </c>
      <c r="AL238">
        <v>0</v>
      </c>
      <c r="AM238">
        <v>3</v>
      </c>
      <c r="AN238">
        <v>3</v>
      </c>
      <c r="AO238">
        <v>5</v>
      </c>
      <c r="AP238">
        <v>3</v>
      </c>
      <c r="AQ238">
        <v>62.5</v>
      </c>
      <c r="AR238" s="2">
        <v>45751.524768518517</v>
      </c>
      <c r="AS238" s="2">
        <v>46057.981469907405</v>
      </c>
      <c r="AT238" t="s">
        <v>61</v>
      </c>
      <c r="AU238" t="s">
        <v>62</v>
      </c>
      <c r="AV238">
        <v>306</v>
      </c>
    </row>
    <row r="239" spans="1:48" x14ac:dyDescent="0.25">
      <c r="A239">
        <v>791</v>
      </c>
      <c r="B239" t="s">
        <v>1120</v>
      </c>
      <c r="C239" t="s">
        <v>1121</v>
      </c>
      <c r="D239" t="s">
        <v>1122</v>
      </c>
      <c r="E239" t="s">
        <v>1123</v>
      </c>
      <c r="F239" t="s">
        <v>1124</v>
      </c>
      <c r="G239" t="s">
        <v>53</v>
      </c>
      <c r="H239" s="1">
        <v>37417</v>
      </c>
      <c r="I239">
        <v>24</v>
      </c>
      <c r="J239">
        <v>2002</v>
      </c>
      <c r="K239" s="1">
        <v>44709</v>
      </c>
      <c r="L239">
        <v>2022</v>
      </c>
      <c r="M239" t="s">
        <v>54</v>
      </c>
      <c r="N239">
        <v>4</v>
      </c>
      <c r="O239" t="s">
        <v>215</v>
      </c>
      <c r="P239" t="s">
        <v>119</v>
      </c>
      <c r="Q239">
        <v>120</v>
      </c>
      <c r="R239">
        <v>2</v>
      </c>
      <c r="S239" t="s">
        <v>85</v>
      </c>
      <c r="T239" t="s">
        <v>86</v>
      </c>
      <c r="U239">
        <v>11</v>
      </c>
      <c r="V239">
        <v>11</v>
      </c>
      <c r="W239">
        <v>11</v>
      </c>
      <c r="X239">
        <v>9</v>
      </c>
      <c r="Y239">
        <v>3</v>
      </c>
      <c r="Z239">
        <v>9</v>
      </c>
      <c r="AA239">
        <v>2.3888880000000001</v>
      </c>
      <c r="AB239">
        <v>21.5</v>
      </c>
      <c r="AC239" t="s">
        <v>59</v>
      </c>
      <c r="AD239" t="s">
        <v>60</v>
      </c>
      <c r="AE239">
        <v>1</v>
      </c>
      <c r="AF239">
        <v>0</v>
      </c>
      <c r="AG239">
        <v>0</v>
      </c>
      <c r="AH239">
        <v>2</v>
      </c>
      <c r="AI239">
        <v>0</v>
      </c>
      <c r="AJ239">
        <v>3</v>
      </c>
      <c r="AK239">
        <v>1</v>
      </c>
      <c r="AL239">
        <v>0</v>
      </c>
      <c r="AM239">
        <v>2</v>
      </c>
      <c r="AN239">
        <v>0</v>
      </c>
      <c r="AO239">
        <v>9</v>
      </c>
      <c r="AP239">
        <v>0</v>
      </c>
      <c r="AQ239">
        <v>100</v>
      </c>
      <c r="AR239" s="2">
        <v>45738.016342592593</v>
      </c>
      <c r="AS239" s="2">
        <v>46071.389016203706</v>
      </c>
      <c r="AT239" t="s">
        <v>61</v>
      </c>
      <c r="AU239" t="s">
        <v>62</v>
      </c>
      <c r="AV239">
        <v>333</v>
      </c>
    </row>
    <row r="240" spans="1:48" x14ac:dyDescent="0.25">
      <c r="A240">
        <v>724</v>
      </c>
      <c r="B240" t="s">
        <v>1125</v>
      </c>
      <c r="C240" t="s">
        <v>1126</v>
      </c>
      <c r="D240" t="s">
        <v>1127</v>
      </c>
      <c r="E240" t="s">
        <v>1128</v>
      </c>
      <c r="F240" t="s">
        <v>1129</v>
      </c>
      <c r="G240" t="s">
        <v>104</v>
      </c>
      <c r="H240" s="1">
        <v>36576</v>
      </c>
      <c r="I240">
        <v>26</v>
      </c>
      <c r="J240">
        <v>2000</v>
      </c>
      <c r="K240" s="1">
        <v>46057</v>
      </c>
      <c r="L240">
        <v>2026</v>
      </c>
      <c r="M240" t="s">
        <v>54</v>
      </c>
      <c r="N240">
        <v>14</v>
      </c>
      <c r="O240" t="s">
        <v>105</v>
      </c>
      <c r="P240" t="s">
        <v>56</v>
      </c>
      <c r="Q240">
        <v>36</v>
      </c>
      <c r="R240">
        <v>5</v>
      </c>
      <c r="S240" t="s">
        <v>92</v>
      </c>
      <c r="T240" t="s">
        <v>93</v>
      </c>
      <c r="U240">
        <v>11</v>
      </c>
      <c r="V240">
        <v>11</v>
      </c>
      <c r="W240">
        <v>11</v>
      </c>
      <c r="X240">
        <v>11</v>
      </c>
      <c r="Y240">
        <v>3</v>
      </c>
      <c r="Z240">
        <v>10</v>
      </c>
      <c r="AA240">
        <v>2.1</v>
      </c>
      <c r="AB240">
        <v>21</v>
      </c>
      <c r="AC240" t="s">
        <v>70</v>
      </c>
      <c r="AD240" t="s">
        <v>60</v>
      </c>
      <c r="AE240">
        <v>1</v>
      </c>
      <c r="AF240">
        <v>0</v>
      </c>
      <c r="AG240">
        <v>2</v>
      </c>
      <c r="AH240">
        <v>1</v>
      </c>
      <c r="AI240">
        <v>0</v>
      </c>
      <c r="AJ240">
        <v>0</v>
      </c>
      <c r="AK240">
        <v>2</v>
      </c>
      <c r="AL240">
        <v>0</v>
      </c>
      <c r="AM240">
        <v>3</v>
      </c>
      <c r="AN240">
        <v>1</v>
      </c>
      <c r="AO240">
        <v>9</v>
      </c>
      <c r="AP240">
        <v>1</v>
      </c>
      <c r="AQ240">
        <v>90</v>
      </c>
      <c r="AR240" s="2">
        <v>45736.352453703701</v>
      </c>
      <c r="AS240" s="2">
        <v>46075.220289351855</v>
      </c>
      <c r="AT240" t="s">
        <v>61</v>
      </c>
      <c r="AU240" t="s">
        <v>62</v>
      </c>
      <c r="AV240">
        <v>339</v>
      </c>
    </row>
    <row r="241" spans="1:48" x14ac:dyDescent="0.25">
      <c r="A241">
        <v>286</v>
      </c>
      <c r="B241" t="s">
        <v>1130</v>
      </c>
      <c r="C241" t="s">
        <v>1131</v>
      </c>
      <c r="D241" t="s">
        <v>183</v>
      </c>
      <c r="E241" t="s">
        <v>1132</v>
      </c>
      <c r="F241">
        <v>2228031731</v>
      </c>
      <c r="G241" t="s">
        <v>53</v>
      </c>
      <c r="H241" s="1">
        <v>37887</v>
      </c>
      <c r="I241">
        <v>23</v>
      </c>
      <c r="J241">
        <v>2003</v>
      </c>
      <c r="K241" s="1">
        <v>45393</v>
      </c>
      <c r="L241">
        <v>2024</v>
      </c>
      <c r="M241" t="s">
        <v>111</v>
      </c>
      <c r="N241">
        <v>6</v>
      </c>
      <c r="O241" t="s">
        <v>133</v>
      </c>
      <c r="P241" t="s">
        <v>69</v>
      </c>
      <c r="Q241">
        <v>60</v>
      </c>
      <c r="R241">
        <v>2</v>
      </c>
      <c r="S241" t="s">
        <v>85</v>
      </c>
      <c r="T241" t="s">
        <v>86</v>
      </c>
      <c r="U241">
        <v>11</v>
      </c>
      <c r="V241">
        <v>11</v>
      </c>
      <c r="W241">
        <v>11</v>
      </c>
      <c r="X241">
        <v>10</v>
      </c>
      <c r="Y241">
        <v>3</v>
      </c>
      <c r="Z241">
        <v>9</v>
      </c>
      <c r="AA241">
        <v>2.555555</v>
      </c>
      <c r="AB241">
        <v>23</v>
      </c>
      <c r="AC241" t="s">
        <v>70</v>
      </c>
      <c r="AD241" t="s">
        <v>60</v>
      </c>
      <c r="AE241">
        <v>2</v>
      </c>
      <c r="AF241">
        <v>0</v>
      </c>
      <c r="AG241">
        <v>1</v>
      </c>
      <c r="AH241">
        <v>1</v>
      </c>
      <c r="AI241">
        <v>0</v>
      </c>
      <c r="AJ241">
        <v>3</v>
      </c>
      <c r="AK241">
        <v>0</v>
      </c>
      <c r="AL241">
        <v>0</v>
      </c>
      <c r="AM241">
        <v>1</v>
      </c>
      <c r="AN241">
        <v>1</v>
      </c>
      <c r="AO241">
        <v>8</v>
      </c>
      <c r="AP241">
        <v>1</v>
      </c>
      <c r="AQ241">
        <v>88.888888888888005</v>
      </c>
      <c r="AR241" s="2">
        <v>45777.164375</v>
      </c>
      <c r="AS241" s="2">
        <v>46085.562800925924</v>
      </c>
      <c r="AT241" t="s">
        <v>61</v>
      </c>
      <c r="AU241" t="s">
        <v>62</v>
      </c>
      <c r="AV241">
        <v>308</v>
      </c>
    </row>
    <row r="242" spans="1:48" x14ac:dyDescent="0.25">
      <c r="A242">
        <v>468</v>
      </c>
      <c r="B242" t="s">
        <v>1133</v>
      </c>
      <c r="C242" t="s">
        <v>1134</v>
      </c>
      <c r="D242" t="s">
        <v>1135</v>
      </c>
      <c r="E242" t="s">
        <v>1136</v>
      </c>
      <c r="F242" t="s">
        <v>1137</v>
      </c>
      <c r="G242" t="s">
        <v>104</v>
      </c>
      <c r="H242" s="1">
        <v>35073</v>
      </c>
      <c r="I242">
        <v>30</v>
      </c>
      <c r="J242">
        <v>1996</v>
      </c>
      <c r="K242" s="1">
        <v>44812</v>
      </c>
      <c r="L242">
        <v>2022</v>
      </c>
      <c r="M242" t="s">
        <v>54</v>
      </c>
      <c r="N242">
        <v>11</v>
      </c>
      <c r="O242" t="s">
        <v>378</v>
      </c>
      <c r="P242" t="s">
        <v>56</v>
      </c>
      <c r="Q242">
        <v>36</v>
      </c>
      <c r="R242">
        <v>4</v>
      </c>
      <c r="S242" t="s">
        <v>77</v>
      </c>
      <c r="T242" t="s">
        <v>78</v>
      </c>
      <c r="U242">
        <v>10</v>
      </c>
      <c r="V242">
        <v>11</v>
      </c>
      <c r="W242">
        <v>11</v>
      </c>
      <c r="X242">
        <v>10</v>
      </c>
      <c r="Y242">
        <v>3</v>
      </c>
      <c r="Z242">
        <v>10</v>
      </c>
      <c r="AA242">
        <v>2.8</v>
      </c>
      <c r="AB242">
        <v>28</v>
      </c>
      <c r="AC242" t="s">
        <v>70</v>
      </c>
      <c r="AD242" t="s">
        <v>60</v>
      </c>
      <c r="AE242">
        <v>2</v>
      </c>
      <c r="AF242">
        <v>0</v>
      </c>
      <c r="AG242">
        <v>1</v>
      </c>
      <c r="AH242">
        <v>3</v>
      </c>
      <c r="AI242">
        <v>0</v>
      </c>
      <c r="AJ242">
        <v>3</v>
      </c>
      <c r="AK242">
        <v>0</v>
      </c>
      <c r="AL242">
        <v>0</v>
      </c>
      <c r="AM242">
        <v>0</v>
      </c>
      <c r="AN242">
        <v>1</v>
      </c>
      <c r="AO242">
        <v>9</v>
      </c>
      <c r="AP242">
        <v>1</v>
      </c>
      <c r="AQ242">
        <v>90</v>
      </c>
      <c r="AR242" s="2">
        <v>45740.220868055556</v>
      </c>
      <c r="AS242" s="2">
        <v>46023.946435185186</v>
      </c>
      <c r="AT242" t="s">
        <v>61</v>
      </c>
      <c r="AU242" t="s">
        <v>62</v>
      </c>
      <c r="AV242">
        <v>283</v>
      </c>
    </row>
    <row r="243" spans="1:48" x14ac:dyDescent="0.25">
      <c r="A243">
        <v>730</v>
      </c>
      <c r="B243" t="s">
        <v>1138</v>
      </c>
      <c r="C243" t="s">
        <v>561</v>
      </c>
      <c r="D243" t="s">
        <v>1135</v>
      </c>
      <c r="E243" t="s">
        <v>1139</v>
      </c>
      <c r="F243" t="s">
        <v>1140</v>
      </c>
      <c r="G243" t="s">
        <v>53</v>
      </c>
      <c r="H243" s="1">
        <v>35611</v>
      </c>
      <c r="I243">
        <v>29</v>
      </c>
      <c r="J243">
        <v>1997</v>
      </c>
      <c r="K243" s="1">
        <v>44857</v>
      </c>
      <c r="L243">
        <v>2022</v>
      </c>
      <c r="M243" t="s">
        <v>54</v>
      </c>
      <c r="N243">
        <v>6</v>
      </c>
      <c r="O243" t="s">
        <v>133</v>
      </c>
      <c r="P243" t="s">
        <v>69</v>
      </c>
      <c r="Q243">
        <v>60</v>
      </c>
      <c r="R243">
        <v>2</v>
      </c>
      <c r="S243" t="s">
        <v>85</v>
      </c>
      <c r="T243" t="s">
        <v>86</v>
      </c>
      <c r="U243">
        <v>11</v>
      </c>
      <c r="V243">
        <v>11</v>
      </c>
      <c r="W243">
        <v>11</v>
      </c>
      <c r="X243">
        <v>11</v>
      </c>
      <c r="Y243">
        <v>3</v>
      </c>
      <c r="Z243">
        <v>10</v>
      </c>
      <c r="AA243">
        <v>2.1</v>
      </c>
      <c r="AB243">
        <v>21</v>
      </c>
      <c r="AC243" t="s">
        <v>70</v>
      </c>
      <c r="AD243" t="s">
        <v>60</v>
      </c>
      <c r="AE243">
        <v>1</v>
      </c>
      <c r="AF243">
        <v>0</v>
      </c>
      <c r="AG243">
        <v>2</v>
      </c>
      <c r="AH243">
        <v>1</v>
      </c>
      <c r="AI243">
        <v>0</v>
      </c>
      <c r="AJ243">
        <v>2</v>
      </c>
      <c r="AK243">
        <v>0</v>
      </c>
      <c r="AL243">
        <v>0</v>
      </c>
      <c r="AM243">
        <v>2</v>
      </c>
      <c r="AN243">
        <v>2</v>
      </c>
      <c r="AO243">
        <v>8</v>
      </c>
      <c r="AP243">
        <v>2</v>
      </c>
      <c r="AQ243">
        <v>80</v>
      </c>
      <c r="AR243" s="2">
        <v>45750.561018518521</v>
      </c>
      <c r="AS243" s="2">
        <v>46056.853333333333</v>
      </c>
      <c r="AT243" t="s">
        <v>61</v>
      </c>
      <c r="AU243" t="s">
        <v>62</v>
      </c>
      <c r="AV243">
        <v>306</v>
      </c>
    </row>
    <row r="244" spans="1:48" x14ac:dyDescent="0.25">
      <c r="A244">
        <v>763</v>
      </c>
      <c r="B244" t="s">
        <v>1141</v>
      </c>
      <c r="C244" t="s">
        <v>1142</v>
      </c>
      <c r="D244" t="s">
        <v>1143</v>
      </c>
      <c r="E244" t="s">
        <v>1144</v>
      </c>
      <c r="F244" t="s">
        <v>1145</v>
      </c>
      <c r="G244" t="s">
        <v>104</v>
      </c>
      <c r="H244" s="1">
        <v>36824</v>
      </c>
      <c r="I244">
        <v>26</v>
      </c>
      <c r="J244">
        <v>2000</v>
      </c>
      <c r="K244" s="1">
        <v>45863</v>
      </c>
      <c r="L244">
        <v>2025</v>
      </c>
      <c r="M244" t="s">
        <v>111</v>
      </c>
      <c r="N244">
        <v>13</v>
      </c>
      <c r="O244" t="s">
        <v>146</v>
      </c>
      <c r="P244" t="s">
        <v>119</v>
      </c>
      <c r="Q244">
        <v>120</v>
      </c>
      <c r="R244">
        <v>5</v>
      </c>
      <c r="S244" t="s">
        <v>92</v>
      </c>
      <c r="T244" t="s">
        <v>93</v>
      </c>
      <c r="U244">
        <v>10</v>
      </c>
      <c r="V244">
        <v>11</v>
      </c>
      <c r="W244">
        <v>11</v>
      </c>
      <c r="X244">
        <v>10</v>
      </c>
      <c r="Y244">
        <v>3</v>
      </c>
      <c r="Z244">
        <v>7</v>
      </c>
      <c r="AA244">
        <v>2.071428</v>
      </c>
      <c r="AB244">
        <v>14.5</v>
      </c>
      <c r="AC244" t="s">
        <v>70</v>
      </c>
      <c r="AD244" t="s">
        <v>60</v>
      </c>
      <c r="AE244">
        <v>2</v>
      </c>
      <c r="AF244">
        <v>0</v>
      </c>
      <c r="AG244">
        <v>1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3</v>
      </c>
      <c r="AO244">
        <v>4</v>
      </c>
      <c r="AP244">
        <v>3</v>
      </c>
      <c r="AQ244">
        <v>57.142857142856997</v>
      </c>
      <c r="AR244" s="2">
        <v>45722.62773148148</v>
      </c>
      <c r="AS244" s="2">
        <v>46060.522499999999</v>
      </c>
      <c r="AT244" t="s">
        <v>61</v>
      </c>
      <c r="AU244" t="s">
        <v>62</v>
      </c>
      <c r="AV244">
        <v>338</v>
      </c>
    </row>
    <row r="245" spans="1:48" x14ac:dyDescent="0.25">
      <c r="A245">
        <v>927</v>
      </c>
      <c r="B245" t="s">
        <v>1146</v>
      </c>
      <c r="C245" t="s">
        <v>369</v>
      </c>
      <c r="D245" t="s">
        <v>1147</v>
      </c>
      <c r="E245" t="s">
        <v>1148</v>
      </c>
      <c r="F245" t="s">
        <v>1149</v>
      </c>
      <c r="G245" t="s">
        <v>53</v>
      </c>
      <c r="H245" s="1">
        <v>37110</v>
      </c>
      <c r="I245">
        <v>25</v>
      </c>
      <c r="J245">
        <v>2001</v>
      </c>
      <c r="K245" s="1">
        <v>46080</v>
      </c>
      <c r="L245">
        <v>2026</v>
      </c>
      <c r="M245" t="s">
        <v>111</v>
      </c>
      <c r="N245">
        <v>6</v>
      </c>
      <c r="O245" t="s">
        <v>133</v>
      </c>
      <c r="P245" t="s">
        <v>69</v>
      </c>
      <c r="Q245">
        <v>60</v>
      </c>
      <c r="R245">
        <v>2</v>
      </c>
      <c r="S245" t="s">
        <v>85</v>
      </c>
      <c r="T245" t="s">
        <v>86</v>
      </c>
      <c r="U245">
        <v>11</v>
      </c>
      <c r="V245">
        <v>11</v>
      </c>
      <c r="W245">
        <v>11</v>
      </c>
      <c r="X245">
        <v>9</v>
      </c>
      <c r="Y245">
        <v>3</v>
      </c>
      <c r="Z245">
        <v>9</v>
      </c>
      <c r="AA245">
        <v>2.7222219999999999</v>
      </c>
      <c r="AB245">
        <v>24.5</v>
      </c>
      <c r="AC245" t="s">
        <v>70</v>
      </c>
      <c r="AD245" t="s">
        <v>60</v>
      </c>
      <c r="AE245">
        <v>2</v>
      </c>
      <c r="AF245">
        <v>0</v>
      </c>
      <c r="AG245">
        <v>1</v>
      </c>
      <c r="AH245">
        <v>2</v>
      </c>
      <c r="AI245">
        <v>0</v>
      </c>
      <c r="AJ245">
        <v>2</v>
      </c>
      <c r="AK245">
        <v>1</v>
      </c>
      <c r="AL245">
        <v>0</v>
      </c>
      <c r="AM245">
        <v>0</v>
      </c>
      <c r="AN245">
        <v>1</v>
      </c>
      <c r="AO245">
        <v>8</v>
      </c>
      <c r="AP245">
        <v>1</v>
      </c>
      <c r="AQ245">
        <v>88.888888888888005</v>
      </c>
      <c r="AR245" s="2">
        <v>45733.037372685183</v>
      </c>
      <c r="AS245" s="2">
        <v>46037.785740740743</v>
      </c>
      <c r="AT245" t="s">
        <v>61</v>
      </c>
      <c r="AU245" t="s">
        <v>62</v>
      </c>
      <c r="AV245">
        <v>304</v>
      </c>
    </row>
    <row r="246" spans="1:48" x14ac:dyDescent="0.25">
      <c r="A246">
        <v>885</v>
      </c>
      <c r="B246" t="s">
        <v>1150</v>
      </c>
      <c r="C246" t="s">
        <v>1151</v>
      </c>
      <c r="D246" t="s">
        <v>519</v>
      </c>
      <c r="E246" t="s">
        <v>1152</v>
      </c>
      <c r="F246" t="s">
        <v>1153</v>
      </c>
      <c r="G246" t="s">
        <v>53</v>
      </c>
      <c r="H246" s="1">
        <v>35896</v>
      </c>
      <c r="I246">
        <v>28</v>
      </c>
      <c r="J246">
        <v>1998</v>
      </c>
      <c r="K246" s="1">
        <v>45075</v>
      </c>
      <c r="L246">
        <v>2023</v>
      </c>
      <c r="M246" t="s">
        <v>54</v>
      </c>
      <c r="N246">
        <v>13</v>
      </c>
      <c r="O246" t="s">
        <v>146</v>
      </c>
      <c r="P246" t="s">
        <v>119</v>
      </c>
      <c r="Q246">
        <v>120</v>
      </c>
      <c r="R246">
        <v>5</v>
      </c>
      <c r="S246" t="s">
        <v>92</v>
      </c>
      <c r="T246" t="s">
        <v>93</v>
      </c>
      <c r="U246">
        <v>11</v>
      </c>
      <c r="V246">
        <v>11</v>
      </c>
      <c r="W246">
        <v>11</v>
      </c>
      <c r="X246">
        <v>9</v>
      </c>
      <c r="Y246">
        <v>3</v>
      </c>
      <c r="Z246">
        <v>8</v>
      </c>
      <c r="AA246">
        <v>2.875</v>
      </c>
      <c r="AB246">
        <v>23</v>
      </c>
      <c r="AC246" t="s">
        <v>70</v>
      </c>
      <c r="AD246" t="s">
        <v>60</v>
      </c>
      <c r="AE246">
        <v>2</v>
      </c>
      <c r="AF246">
        <v>0</v>
      </c>
      <c r="AG246">
        <v>1</v>
      </c>
      <c r="AH246">
        <v>3</v>
      </c>
      <c r="AI246">
        <v>0</v>
      </c>
      <c r="AJ246">
        <v>1</v>
      </c>
      <c r="AK246">
        <v>0</v>
      </c>
      <c r="AL246">
        <v>0</v>
      </c>
      <c r="AM246">
        <v>0</v>
      </c>
      <c r="AN246">
        <v>1</v>
      </c>
      <c r="AO246">
        <v>7</v>
      </c>
      <c r="AP246">
        <v>1</v>
      </c>
      <c r="AQ246">
        <v>87.5</v>
      </c>
      <c r="AR246" s="2">
        <v>45803.402951388889</v>
      </c>
      <c r="AS246" s="2">
        <v>46068.675509259258</v>
      </c>
      <c r="AT246" t="s">
        <v>61</v>
      </c>
      <c r="AU246" t="s">
        <v>62</v>
      </c>
      <c r="AV246">
        <v>265</v>
      </c>
    </row>
    <row r="247" spans="1:48" x14ac:dyDescent="0.25">
      <c r="A247">
        <v>434</v>
      </c>
      <c r="B247" t="s">
        <v>1154</v>
      </c>
      <c r="C247" t="s">
        <v>561</v>
      </c>
      <c r="D247" t="s">
        <v>1155</v>
      </c>
      <c r="E247" t="s">
        <v>1156</v>
      </c>
      <c r="F247" t="s">
        <v>1157</v>
      </c>
      <c r="G247" t="s">
        <v>53</v>
      </c>
      <c r="H247" s="1">
        <v>35317</v>
      </c>
      <c r="I247">
        <v>30</v>
      </c>
      <c r="J247">
        <v>1996</v>
      </c>
      <c r="K247" s="1">
        <v>44875</v>
      </c>
      <c r="L247">
        <v>2022</v>
      </c>
      <c r="M247" t="s">
        <v>54</v>
      </c>
      <c r="N247">
        <v>20</v>
      </c>
      <c r="O247" t="s">
        <v>180</v>
      </c>
      <c r="P247" t="s">
        <v>56</v>
      </c>
      <c r="Q247">
        <v>36</v>
      </c>
      <c r="R247">
        <v>7</v>
      </c>
      <c r="S247" t="s">
        <v>163</v>
      </c>
      <c r="T247" t="s">
        <v>164</v>
      </c>
      <c r="U247">
        <v>11</v>
      </c>
      <c r="V247">
        <v>11</v>
      </c>
      <c r="W247">
        <v>11</v>
      </c>
      <c r="X247">
        <v>9</v>
      </c>
      <c r="Y247">
        <v>3</v>
      </c>
      <c r="Z247">
        <v>10</v>
      </c>
      <c r="AA247">
        <v>2.4500000000000002</v>
      </c>
      <c r="AB247">
        <v>24.5</v>
      </c>
      <c r="AC247" t="s">
        <v>70</v>
      </c>
      <c r="AD247" t="s">
        <v>60</v>
      </c>
      <c r="AE247">
        <v>3</v>
      </c>
      <c r="AF247">
        <v>0</v>
      </c>
      <c r="AG247">
        <v>1</v>
      </c>
      <c r="AH247">
        <v>0</v>
      </c>
      <c r="AI247">
        <v>0</v>
      </c>
      <c r="AJ247">
        <v>2</v>
      </c>
      <c r="AK247">
        <v>2</v>
      </c>
      <c r="AL247">
        <v>0</v>
      </c>
      <c r="AM247">
        <v>0</v>
      </c>
      <c r="AN247">
        <v>2</v>
      </c>
      <c r="AO247">
        <v>8</v>
      </c>
      <c r="AP247">
        <v>2</v>
      </c>
      <c r="AQ247">
        <v>80</v>
      </c>
      <c r="AR247" s="2">
        <v>45830.66233796296</v>
      </c>
      <c r="AS247" s="2">
        <v>46052.751701388886</v>
      </c>
      <c r="AT247" t="s">
        <v>61</v>
      </c>
      <c r="AU247" t="s">
        <v>62</v>
      </c>
      <c r="AV247">
        <v>222</v>
      </c>
    </row>
    <row r="248" spans="1:48" x14ac:dyDescent="0.25">
      <c r="A248">
        <v>869</v>
      </c>
      <c r="B248" t="s">
        <v>1158</v>
      </c>
      <c r="C248" t="s">
        <v>531</v>
      </c>
      <c r="D248" t="s">
        <v>1159</v>
      </c>
      <c r="E248" t="s">
        <v>1160</v>
      </c>
      <c r="F248" t="s">
        <v>1161</v>
      </c>
      <c r="G248" t="s">
        <v>104</v>
      </c>
      <c r="H248" s="1">
        <v>38602</v>
      </c>
      <c r="I248">
        <v>21</v>
      </c>
      <c r="J248">
        <v>2005</v>
      </c>
      <c r="K248" s="1">
        <v>46010</v>
      </c>
      <c r="L248">
        <v>2025</v>
      </c>
      <c r="M248" t="s">
        <v>54</v>
      </c>
      <c r="N248">
        <v>11</v>
      </c>
      <c r="O248" t="s">
        <v>378</v>
      </c>
      <c r="P248" t="s">
        <v>56</v>
      </c>
      <c r="Q248">
        <v>36</v>
      </c>
      <c r="R248">
        <v>4</v>
      </c>
      <c r="S248" t="s">
        <v>77</v>
      </c>
      <c r="T248" t="s">
        <v>78</v>
      </c>
      <c r="U248">
        <v>11</v>
      </c>
      <c r="V248">
        <v>11</v>
      </c>
      <c r="W248">
        <v>11</v>
      </c>
      <c r="X248">
        <v>9</v>
      </c>
      <c r="Y248">
        <v>3</v>
      </c>
      <c r="Z248">
        <v>9</v>
      </c>
      <c r="AA248">
        <v>2.3333330000000001</v>
      </c>
      <c r="AB248">
        <v>21</v>
      </c>
      <c r="AC248" t="s">
        <v>70</v>
      </c>
      <c r="AD248" t="s">
        <v>60</v>
      </c>
      <c r="AE248">
        <v>1</v>
      </c>
      <c r="AF248">
        <v>0</v>
      </c>
      <c r="AG248">
        <v>2</v>
      </c>
      <c r="AH248">
        <v>1</v>
      </c>
      <c r="AI248">
        <v>0</v>
      </c>
      <c r="AJ248">
        <v>2</v>
      </c>
      <c r="AK248">
        <v>1</v>
      </c>
      <c r="AL248">
        <v>0</v>
      </c>
      <c r="AM248">
        <v>0</v>
      </c>
      <c r="AN248">
        <v>2</v>
      </c>
      <c r="AO248">
        <v>7</v>
      </c>
      <c r="AP248">
        <v>2</v>
      </c>
      <c r="AQ248">
        <v>77.777777777777004</v>
      </c>
      <c r="AR248" s="2">
        <v>45728.258958333332</v>
      </c>
      <c r="AS248" s="2">
        <v>46065.56322916667</v>
      </c>
      <c r="AT248" t="s">
        <v>61</v>
      </c>
      <c r="AU248" t="s">
        <v>62</v>
      </c>
      <c r="AV248">
        <v>337</v>
      </c>
    </row>
    <row r="249" spans="1:48" x14ac:dyDescent="0.25">
      <c r="A249">
        <v>207</v>
      </c>
      <c r="B249" t="s">
        <v>1162</v>
      </c>
      <c r="C249" t="s">
        <v>446</v>
      </c>
      <c r="D249" t="s">
        <v>400</v>
      </c>
      <c r="E249" t="s">
        <v>1163</v>
      </c>
      <c r="F249">
        <v>2835505830</v>
      </c>
      <c r="G249" t="s">
        <v>104</v>
      </c>
      <c r="H249" s="1">
        <v>35837</v>
      </c>
      <c r="I249">
        <v>28</v>
      </c>
      <c r="J249">
        <v>1998</v>
      </c>
      <c r="K249" s="1">
        <v>45906</v>
      </c>
      <c r="L249">
        <v>2025</v>
      </c>
      <c r="M249" t="s">
        <v>54</v>
      </c>
      <c r="N249">
        <v>9</v>
      </c>
      <c r="O249" t="s">
        <v>151</v>
      </c>
      <c r="P249" t="s">
        <v>69</v>
      </c>
      <c r="Q249">
        <v>60</v>
      </c>
      <c r="R249">
        <v>3</v>
      </c>
      <c r="S249" t="s">
        <v>126</v>
      </c>
      <c r="T249" t="s">
        <v>127</v>
      </c>
      <c r="U249">
        <v>9</v>
      </c>
      <c r="V249">
        <v>11</v>
      </c>
      <c r="W249">
        <v>11</v>
      </c>
      <c r="X249">
        <v>9</v>
      </c>
      <c r="Y249">
        <v>3</v>
      </c>
      <c r="Z249">
        <v>9</v>
      </c>
      <c r="AA249">
        <v>1.3888879999999999</v>
      </c>
      <c r="AB249">
        <v>12.5</v>
      </c>
      <c r="AC249" t="s">
        <v>70</v>
      </c>
      <c r="AD249" t="s">
        <v>112</v>
      </c>
      <c r="AE249">
        <v>0</v>
      </c>
      <c r="AF249">
        <v>0</v>
      </c>
      <c r="AG249">
        <v>0</v>
      </c>
      <c r="AH249">
        <v>2</v>
      </c>
      <c r="AI249">
        <v>0</v>
      </c>
      <c r="AJ249">
        <v>1</v>
      </c>
      <c r="AK249">
        <v>0</v>
      </c>
      <c r="AL249">
        <v>0</v>
      </c>
      <c r="AM249">
        <v>4</v>
      </c>
      <c r="AN249">
        <v>2</v>
      </c>
      <c r="AO249">
        <v>7</v>
      </c>
      <c r="AP249">
        <v>2</v>
      </c>
      <c r="AQ249">
        <v>77.777777777777004</v>
      </c>
      <c r="AR249" s="2">
        <v>45724.91915509259</v>
      </c>
      <c r="AS249" s="2">
        <v>46075.590451388889</v>
      </c>
      <c r="AT249" t="s">
        <v>61</v>
      </c>
      <c r="AU249" t="s">
        <v>62</v>
      </c>
      <c r="AV249">
        <v>351</v>
      </c>
    </row>
    <row r="250" spans="1:48" x14ac:dyDescent="0.25">
      <c r="A250">
        <v>654</v>
      </c>
      <c r="B250" t="s">
        <v>1164</v>
      </c>
      <c r="C250" t="s">
        <v>64</v>
      </c>
      <c r="D250" t="s">
        <v>1165</v>
      </c>
      <c r="E250" t="s">
        <v>1166</v>
      </c>
      <c r="F250" t="s">
        <v>1167</v>
      </c>
      <c r="G250" t="s">
        <v>53</v>
      </c>
      <c r="H250" s="1">
        <v>38112</v>
      </c>
      <c r="I250">
        <v>22</v>
      </c>
      <c r="J250">
        <v>2004</v>
      </c>
      <c r="K250" s="1">
        <v>45813</v>
      </c>
      <c r="L250">
        <v>2025</v>
      </c>
      <c r="M250" t="s">
        <v>54</v>
      </c>
      <c r="N250">
        <v>7</v>
      </c>
      <c r="O250" t="s">
        <v>231</v>
      </c>
      <c r="P250" t="s">
        <v>119</v>
      </c>
      <c r="Q250">
        <v>120</v>
      </c>
      <c r="R250">
        <v>3</v>
      </c>
      <c r="S250" t="s">
        <v>126</v>
      </c>
      <c r="T250" t="s">
        <v>127</v>
      </c>
      <c r="U250">
        <v>10</v>
      </c>
      <c r="V250">
        <v>11</v>
      </c>
      <c r="W250">
        <v>11</v>
      </c>
      <c r="X250">
        <v>9</v>
      </c>
      <c r="Y250">
        <v>3</v>
      </c>
      <c r="Z250">
        <v>11</v>
      </c>
      <c r="AA250">
        <v>2.318181</v>
      </c>
      <c r="AB250">
        <v>25.5</v>
      </c>
      <c r="AC250" t="s">
        <v>70</v>
      </c>
      <c r="AD250" t="s">
        <v>112</v>
      </c>
      <c r="AE250">
        <v>0</v>
      </c>
      <c r="AF250">
        <v>0</v>
      </c>
      <c r="AG250">
        <v>3</v>
      </c>
      <c r="AH250">
        <v>3</v>
      </c>
      <c r="AI250">
        <v>0</v>
      </c>
      <c r="AJ250">
        <v>0</v>
      </c>
      <c r="AK250">
        <v>3</v>
      </c>
      <c r="AL250">
        <v>0</v>
      </c>
      <c r="AM250">
        <v>0</v>
      </c>
      <c r="AN250">
        <v>2</v>
      </c>
      <c r="AO250">
        <v>9</v>
      </c>
      <c r="AP250">
        <v>2</v>
      </c>
      <c r="AQ250">
        <v>81.818181818181003</v>
      </c>
      <c r="AR250" s="2">
        <v>45732.400833333333</v>
      </c>
      <c r="AS250" s="2">
        <v>46021.72625</v>
      </c>
      <c r="AT250" t="s">
        <v>61</v>
      </c>
      <c r="AU250" t="s">
        <v>62</v>
      </c>
      <c r="AV250">
        <v>289</v>
      </c>
    </row>
    <row r="251" spans="1:48" x14ac:dyDescent="0.25">
      <c r="A251">
        <v>935</v>
      </c>
      <c r="B251" t="s">
        <v>1168</v>
      </c>
      <c r="C251" t="s">
        <v>1169</v>
      </c>
      <c r="D251" t="s">
        <v>253</v>
      </c>
      <c r="E251" t="s">
        <v>1170</v>
      </c>
      <c r="F251" t="s">
        <v>1171</v>
      </c>
      <c r="G251" t="s">
        <v>53</v>
      </c>
      <c r="H251" s="1">
        <v>35859</v>
      </c>
      <c r="I251">
        <v>28</v>
      </c>
      <c r="J251">
        <v>1998</v>
      </c>
      <c r="K251" s="1">
        <v>44990</v>
      </c>
      <c r="L251">
        <v>2023</v>
      </c>
      <c r="M251" t="s">
        <v>54</v>
      </c>
      <c r="N251">
        <v>3</v>
      </c>
      <c r="O251" t="s">
        <v>68</v>
      </c>
      <c r="P251" t="s">
        <v>69</v>
      </c>
      <c r="Q251">
        <v>60</v>
      </c>
      <c r="R251">
        <v>1</v>
      </c>
      <c r="S251" t="s">
        <v>57</v>
      </c>
      <c r="T251" t="s">
        <v>58</v>
      </c>
      <c r="U251">
        <v>11</v>
      </c>
      <c r="V251">
        <v>11</v>
      </c>
      <c r="W251">
        <v>11</v>
      </c>
      <c r="X251">
        <v>10</v>
      </c>
      <c r="Y251">
        <v>3</v>
      </c>
      <c r="Z251">
        <v>10</v>
      </c>
      <c r="AA251">
        <v>2.0499999999999998</v>
      </c>
      <c r="AB251">
        <v>20.5</v>
      </c>
      <c r="AC251" t="s">
        <v>70</v>
      </c>
      <c r="AD251" t="s">
        <v>60</v>
      </c>
      <c r="AE251">
        <v>1</v>
      </c>
      <c r="AF251">
        <v>0</v>
      </c>
      <c r="AG251">
        <v>1</v>
      </c>
      <c r="AH251">
        <v>1</v>
      </c>
      <c r="AI251">
        <v>0</v>
      </c>
      <c r="AJ251">
        <v>2</v>
      </c>
      <c r="AK251">
        <v>2</v>
      </c>
      <c r="AL251">
        <v>0</v>
      </c>
      <c r="AM251">
        <v>1</v>
      </c>
      <c r="AN251">
        <v>2</v>
      </c>
      <c r="AO251">
        <v>8</v>
      </c>
      <c r="AP251">
        <v>2</v>
      </c>
      <c r="AQ251">
        <v>80</v>
      </c>
      <c r="AR251" s="2">
        <v>45730.476203703707</v>
      </c>
      <c r="AS251" s="2">
        <v>46084.923101851855</v>
      </c>
      <c r="AT251" t="s">
        <v>61</v>
      </c>
      <c r="AU251" t="s">
        <v>62</v>
      </c>
      <c r="AV251">
        <v>354</v>
      </c>
    </row>
    <row r="252" spans="1:48" x14ac:dyDescent="0.25">
      <c r="A252">
        <v>125</v>
      </c>
      <c r="B252" t="s">
        <v>1172</v>
      </c>
      <c r="C252" t="s">
        <v>695</v>
      </c>
      <c r="D252" t="s">
        <v>1173</v>
      </c>
      <c r="E252" t="s">
        <v>1174</v>
      </c>
      <c r="F252" t="s">
        <v>1175</v>
      </c>
      <c r="G252" t="s">
        <v>53</v>
      </c>
      <c r="H252" s="1">
        <v>39352</v>
      </c>
      <c r="I252">
        <v>19</v>
      </c>
      <c r="J252">
        <v>2007</v>
      </c>
      <c r="K252" s="1">
        <v>45562</v>
      </c>
      <c r="L252">
        <v>2024</v>
      </c>
      <c r="M252" t="s">
        <v>54</v>
      </c>
      <c r="N252">
        <v>8</v>
      </c>
      <c r="O252" t="s">
        <v>125</v>
      </c>
      <c r="P252" t="s">
        <v>56</v>
      </c>
      <c r="Q252">
        <v>36</v>
      </c>
      <c r="R252">
        <v>3</v>
      </c>
      <c r="S252" t="s">
        <v>126</v>
      </c>
      <c r="T252" t="s">
        <v>127</v>
      </c>
      <c r="U252">
        <v>10</v>
      </c>
      <c r="V252">
        <v>11</v>
      </c>
      <c r="W252">
        <v>11</v>
      </c>
      <c r="X252">
        <v>11</v>
      </c>
      <c r="Y252">
        <v>3</v>
      </c>
      <c r="Z252">
        <v>10</v>
      </c>
      <c r="AA252">
        <v>1.9</v>
      </c>
      <c r="AB252">
        <v>19</v>
      </c>
      <c r="AC252" t="s">
        <v>70</v>
      </c>
      <c r="AD252" t="s">
        <v>60</v>
      </c>
      <c r="AE252">
        <v>1</v>
      </c>
      <c r="AF252">
        <v>0</v>
      </c>
      <c r="AG252">
        <v>1</v>
      </c>
      <c r="AH252">
        <v>1</v>
      </c>
      <c r="AI252">
        <v>0</v>
      </c>
      <c r="AJ252">
        <v>1</v>
      </c>
      <c r="AK252">
        <v>2</v>
      </c>
      <c r="AL252">
        <v>0</v>
      </c>
      <c r="AM252">
        <v>2</v>
      </c>
      <c r="AN252">
        <v>2</v>
      </c>
      <c r="AO252">
        <v>8</v>
      </c>
      <c r="AP252">
        <v>2</v>
      </c>
      <c r="AQ252">
        <v>80</v>
      </c>
      <c r="AR252" s="2">
        <v>45741.161249999997</v>
      </c>
      <c r="AS252" s="2">
        <v>46041.276493055557</v>
      </c>
      <c r="AT252" t="s">
        <v>61</v>
      </c>
      <c r="AU252" t="s">
        <v>62</v>
      </c>
      <c r="AV252">
        <v>300</v>
      </c>
    </row>
    <row r="253" spans="1:48" x14ac:dyDescent="0.25">
      <c r="A253">
        <v>58</v>
      </c>
      <c r="B253" t="s">
        <v>1176</v>
      </c>
      <c r="C253" t="s">
        <v>148</v>
      </c>
      <c r="D253" t="s">
        <v>1177</v>
      </c>
      <c r="E253" t="s">
        <v>1178</v>
      </c>
      <c r="F253" t="s">
        <v>1179</v>
      </c>
      <c r="G253" t="s">
        <v>53</v>
      </c>
      <c r="H253" s="1">
        <v>39486</v>
      </c>
      <c r="I253">
        <v>18</v>
      </c>
      <c r="J253">
        <v>2008</v>
      </c>
      <c r="K253" s="1">
        <v>45400</v>
      </c>
      <c r="L253">
        <v>2024</v>
      </c>
      <c r="M253" t="s">
        <v>54</v>
      </c>
      <c r="N253">
        <v>12</v>
      </c>
      <c r="O253" t="s">
        <v>76</v>
      </c>
      <c r="P253" t="s">
        <v>69</v>
      </c>
      <c r="Q253">
        <v>60</v>
      </c>
      <c r="R253">
        <v>4</v>
      </c>
      <c r="S253" t="s">
        <v>77</v>
      </c>
      <c r="T253" t="s">
        <v>78</v>
      </c>
      <c r="U253">
        <v>11</v>
      </c>
      <c r="V253">
        <v>11</v>
      </c>
      <c r="W253">
        <v>11</v>
      </c>
      <c r="X253">
        <v>10</v>
      </c>
      <c r="Y253">
        <v>3</v>
      </c>
      <c r="Z253">
        <v>9</v>
      </c>
      <c r="AA253">
        <v>2.1666660000000002</v>
      </c>
      <c r="AB253">
        <v>19.5</v>
      </c>
      <c r="AC253" t="s">
        <v>70</v>
      </c>
      <c r="AD253" t="s">
        <v>60</v>
      </c>
      <c r="AE253">
        <v>1</v>
      </c>
      <c r="AF253">
        <v>0</v>
      </c>
      <c r="AG253">
        <v>1</v>
      </c>
      <c r="AH253">
        <v>2</v>
      </c>
      <c r="AI253">
        <v>0</v>
      </c>
      <c r="AJ253">
        <v>0</v>
      </c>
      <c r="AK253">
        <v>3</v>
      </c>
      <c r="AL253">
        <v>0</v>
      </c>
      <c r="AM253">
        <v>0</v>
      </c>
      <c r="AN253">
        <v>2</v>
      </c>
      <c r="AO253">
        <v>7</v>
      </c>
      <c r="AP253">
        <v>2</v>
      </c>
      <c r="AQ253">
        <v>77.777777777777004</v>
      </c>
      <c r="AR253" s="2">
        <v>45768.413634259261</v>
      </c>
      <c r="AS253" s="2">
        <v>46080.027800925927</v>
      </c>
      <c r="AT253" t="s">
        <v>61</v>
      </c>
      <c r="AU253" t="s">
        <v>62</v>
      </c>
      <c r="AV253">
        <v>312</v>
      </c>
    </row>
    <row r="254" spans="1:48" x14ac:dyDescent="0.25">
      <c r="A254">
        <v>223</v>
      </c>
      <c r="B254" t="s">
        <v>1180</v>
      </c>
      <c r="C254" t="s">
        <v>177</v>
      </c>
      <c r="D254" t="s">
        <v>815</v>
      </c>
      <c r="E254" t="s">
        <v>1181</v>
      </c>
      <c r="F254" t="s">
        <v>1182</v>
      </c>
      <c r="G254" t="s">
        <v>104</v>
      </c>
      <c r="H254" s="1">
        <v>36062</v>
      </c>
      <c r="I254">
        <v>28</v>
      </c>
      <c r="J254">
        <v>1998</v>
      </c>
      <c r="K254" s="1">
        <v>46032</v>
      </c>
      <c r="L254">
        <v>2026</v>
      </c>
      <c r="M254" t="s">
        <v>54</v>
      </c>
      <c r="N254">
        <v>11</v>
      </c>
      <c r="O254" t="s">
        <v>378</v>
      </c>
      <c r="P254" t="s">
        <v>56</v>
      </c>
      <c r="Q254">
        <v>36</v>
      </c>
      <c r="R254">
        <v>4</v>
      </c>
      <c r="S254" t="s">
        <v>77</v>
      </c>
      <c r="T254" t="s">
        <v>78</v>
      </c>
      <c r="U254">
        <v>11</v>
      </c>
      <c r="V254">
        <v>11</v>
      </c>
      <c r="W254">
        <v>11</v>
      </c>
      <c r="X254">
        <v>9</v>
      </c>
      <c r="Y254">
        <v>3</v>
      </c>
      <c r="Z254">
        <v>7</v>
      </c>
      <c r="AA254">
        <v>1.928571</v>
      </c>
      <c r="AB254">
        <v>13.5</v>
      </c>
      <c r="AC254" t="s">
        <v>70</v>
      </c>
      <c r="AD254" t="s">
        <v>60</v>
      </c>
      <c r="AE254">
        <v>1</v>
      </c>
      <c r="AF254">
        <v>0</v>
      </c>
      <c r="AG254">
        <v>0</v>
      </c>
      <c r="AH254">
        <v>2</v>
      </c>
      <c r="AI254">
        <v>0</v>
      </c>
      <c r="AJ254">
        <v>1</v>
      </c>
      <c r="AK254">
        <v>0</v>
      </c>
      <c r="AL254">
        <v>0</v>
      </c>
      <c r="AM254">
        <v>1</v>
      </c>
      <c r="AN254">
        <v>2</v>
      </c>
      <c r="AO254">
        <v>5</v>
      </c>
      <c r="AP254">
        <v>2</v>
      </c>
      <c r="AQ254">
        <v>71.428571428571004</v>
      </c>
      <c r="AR254" s="2">
        <v>45738.324733796297</v>
      </c>
      <c r="AS254" s="2">
        <v>46069.533506944441</v>
      </c>
      <c r="AT254" t="s">
        <v>61</v>
      </c>
      <c r="AU254" t="s">
        <v>62</v>
      </c>
      <c r="AV254">
        <v>331</v>
      </c>
    </row>
    <row r="255" spans="1:48" x14ac:dyDescent="0.25">
      <c r="A255">
        <v>142</v>
      </c>
      <c r="B255" t="s">
        <v>1183</v>
      </c>
      <c r="C255" t="s">
        <v>1184</v>
      </c>
      <c r="D255" t="s">
        <v>253</v>
      </c>
      <c r="E255" t="s">
        <v>1185</v>
      </c>
      <c r="F255" t="s">
        <v>1186</v>
      </c>
      <c r="G255" t="s">
        <v>53</v>
      </c>
      <c r="H255" s="1">
        <v>35082</v>
      </c>
      <c r="I255">
        <v>30</v>
      </c>
      <c r="J255">
        <v>1996</v>
      </c>
      <c r="K255" s="1">
        <v>44690</v>
      </c>
      <c r="L255">
        <v>2022</v>
      </c>
      <c r="M255" t="s">
        <v>111</v>
      </c>
      <c r="N255">
        <v>4</v>
      </c>
      <c r="O255" t="s">
        <v>215</v>
      </c>
      <c r="P255" t="s">
        <v>119</v>
      </c>
      <c r="Q255">
        <v>120</v>
      </c>
      <c r="R255">
        <v>2</v>
      </c>
      <c r="S255" t="s">
        <v>85</v>
      </c>
      <c r="T255" t="s">
        <v>86</v>
      </c>
      <c r="U255">
        <v>11</v>
      </c>
      <c r="V255">
        <v>11</v>
      </c>
      <c r="W255">
        <v>11</v>
      </c>
      <c r="X255">
        <v>10</v>
      </c>
      <c r="Y255">
        <v>3</v>
      </c>
      <c r="Z255">
        <v>8</v>
      </c>
      <c r="AA255">
        <v>2</v>
      </c>
      <c r="AB255">
        <v>16</v>
      </c>
      <c r="AC255" t="s">
        <v>70</v>
      </c>
      <c r="AD255" t="s">
        <v>112</v>
      </c>
      <c r="AE255">
        <v>0</v>
      </c>
      <c r="AF255">
        <v>0</v>
      </c>
      <c r="AG255">
        <v>0</v>
      </c>
      <c r="AH255">
        <v>3</v>
      </c>
      <c r="AI255">
        <v>0</v>
      </c>
      <c r="AJ255">
        <v>2</v>
      </c>
      <c r="AK255">
        <v>0</v>
      </c>
      <c r="AL255">
        <v>0</v>
      </c>
      <c r="AM255">
        <v>2</v>
      </c>
      <c r="AN255">
        <v>1</v>
      </c>
      <c r="AO255">
        <v>7</v>
      </c>
      <c r="AP255">
        <v>1</v>
      </c>
      <c r="AQ255">
        <v>87.5</v>
      </c>
      <c r="AR255" s="2">
        <v>45784.280601851853</v>
      </c>
      <c r="AS255" s="2">
        <v>46070.359039351853</v>
      </c>
      <c r="AT255" t="s">
        <v>61</v>
      </c>
      <c r="AU255" t="s">
        <v>62</v>
      </c>
      <c r="AV255">
        <v>286</v>
      </c>
    </row>
    <row r="256" spans="1:48" x14ac:dyDescent="0.25">
      <c r="A256">
        <v>997</v>
      </c>
      <c r="B256" t="s">
        <v>1187</v>
      </c>
      <c r="C256" t="s">
        <v>733</v>
      </c>
      <c r="D256" t="s">
        <v>1188</v>
      </c>
      <c r="E256" t="s">
        <v>1189</v>
      </c>
      <c r="F256" t="s">
        <v>1190</v>
      </c>
      <c r="G256" t="s">
        <v>53</v>
      </c>
      <c r="H256" s="1">
        <v>37963</v>
      </c>
      <c r="I256">
        <v>23</v>
      </c>
      <c r="J256">
        <v>2003</v>
      </c>
      <c r="K256" s="1">
        <v>44750</v>
      </c>
      <c r="L256">
        <v>2022</v>
      </c>
      <c r="M256" t="s">
        <v>54</v>
      </c>
      <c r="N256">
        <v>14</v>
      </c>
      <c r="O256" t="s">
        <v>105</v>
      </c>
      <c r="P256" t="s">
        <v>56</v>
      </c>
      <c r="Q256">
        <v>36</v>
      </c>
      <c r="R256">
        <v>5</v>
      </c>
      <c r="S256" t="s">
        <v>92</v>
      </c>
      <c r="T256" t="s">
        <v>93</v>
      </c>
      <c r="U256">
        <v>10</v>
      </c>
      <c r="V256">
        <v>11</v>
      </c>
      <c r="W256">
        <v>11</v>
      </c>
      <c r="X256">
        <v>9</v>
      </c>
      <c r="Y256">
        <v>3</v>
      </c>
      <c r="Z256">
        <v>11</v>
      </c>
      <c r="AA256">
        <v>2.6363629999999998</v>
      </c>
      <c r="AB256">
        <v>29</v>
      </c>
      <c r="AC256" t="s">
        <v>70</v>
      </c>
      <c r="AD256" t="s">
        <v>60</v>
      </c>
      <c r="AE256">
        <v>1</v>
      </c>
      <c r="AF256">
        <v>0</v>
      </c>
      <c r="AG256">
        <v>2</v>
      </c>
      <c r="AH256">
        <v>3</v>
      </c>
      <c r="AI256">
        <v>0</v>
      </c>
      <c r="AJ256">
        <v>2</v>
      </c>
      <c r="AK256">
        <v>2</v>
      </c>
      <c r="AL256">
        <v>0</v>
      </c>
      <c r="AM256">
        <v>0</v>
      </c>
      <c r="AN256">
        <v>1</v>
      </c>
      <c r="AO256">
        <v>10</v>
      </c>
      <c r="AP256">
        <v>1</v>
      </c>
      <c r="AQ256">
        <v>90.909090909089997</v>
      </c>
      <c r="AR256" s="2">
        <v>45752.481898148151</v>
      </c>
      <c r="AS256" s="2">
        <v>46079.65116898148</v>
      </c>
      <c r="AT256" t="s">
        <v>61</v>
      </c>
      <c r="AU256" t="s">
        <v>62</v>
      </c>
      <c r="AV256">
        <v>327</v>
      </c>
    </row>
    <row r="257" spans="1:48" x14ac:dyDescent="0.25">
      <c r="A257">
        <v>585</v>
      </c>
      <c r="B257" t="s">
        <v>1191</v>
      </c>
      <c r="C257" t="s">
        <v>1192</v>
      </c>
      <c r="D257" t="s">
        <v>1193</v>
      </c>
      <c r="E257" t="s">
        <v>1194</v>
      </c>
      <c r="F257" t="s">
        <v>1195</v>
      </c>
      <c r="G257" t="s">
        <v>104</v>
      </c>
      <c r="H257" s="1">
        <v>36504</v>
      </c>
      <c r="I257">
        <v>27</v>
      </c>
      <c r="J257">
        <v>1999</v>
      </c>
      <c r="K257" s="1">
        <v>45859</v>
      </c>
      <c r="L257">
        <v>2025</v>
      </c>
      <c r="M257" t="s">
        <v>111</v>
      </c>
      <c r="N257">
        <v>17</v>
      </c>
      <c r="O257" t="s">
        <v>350</v>
      </c>
      <c r="P257" t="s">
        <v>56</v>
      </c>
      <c r="Q257">
        <v>36</v>
      </c>
      <c r="R257">
        <v>6</v>
      </c>
      <c r="S257" t="s">
        <v>140</v>
      </c>
      <c r="T257" t="s">
        <v>141</v>
      </c>
      <c r="U257">
        <v>11</v>
      </c>
      <c r="V257">
        <v>11</v>
      </c>
      <c r="W257">
        <v>11</v>
      </c>
      <c r="X257">
        <v>11</v>
      </c>
      <c r="Y257">
        <v>3</v>
      </c>
      <c r="Z257">
        <v>10</v>
      </c>
      <c r="AA257">
        <v>2.35</v>
      </c>
      <c r="AB257">
        <v>23.5</v>
      </c>
      <c r="AC257" t="s">
        <v>59</v>
      </c>
      <c r="AD257" t="s">
        <v>60</v>
      </c>
      <c r="AE257">
        <v>2</v>
      </c>
      <c r="AF257">
        <v>0</v>
      </c>
      <c r="AG257">
        <v>0</v>
      </c>
      <c r="AH257">
        <v>2</v>
      </c>
      <c r="AI257">
        <v>0</v>
      </c>
      <c r="AJ257">
        <v>1</v>
      </c>
      <c r="AK257">
        <v>2</v>
      </c>
      <c r="AL257">
        <v>0</v>
      </c>
      <c r="AM257">
        <v>3</v>
      </c>
      <c r="AN257">
        <v>0</v>
      </c>
      <c r="AO257">
        <v>10</v>
      </c>
      <c r="AP257">
        <v>0</v>
      </c>
      <c r="AQ257">
        <v>100</v>
      </c>
      <c r="AR257" s="2">
        <v>45743.598564814813</v>
      </c>
      <c r="AS257" s="2">
        <v>46081.72865740741</v>
      </c>
      <c r="AT257" t="s">
        <v>61</v>
      </c>
      <c r="AU257" t="s">
        <v>62</v>
      </c>
      <c r="AV257">
        <v>338</v>
      </c>
    </row>
    <row r="258" spans="1:48" x14ac:dyDescent="0.25">
      <c r="A258">
        <v>1000</v>
      </c>
      <c r="B258" t="s">
        <v>1196</v>
      </c>
      <c r="C258" t="s">
        <v>129</v>
      </c>
      <c r="D258" t="s">
        <v>1197</v>
      </c>
      <c r="E258" t="s">
        <v>1198</v>
      </c>
      <c r="F258" t="s">
        <v>1199</v>
      </c>
      <c r="G258" t="s">
        <v>53</v>
      </c>
      <c r="H258" s="1">
        <v>36109</v>
      </c>
      <c r="I258">
        <v>28</v>
      </c>
      <c r="J258">
        <v>1998</v>
      </c>
      <c r="K258" s="1">
        <v>45285</v>
      </c>
      <c r="L258">
        <v>2023</v>
      </c>
      <c r="M258" t="s">
        <v>54</v>
      </c>
      <c r="N258">
        <v>13</v>
      </c>
      <c r="O258" t="s">
        <v>146</v>
      </c>
      <c r="P258" t="s">
        <v>119</v>
      </c>
      <c r="Q258">
        <v>120</v>
      </c>
      <c r="R258">
        <v>5</v>
      </c>
      <c r="S258" t="s">
        <v>92</v>
      </c>
      <c r="T258" t="s">
        <v>93</v>
      </c>
      <c r="U258">
        <v>10</v>
      </c>
      <c r="V258">
        <v>11</v>
      </c>
      <c r="W258">
        <v>11</v>
      </c>
      <c r="X258">
        <v>10</v>
      </c>
      <c r="Y258">
        <v>3</v>
      </c>
      <c r="Z258">
        <v>9</v>
      </c>
      <c r="AA258">
        <v>2.2222219999999999</v>
      </c>
      <c r="AB258">
        <v>20</v>
      </c>
      <c r="AC258" t="s">
        <v>70</v>
      </c>
      <c r="AD258" t="s">
        <v>112</v>
      </c>
      <c r="AE258">
        <v>0</v>
      </c>
      <c r="AF258">
        <v>0</v>
      </c>
      <c r="AG258">
        <v>1</v>
      </c>
      <c r="AH258">
        <v>3</v>
      </c>
      <c r="AI258">
        <v>0</v>
      </c>
      <c r="AJ258">
        <v>1</v>
      </c>
      <c r="AK258">
        <v>2</v>
      </c>
      <c r="AL258">
        <v>0</v>
      </c>
      <c r="AM258">
        <v>1</v>
      </c>
      <c r="AN258">
        <v>1</v>
      </c>
      <c r="AO258">
        <v>8</v>
      </c>
      <c r="AP258">
        <v>1</v>
      </c>
      <c r="AQ258">
        <v>88.888888888888005</v>
      </c>
      <c r="AR258" s="2">
        <v>45737.188171296293</v>
      </c>
      <c r="AS258" s="2">
        <v>46052.064189814817</v>
      </c>
      <c r="AT258" t="s">
        <v>61</v>
      </c>
      <c r="AU258" t="s">
        <v>62</v>
      </c>
      <c r="AV258">
        <v>315</v>
      </c>
    </row>
    <row r="259" spans="1:48" x14ac:dyDescent="0.25">
      <c r="A259">
        <v>39</v>
      </c>
      <c r="B259" t="s">
        <v>1200</v>
      </c>
      <c r="C259" t="s">
        <v>1201</v>
      </c>
      <c r="D259" t="s">
        <v>591</v>
      </c>
      <c r="E259" t="s">
        <v>1202</v>
      </c>
      <c r="F259" t="s">
        <v>1203</v>
      </c>
      <c r="G259" t="s">
        <v>53</v>
      </c>
      <c r="H259" s="1">
        <v>39475</v>
      </c>
      <c r="I259">
        <v>18</v>
      </c>
      <c r="J259">
        <v>2008</v>
      </c>
      <c r="K259" s="1">
        <v>45958</v>
      </c>
      <c r="L259">
        <v>2025</v>
      </c>
      <c r="M259" t="s">
        <v>54</v>
      </c>
      <c r="N259">
        <v>2</v>
      </c>
      <c r="O259" t="s">
        <v>55</v>
      </c>
      <c r="P259" t="s">
        <v>56</v>
      </c>
      <c r="Q259">
        <v>36</v>
      </c>
      <c r="R259">
        <v>1</v>
      </c>
      <c r="S259" t="s">
        <v>57</v>
      </c>
      <c r="T259" t="s">
        <v>58</v>
      </c>
      <c r="U259">
        <v>11</v>
      </c>
      <c r="V259">
        <v>11</v>
      </c>
      <c r="W259">
        <v>11</v>
      </c>
      <c r="X259">
        <v>9</v>
      </c>
      <c r="Y259">
        <v>3</v>
      </c>
      <c r="Z259">
        <v>9</v>
      </c>
      <c r="AA259">
        <v>2.7777769999999999</v>
      </c>
      <c r="AB259">
        <v>25</v>
      </c>
      <c r="AC259" t="s">
        <v>59</v>
      </c>
      <c r="AD259" t="s">
        <v>60</v>
      </c>
      <c r="AE259">
        <v>1</v>
      </c>
      <c r="AF259">
        <v>0</v>
      </c>
      <c r="AG259">
        <v>3</v>
      </c>
      <c r="AH259">
        <v>1</v>
      </c>
      <c r="AI259">
        <v>0</v>
      </c>
      <c r="AJ259">
        <v>1</v>
      </c>
      <c r="AK259">
        <v>2</v>
      </c>
      <c r="AL259">
        <v>0</v>
      </c>
      <c r="AM259">
        <v>1</v>
      </c>
      <c r="AN259">
        <v>0</v>
      </c>
      <c r="AO259">
        <v>9</v>
      </c>
      <c r="AP259">
        <v>0</v>
      </c>
      <c r="AQ259">
        <v>100</v>
      </c>
      <c r="AR259" s="2">
        <v>45782.203796296293</v>
      </c>
      <c r="AS259" s="2">
        <v>46013.341956018521</v>
      </c>
      <c r="AT259" t="s">
        <v>61</v>
      </c>
      <c r="AU259" t="s">
        <v>62</v>
      </c>
      <c r="AV259">
        <v>231</v>
      </c>
    </row>
    <row r="260" spans="1:48" x14ac:dyDescent="0.25">
      <c r="A260">
        <v>535</v>
      </c>
      <c r="B260" t="s">
        <v>1204</v>
      </c>
      <c r="C260" t="s">
        <v>556</v>
      </c>
      <c r="D260" t="s">
        <v>284</v>
      </c>
      <c r="E260" t="s">
        <v>1205</v>
      </c>
      <c r="F260" t="s">
        <v>1206</v>
      </c>
      <c r="G260" t="s">
        <v>104</v>
      </c>
      <c r="H260" s="1">
        <v>37245</v>
      </c>
      <c r="I260">
        <v>25</v>
      </c>
      <c r="J260">
        <v>2001</v>
      </c>
      <c r="K260" s="1">
        <v>46065</v>
      </c>
      <c r="L260">
        <v>2026</v>
      </c>
      <c r="M260" t="s">
        <v>111</v>
      </c>
      <c r="N260">
        <v>21</v>
      </c>
      <c r="O260" t="s">
        <v>339</v>
      </c>
      <c r="P260" t="s">
        <v>69</v>
      </c>
      <c r="Q260">
        <v>60</v>
      </c>
      <c r="R260">
        <v>7</v>
      </c>
      <c r="S260" t="s">
        <v>163</v>
      </c>
      <c r="T260" t="s">
        <v>164</v>
      </c>
      <c r="U260">
        <v>10</v>
      </c>
      <c r="V260">
        <v>11</v>
      </c>
      <c r="W260">
        <v>11</v>
      </c>
      <c r="X260">
        <v>10</v>
      </c>
      <c r="Y260">
        <v>3</v>
      </c>
      <c r="Z260">
        <v>11</v>
      </c>
      <c r="AA260">
        <v>2.5</v>
      </c>
      <c r="AB260">
        <v>27.5</v>
      </c>
      <c r="AC260" t="s">
        <v>70</v>
      </c>
      <c r="AD260" t="s">
        <v>60</v>
      </c>
      <c r="AE260">
        <v>2</v>
      </c>
      <c r="AF260">
        <v>0</v>
      </c>
      <c r="AG260">
        <v>1</v>
      </c>
      <c r="AH260">
        <v>1</v>
      </c>
      <c r="AI260">
        <v>0</v>
      </c>
      <c r="AJ260">
        <v>4</v>
      </c>
      <c r="AK260">
        <v>1</v>
      </c>
      <c r="AL260">
        <v>0</v>
      </c>
      <c r="AM260">
        <v>1</v>
      </c>
      <c r="AN260">
        <v>1</v>
      </c>
      <c r="AO260">
        <v>10</v>
      </c>
      <c r="AP260">
        <v>1</v>
      </c>
      <c r="AQ260">
        <v>90.909090909089997</v>
      </c>
      <c r="AR260" s="2">
        <v>45722.632893518516</v>
      </c>
      <c r="AS260" s="2">
        <v>46058.347199074073</v>
      </c>
      <c r="AT260" t="s">
        <v>61</v>
      </c>
      <c r="AU260" t="s">
        <v>62</v>
      </c>
      <c r="AV260">
        <v>336</v>
      </c>
    </row>
    <row r="261" spans="1:48" x14ac:dyDescent="0.25">
      <c r="A261">
        <v>856</v>
      </c>
      <c r="B261" t="s">
        <v>1207</v>
      </c>
      <c r="C261" t="s">
        <v>238</v>
      </c>
      <c r="D261" t="s">
        <v>974</v>
      </c>
      <c r="E261" t="s">
        <v>1208</v>
      </c>
      <c r="F261" t="s">
        <v>1209</v>
      </c>
      <c r="G261" t="s">
        <v>104</v>
      </c>
      <c r="H261" s="1">
        <v>35594</v>
      </c>
      <c r="I261">
        <v>29</v>
      </c>
      <c r="J261">
        <v>1997</v>
      </c>
      <c r="K261" s="1">
        <v>44644</v>
      </c>
      <c r="L261">
        <v>2022</v>
      </c>
      <c r="M261" t="s">
        <v>111</v>
      </c>
      <c r="N261">
        <v>14</v>
      </c>
      <c r="O261" t="s">
        <v>105</v>
      </c>
      <c r="P261" t="s">
        <v>56</v>
      </c>
      <c r="Q261">
        <v>36</v>
      </c>
      <c r="R261">
        <v>5</v>
      </c>
      <c r="S261" t="s">
        <v>92</v>
      </c>
      <c r="T261" t="s">
        <v>93</v>
      </c>
      <c r="U261">
        <v>10</v>
      </c>
      <c r="V261">
        <v>11</v>
      </c>
      <c r="W261">
        <v>11</v>
      </c>
      <c r="X261">
        <v>9</v>
      </c>
      <c r="Y261">
        <v>3</v>
      </c>
      <c r="Z261">
        <v>11</v>
      </c>
      <c r="AA261">
        <v>2.3636360000000001</v>
      </c>
      <c r="AB261">
        <v>26</v>
      </c>
      <c r="AC261" t="s">
        <v>59</v>
      </c>
      <c r="AD261" t="s">
        <v>60</v>
      </c>
      <c r="AE261">
        <v>1</v>
      </c>
      <c r="AF261">
        <v>0</v>
      </c>
      <c r="AG261">
        <v>4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5</v>
      </c>
      <c r="AN261">
        <v>0</v>
      </c>
      <c r="AO261">
        <v>11</v>
      </c>
      <c r="AP261">
        <v>0</v>
      </c>
      <c r="AQ261">
        <v>100</v>
      </c>
      <c r="AR261" s="2">
        <v>45768.206643518519</v>
      </c>
      <c r="AS261" s="2">
        <v>46051.762627314813</v>
      </c>
      <c r="AT261" t="s">
        <v>61</v>
      </c>
      <c r="AU261" t="s">
        <v>62</v>
      </c>
      <c r="AV261">
        <v>283</v>
      </c>
    </row>
    <row r="262" spans="1:48" x14ac:dyDescent="0.25">
      <c r="A262">
        <v>965</v>
      </c>
      <c r="B262" t="s">
        <v>1210</v>
      </c>
      <c r="C262" t="s">
        <v>336</v>
      </c>
      <c r="D262" t="s">
        <v>1211</v>
      </c>
      <c r="E262" t="s">
        <v>1212</v>
      </c>
      <c r="F262" t="s">
        <v>1213</v>
      </c>
      <c r="G262" t="s">
        <v>104</v>
      </c>
      <c r="H262" s="1">
        <v>36337</v>
      </c>
      <c r="I262">
        <v>27</v>
      </c>
      <c r="J262">
        <v>1999</v>
      </c>
      <c r="K262" s="1">
        <v>46045</v>
      </c>
      <c r="L262">
        <v>2026</v>
      </c>
      <c r="M262" t="s">
        <v>54</v>
      </c>
      <c r="N262">
        <v>7</v>
      </c>
      <c r="O262" t="s">
        <v>231</v>
      </c>
      <c r="P262" t="s">
        <v>119</v>
      </c>
      <c r="Q262">
        <v>120</v>
      </c>
      <c r="R262">
        <v>3</v>
      </c>
      <c r="S262" t="s">
        <v>126</v>
      </c>
      <c r="T262" t="s">
        <v>127</v>
      </c>
      <c r="U262">
        <v>11</v>
      </c>
      <c r="V262">
        <v>11</v>
      </c>
      <c r="W262">
        <v>11</v>
      </c>
      <c r="X262">
        <v>10</v>
      </c>
      <c r="Y262">
        <v>3</v>
      </c>
      <c r="Z262">
        <v>9</v>
      </c>
      <c r="AA262">
        <v>2.7777769999999999</v>
      </c>
      <c r="AB262">
        <v>25</v>
      </c>
      <c r="AC262" t="s">
        <v>70</v>
      </c>
      <c r="AD262" t="s">
        <v>112</v>
      </c>
      <c r="AE262">
        <v>0</v>
      </c>
      <c r="AF262">
        <v>0</v>
      </c>
      <c r="AG262">
        <v>6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1</v>
      </c>
      <c r="AO262">
        <v>8</v>
      </c>
      <c r="AP262">
        <v>1</v>
      </c>
      <c r="AQ262">
        <v>88.888888888888005</v>
      </c>
      <c r="AR262" s="2">
        <v>45730.148553240739</v>
      </c>
      <c r="AS262" s="2">
        <v>46060.077326388891</v>
      </c>
      <c r="AT262" t="s">
        <v>61</v>
      </c>
      <c r="AU262" t="s">
        <v>62</v>
      </c>
      <c r="AV262">
        <v>330</v>
      </c>
    </row>
    <row r="263" spans="1:48" x14ac:dyDescent="0.25">
      <c r="A263">
        <v>879</v>
      </c>
      <c r="B263" t="s">
        <v>1214</v>
      </c>
      <c r="C263" t="s">
        <v>832</v>
      </c>
      <c r="D263" t="s">
        <v>1215</v>
      </c>
      <c r="E263" t="s">
        <v>1216</v>
      </c>
      <c r="F263" t="s">
        <v>1217</v>
      </c>
      <c r="G263" t="s">
        <v>104</v>
      </c>
      <c r="H263" s="1">
        <v>38552</v>
      </c>
      <c r="I263">
        <v>21</v>
      </c>
      <c r="J263">
        <v>2005</v>
      </c>
      <c r="K263" s="1">
        <v>45474</v>
      </c>
      <c r="L263">
        <v>2024</v>
      </c>
      <c r="M263" t="s">
        <v>54</v>
      </c>
      <c r="N263">
        <v>19</v>
      </c>
      <c r="O263" t="s">
        <v>162</v>
      </c>
      <c r="P263" t="s">
        <v>119</v>
      </c>
      <c r="Q263">
        <v>120</v>
      </c>
      <c r="R263">
        <v>7</v>
      </c>
      <c r="S263" t="s">
        <v>163</v>
      </c>
      <c r="T263" t="s">
        <v>164</v>
      </c>
      <c r="U263">
        <v>11</v>
      </c>
      <c r="V263">
        <v>11</v>
      </c>
      <c r="W263">
        <v>11</v>
      </c>
      <c r="X263">
        <v>10</v>
      </c>
      <c r="Y263">
        <v>3</v>
      </c>
      <c r="Z263">
        <v>10</v>
      </c>
      <c r="AA263">
        <v>2.35</v>
      </c>
      <c r="AB263">
        <v>23.5</v>
      </c>
      <c r="AC263" t="s">
        <v>70</v>
      </c>
      <c r="AD263" t="s">
        <v>60</v>
      </c>
      <c r="AE263">
        <v>1</v>
      </c>
      <c r="AF263">
        <v>0</v>
      </c>
      <c r="AG263">
        <v>2</v>
      </c>
      <c r="AH263">
        <v>1</v>
      </c>
      <c r="AI263">
        <v>0</v>
      </c>
      <c r="AJ263">
        <v>3</v>
      </c>
      <c r="AK263">
        <v>1</v>
      </c>
      <c r="AL263">
        <v>0</v>
      </c>
      <c r="AM263">
        <v>0</v>
      </c>
      <c r="AN263">
        <v>2</v>
      </c>
      <c r="AO263">
        <v>8</v>
      </c>
      <c r="AP263">
        <v>2</v>
      </c>
      <c r="AQ263">
        <v>80</v>
      </c>
      <c r="AR263" s="2">
        <v>45786.142222222225</v>
      </c>
      <c r="AS263" s="2">
        <v>46004.208796296298</v>
      </c>
      <c r="AT263" t="s">
        <v>61</v>
      </c>
      <c r="AU263" t="s">
        <v>62</v>
      </c>
      <c r="AV263">
        <v>218</v>
      </c>
    </row>
    <row r="264" spans="1:48" x14ac:dyDescent="0.25">
      <c r="A264">
        <v>114</v>
      </c>
      <c r="B264" t="s">
        <v>1218</v>
      </c>
      <c r="C264" t="s">
        <v>1089</v>
      </c>
      <c r="D264" t="s">
        <v>1219</v>
      </c>
      <c r="E264" t="s">
        <v>1220</v>
      </c>
      <c r="F264" t="s">
        <v>1221</v>
      </c>
      <c r="G264" t="s">
        <v>53</v>
      </c>
      <c r="H264" s="1">
        <v>36932</v>
      </c>
      <c r="I264">
        <v>25</v>
      </c>
      <c r="J264">
        <v>2001</v>
      </c>
      <c r="K264" s="1">
        <v>44709</v>
      </c>
      <c r="L264">
        <v>2022</v>
      </c>
      <c r="M264" t="s">
        <v>111</v>
      </c>
      <c r="N264">
        <v>3</v>
      </c>
      <c r="O264" t="s">
        <v>68</v>
      </c>
      <c r="P264" t="s">
        <v>69</v>
      </c>
      <c r="Q264">
        <v>60</v>
      </c>
      <c r="R264">
        <v>1</v>
      </c>
      <c r="S264" t="s">
        <v>57</v>
      </c>
      <c r="T264" t="s">
        <v>58</v>
      </c>
      <c r="U264">
        <v>10</v>
      </c>
      <c r="V264">
        <v>11</v>
      </c>
      <c r="W264">
        <v>11</v>
      </c>
      <c r="X264">
        <v>8</v>
      </c>
      <c r="Y264">
        <v>3</v>
      </c>
      <c r="Z264">
        <v>8</v>
      </c>
      <c r="AA264">
        <v>2.375</v>
      </c>
      <c r="AB264">
        <v>19</v>
      </c>
      <c r="AC264" t="s">
        <v>70</v>
      </c>
      <c r="AD264" t="s">
        <v>60</v>
      </c>
      <c r="AE264">
        <v>2</v>
      </c>
      <c r="AF264">
        <v>0</v>
      </c>
      <c r="AG264">
        <v>2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2</v>
      </c>
      <c r="AN264">
        <v>1</v>
      </c>
      <c r="AO264">
        <v>7</v>
      </c>
      <c r="AP264">
        <v>1</v>
      </c>
      <c r="AQ264">
        <v>87.5</v>
      </c>
      <c r="AR264" s="2">
        <v>45812.303935185184</v>
      </c>
      <c r="AS264" s="2">
        <v>46077.570451388892</v>
      </c>
      <c r="AT264" t="s">
        <v>61</v>
      </c>
      <c r="AU264" t="s">
        <v>62</v>
      </c>
      <c r="AV264">
        <v>265</v>
      </c>
    </row>
    <row r="265" spans="1:48" x14ac:dyDescent="0.25">
      <c r="A265">
        <v>482</v>
      </c>
      <c r="B265" t="s">
        <v>1222</v>
      </c>
      <c r="C265" t="s">
        <v>1223</v>
      </c>
      <c r="D265" t="s">
        <v>243</v>
      </c>
      <c r="E265" t="s">
        <v>1224</v>
      </c>
      <c r="F265" t="s">
        <v>1225</v>
      </c>
      <c r="G265" t="s">
        <v>104</v>
      </c>
      <c r="H265" s="1">
        <v>39136</v>
      </c>
      <c r="I265">
        <v>19</v>
      </c>
      <c r="J265">
        <v>2007</v>
      </c>
      <c r="K265" s="1">
        <v>45739</v>
      </c>
      <c r="L265">
        <v>2025</v>
      </c>
      <c r="M265" t="s">
        <v>54</v>
      </c>
      <c r="N265">
        <v>15</v>
      </c>
      <c r="O265" t="s">
        <v>91</v>
      </c>
      <c r="P265" t="s">
        <v>69</v>
      </c>
      <c r="Q265">
        <v>60</v>
      </c>
      <c r="R265">
        <v>5</v>
      </c>
      <c r="S265" t="s">
        <v>92</v>
      </c>
      <c r="T265" t="s">
        <v>93</v>
      </c>
      <c r="U265">
        <v>9</v>
      </c>
      <c r="V265">
        <v>11</v>
      </c>
      <c r="W265">
        <v>11</v>
      </c>
      <c r="X265">
        <v>10</v>
      </c>
      <c r="Y265">
        <v>3</v>
      </c>
      <c r="Z265">
        <v>9</v>
      </c>
      <c r="AA265">
        <v>2.1111110000000002</v>
      </c>
      <c r="AB265">
        <v>19</v>
      </c>
      <c r="AC265" t="s">
        <v>70</v>
      </c>
      <c r="AD265" t="s">
        <v>60</v>
      </c>
      <c r="AE265">
        <v>1</v>
      </c>
      <c r="AF265">
        <v>0</v>
      </c>
      <c r="AG265">
        <v>0</v>
      </c>
      <c r="AH265">
        <v>2</v>
      </c>
      <c r="AI265">
        <v>0</v>
      </c>
      <c r="AJ265">
        <v>2</v>
      </c>
      <c r="AK265">
        <v>1</v>
      </c>
      <c r="AL265">
        <v>0</v>
      </c>
      <c r="AM265">
        <v>2</v>
      </c>
      <c r="AN265">
        <v>1</v>
      </c>
      <c r="AO265">
        <v>8</v>
      </c>
      <c r="AP265">
        <v>1</v>
      </c>
      <c r="AQ265">
        <v>88.888888888888005</v>
      </c>
      <c r="AR265" s="2">
        <v>45754.575196759259</v>
      </c>
      <c r="AS265" s="2">
        <v>46070.20239583333</v>
      </c>
      <c r="AT265" t="s">
        <v>61</v>
      </c>
      <c r="AU265" t="s">
        <v>62</v>
      </c>
      <c r="AV265">
        <v>316</v>
      </c>
    </row>
    <row r="266" spans="1:48" x14ac:dyDescent="0.25">
      <c r="A266">
        <v>37</v>
      </c>
      <c r="B266" t="s">
        <v>1226</v>
      </c>
      <c r="C266" t="s">
        <v>1142</v>
      </c>
      <c r="D266" t="s">
        <v>909</v>
      </c>
      <c r="E266" t="s">
        <v>1227</v>
      </c>
      <c r="F266" t="s">
        <v>1228</v>
      </c>
      <c r="G266" t="s">
        <v>104</v>
      </c>
      <c r="H266" s="1">
        <v>35313</v>
      </c>
      <c r="I266">
        <v>30</v>
      </c>
      <c r="J266">
        <v>1996</v>
      </c>
      <c r="K266" s="1">
        <v>45753</v>
      </c>
      <c r="L266">
        <v>2025</v>
      </c>
      <c r="M266" t="s">
        <v>54</v>
      </c>
      <c r="N266">
        <v>8</v>
      </c>
      <c r="O266" t="s">
        <v>125</v>
      </c>
      <c r="P266" t="s">
        <v>56</v>
      </c>
      <c r="Q266">
        <v>36</v>
      </c>
      <c r="R266">
        <v>3</v>
      </c>
      <c r="S266" t="s">
        <v>126</v>
      </c>
      <c r="T266" t="s">
        <v>127</v>
      </c>
      <c r="U266">
        <v>10</v>
      </c>
      <c r="V266">
        <v>11</v>
      </c>
      <c r="W266">
        <v>11</v>
      </c>
      <c r="X266">
        <v>11</v>
      </c>
      <c r="Y266">
        <v>3</v>
      </c>
      <c r="Z266">
        <v>11</v>
      </c>
      <c r="AA266">
        <v>2.7727270000000002</v>
      </c>
      <c r="AB266">
        <v>30.5</v>
      </c>
      <c r="AC266" t="s">
        <v>70</v>
      </c>
      <c r="AD266" t="s">
        <v>60</v>
      </c>
      <c r="AE266">
        <v>5</v>
      </c>
      <c r="AF266">
        <v>0</v>
      </c>
      <c r="AG266">
        <v>1</v>
      </c>
      <c r="AH266">
        <v>1</v>
      </c>
      <c r="AI266">
        <v>0</v>
      </c>
      <c r="AJ266">
        <v>0</v>
      </c>
      <c r="AK266">
        <v>1</v>
      </c>
      <c r="AL266">
        <v>0</v>
      </c>
      <c r="AM266">
        <v>2</v>
      </c>
      <c r="AN266">
        <v>1</v>
      </c>
      <c r="AO266">
        <v>10</v>
      </c>
      <c r="AP266">
        <v>1</v>
      </c>
      <c r="AQ266">
        <v>90.909090909089997</v>
      </c>
      <c r="AR266" s="2">
        <v>45744.495729166665</v>
      </c>
      <c r="AS266" s="2">
        <v>46074.416388888887</v>
      </c>
      <c r="AT266" t="s">
        <v>61</v>
      </c>
      <c r="AU266" t="s">
        <v>62</v>
      </c>
      <c r="AV266">
        <v>330</v>
      </c>
    </row>
    <row r="267" spans="1:48" x14ac:dyDescent="0.25">
      <c r="A267">
        <v>974</v>
      </c>
      <c r="B267" t="s">
        <v>1229</v>
      </c>
      <c r="C267" t="s">
        <v>837</v>
      </c>
      <c r="D267" t="s">
        <v>1031</v>
      </c>
      <c r="E267" t="s">
        <v>1230</v>
      </c>
      <c r="F267">
        <v>8834566910</v>
      </c>
      <c r="G267" t="s">
        <v>104</v>
      </c>
      <c r="H267" s="1">
        <v>38015</v>
      </c>
      <c r="I267">
        <v>22</v>
      </c>
      <c r="J267">
        <v>2004</v>
      </c>
      <c r="K267" s="1">
        <v>44731</v>
      </c>
      <c r="L267">
        <v>2022</v>
      </c>
      <c r="M267" t="s">
        <v>54</v>
      </c>
      <c r="N267">
        <v>9</v>
      </c>
      <c r="O267" t="s">
        <v>151</v>
      </c>
      <c r="P267" t="s">
        <v>69</v>
      </c>
      <c r="Q267">
        <v>60</v>
      </c>
      <c r="R267">
        <v>3</v>
      </c>
      <c r="S267" t="s">
        <v>126</v>
      </c>
      <c r="T267" t="s">
        <v>127</v>
      </c>
      <c r="U267">
        <v>8</v>
      </c>
      <c r="V267">
        <v>11</v>
      </c>
      <c r="W267">
        <v>11</v>
      </c>
      <c r="X267">
        <v>11</v>
      </c>
      <c r="Y267">
        <v>3</v>
      </c>
      <c r="Z267">
        <v>10</v>
      </c>
      <c r="AA267">
        <v>1.7</v>
      </c>
      <c r="AB267">
        <v>17</v>
      </c>
      <c r="AC267" t="s">
        <v>70</v>
      </c>
      <c r="AD267" t="s">
        <v>60</v>
      </c>
      <c r="AE267">
        <v>1</v>
      </c>
      <c r="AF267">
        <v>0</v>
      </c>
      <c r="AG267">
        <v>2</v>
      </c>
      <c r="AH267">
        <v>0</v>
      </c>
      <c r="AI267">
        <v>0</v>
      </c>
      <c r="AJ267">
        <v>0</v>
      </c>
      <c r="AK267">
        <v>3</v>
      </c>
      <c r="AL267">
        <v>0</v>
      </c>
      <c r="AM267">
        <v>0</v>
      </c>
      <c r="AN267">
        <v>4</v>
      </c>
      <c r="AO267">
        <v>6</v>
      </c>
      <c r="AP267">
        <v>4</v>
      </c>
      <c r="AQ267">
        <v>60</v>
      </c>
      <c r="AR267" s="2">
        <v>45781.518217592595</v>
      </c>
      <c r="AS267" s="2">
        <v>46078.36377314815</v>
      </c>
      <c r="AT267" t="s">
        <v>61</v>
      </c>
      <c r="AU267" t="s">
        <v>62</v>
      </c>
      <c r="AV267">
        <v>297</v>
      </c>
    </row>
    <row r="268" spans="1:48" x14ac:dyDescent="0.25">
      <c r="A268">
        <v>910</v>
      </c>
      <c r="B268" t="s">
        <v>1231</v>
      </c>
      <c r="C268" t="s">
        <v>369</v>
      </c>
      <c r="D268" t="s">
        <v>1232</v>
      </c>
      <c r="E268" t="s">
        <v>1233</v>
      </c>
      <c r="F268" t="s">
        <v>1234</v>
      </c>
      <c r="G268" t="s">
        <v>53</v>
      </c>
      <c r="H268" s="1">
        <v>38512</v>
      </c>
      <c r="I268">
        <v>21</v>
      </c>
      <c r="J268">
        <v>2005</v>
      </c>
      <c r="K268" s="1">
        <v>45935</v>
      </c>
      <c r="L268">
        <v>2025</v>
      </c>
      <c r="M268" t="s">
        <v>54</v>
      </c>
      <c r="N268">
        <v>12</v>
      </c>
      <c r="O268" t="s">
        <v>76</v>
      </c>
      <c r="P268" t="s">
        <v>69</v>
      </c>
      <c r="Q268">
        <v>60</v>
      </c>
      <c r="R268">
        <v>4</v>
      </c>
      <c r="S268" t="s">
        <v>77</v>
      </c>
      <c r="T268" t="s">
        <v>78</v>
      </c>
      <c r="U268">
        <v>11</v>
      </c>
      <c r="V268">
        <v>11</v>
      </c>
      <c r="W268">
        <v>11</v>
      </c>
      <c r="X268">
        <v>10</v>
      </c>
      <c r="Y268">
        <v>3</v>
      </c>
      <c r="Z268">
        <v>10</v>
      </c>
      <c r="AA268">
        <v>2.95</v>
      </c>
      <c r="AB268">
        <v>29.5</v>
      </c>
      <c r="AC268" t="s">
        <v>70</v>
      </c>
      <c r="AD268" t="s">
        <v>60</v>
      </c>
      <c r="AE268">
        <v>1</v>
      </c>
      <c r="AF268">
        <v>0</v>
      </c>
      <c r="AG268">
        <v>5</v>
      </c>
      <c r="AH268">
        <v>2</v>
      </c>
      <c r="AI268">
        <v>0</v>
      </c>
      <c r="AJ268">
        <v>0</v>
      </c>
      <c r="AK268">
        <v>1</v>
      </c>
      <c r="AL268">
        <v>0</v>
      </c>
      <c r="AM268">
        <v>0</v>
      </c>
      <c r="AN268">
        <v>1</v>
      </c>
      <c r="AO268">
        <v>9</v>
      </c>
      <c r="AP268">
        <v>1</v>
      </c>
      <c r="AQ268">
        <v>90</v>
      </c>
      <c r="AR268" s="2">
        <v>45722.941516203704</v>
      </c>
      <c r="AS268" s="2">
        <v>46075.888020833336</v>
      </c>
      <c r="AT268" t="s">
        <v>61</v>
      </c>
      <c r="AU268" t="s">
        <v>62</v>
      </c>
      <c r="AV268">
        <v>353</v>
      </c>
    </row>
    <row r="269" spans="1:48" x14ac:dyDescent="0.25">
      <c r="A269">
        <v>192</v>
      </c>
      <c r="B269" t="s">
        <v>1235</v>
      </c>
      <c r="C269" t="s">
        <v>1223</v>
      </c>
      <c r="D269" t="s">
        <v>1236</v>
      </c>
      <c r="E269" t="s">
        <v>1237</v>
      </c>
      <c r="F269" t="s">
        <v>1238</v>
      </c>
      <c r="G269" t="s">
        <v>104</v>
      </c>
      <c r="H269" s="1">
        <v>38498</v>
      </c>
      <c r="I269">
        <v>21</v>
      </c>
      <c r="J269">
        <v>2005</v>
      </c>
      <c r="K269" s="1">
        <v>45535</v>
      </c>
      <c r="L269">
        <v>2024</v>
      </c>
      <c r="M269" t="s">
        <v>54</v>
      </c>
      <c r="N269">
        <v>14</v>
      </c>
      <c r="O269" t="s">
        <v>105</v>
      </c>
      <c r="P269" t="s">
        <v>56</v>
      </c>
      <c r="Q269">
        <v>36</v>
      </c>
      <c r="R269">
        <v>5</v>
      </c>
      <c r="S269" t="s">
        <v>92</v>
      </c>
      <c r="T269" t="s">
        <v>93</v>
      </c>
      <c r="U269">
        <v>10</v>
      </c>
      <c r="V269">
        <v>11</v>
      </c>
      <c r="W269">
        <v>11</v>
      </c>
      <c r="X269">
        <v>10</v>
      </c>
      <c r="Y269">
        <v>3</v>
      </c>
      <c r="Z269">
        <v>9</v>
      </c>
      <c r="AA269">
        <v>3</v>
      </c>
      <c r="AB269">
        <v>27</v>
      </c>
      <c r="AC269" t="s">
        <v>59</v>
      </c>
      <c r="AD269" t="s">
        <v>60</v>
      </c>
      <c r="AE269">
        <v>4</v>
      </c>
      <c r="AF269">
        <v>0</v>
      </c>
      <c r="AG269">
        <v>1</v>
      </c>
      <c r="AH269">
        <v>0</v>
      </c>
      <c r="AI269">
        <v>0</v>
      </c>
      <c r="AJ269">
        <v>1</v>
      </c>
      <c r="AK269">
        <v>2</v>
      </c>
      <c r="AL269">
        <v>0</v>
      </c>
      <c r="AM269">
        <v>1</v>
      </c>
      <c r="AN269">
        <v>0</v>
      </c>
      <c r="AO269">
        <v>9</v>
      </c>
      <c r="AP269">
        <v>0</v>
      </c>
      <c r="AQ269">
        <v>100</v>
      </c>
      <c r="AR269" s="2">
        <v>45788.271180555559</v>
      </c>
      <c r="AS269" s="2">
        <v>46075.95039351852</v>
      </c>
      <c r="AT269" t="s">
        <v>61</v>
      </c>
      <c r="AU269" t="s">
        <v>62</v>
      </c>
      <c r="AV269">
        <v>287</v>
      </c>
    </row>
    <row r="270" spans="1:48" x14ac:dyDescent="0.25">
      <c r="A270">
        <v>928</v>
      </c>
      <c r="B270" t="s">
        <v>1239</v>
      </c>
      <c r="C270" t="s">
        <v>1240</v>
      </c>
      <c r="D270" t="s">
        <v>1241</v>
      </c>
      <c r="E270" t="s">
        <v>1242</v>
      </c>
      <c r="F270" t="s">
        <v>1243</v>
      </c>
      <c r="G270" t="s">
        <v>53</v>
      </c>
      <c r="H270" s="1">
        <v>38636</v>
      </c>
      <c r="I270">
        <v>21</v>
      </c>
      <c r="J270">
        <v>2005</v>
      </c>
      <c r="K270" s="1">
        <v>46084</v>
      </c>
      <c r="L270">
        <v>2026</v>
      </c>
      <c r="M270" t="s">
        <v>111</v>
      </c>
      <c r="N270">
        <v>8</v>
      </c>
      <c r="O270" t="s">
        <v>125</v>
      </c>
      <c r="P270" t="s">
        <v>56</v>
      </c>
      <c r="Q270">
        <v>36</v>
      </c>
      <c r="R270">
        <v>3</v>
      </c>
      <c r="S270" t="s">
        <v>126</v>
      </c>
      <c r="T270" t="s">
        <v>127</v>
      </c>
      <c r="U270">
        <v>11</v>
      </c>
      <c r="V270">
        <v>11</v>
      </c>
      <c r="W270">
        <v>11</v>
      </c>
      <c r="X270">
        <v>10</v>
      </c>
      <c r="Y270">
        <v>3</v>
      </c>
      <c r="Z270">
        <v>8</v>
      </c>
      <c r="AA270">
        <v>2.6875</v>
      </c>
      <c r="AB270">
        <v>21.5</v>
      </c>
      <c r="AC270" t="s">
        <v>70</v>
      </c>
      <c r="AD270" t="s">
        <v>112</v>
      </c>
      <c r="AE270">
        <v>0</v>
      </c>
      <c r="AF270">
        <v>0</v>
      </c>
      <c r="AG270">
        <v>4</v>
      </c>
      <c r="AH270">
        <v>1</v>
      </c>
      <c r="AI270">
        <v>0</v>
      </c>
      <c r="AJ270">
        <v>1</v>
      </c>
      <c r="AK270">
        <v>1</v>
      </c>
      <c r="AL270">
        <v>0</v>
      </c>
      <c r="AM270">
        <v>0</v>
      </c>
      <c r="AN270">
        <v>1</v>
      </c>
      <c r="AO270">
        <v>7</v>
      </c>
      <c r="AP270">
        <v>1</v>
      </c>
      <c r="AQ270">
        <v>87.5</v>
      </c>
      <c r="AR270" s="2">
        <v>45732.216122685182</v>
      </c>
      <c r="AS270" s="2">
        <v>46063.237233796295</v>
      </c>
      <c r="AT270" t="s">
        <v>61</v>
      </c>
      <c r="AU270" t="s">
        <v>62</v>
      </c>
      <c r="AV270">
        <v>331</v>
      </c>
    </row>
    <row r="271" spans="1:48" x14ac:dyDescent="0.25">
      <c r="A271">
        <v>120</v>
      </c>
      <c r="B271" t="s">
        <v>1244</v>
      </c>
      <c r="C271" t="s">
        <v>1245</v>
      </c>
      <c r="D271" t="s">
        <v>1246</v>
      </c>
      <c r="E271" t="s">
        <v>1247</v>
      </c>
      <c r="F271" t="s">
        <v>1248</v>
      </c>
      <c r="G271" t="s">
        <v>104</v>
      </c>
      <c r="H271" s="1">
        <v>35471</v>
      </c>
      <c r="I271">
        <v>29</v>
      </c>
      <c r="J271">
        <v>1997</v>
      </c>
      <c r="K271" s="1">
        <v>45175</v>
      </c>
      <c r="L271">
        <v>2023</v>
      </c>
      <c r="M271" t="s">
        <v>225</v>
      </c>
      <c r="N271">
        <v>11</v>
      </c>
      <c r="O271" t="s">
        <v>378</v>
      </c>
      <c r="P271" t="s">
        <v>56</v>
      </c>
      <c r="Q271">
        <v>36</v>
      </c>
      <c r="R271">
        <v>4</v>
      </c>
      <c r="S271" t="s">
        <v>77</v>
      </c>
      <c r="T271" t="s">
        <v>78</v>
      </c>
      <c r="U271">
        <v>10</v>
      </c>
      <c r="V271">
        <v>11</v>
      </c>
      <c r="W271">
        <v>11</v>
      </c>
      <c r="X271">
        <v>11</v>
      </c>
      <c r="Y271">
        <v>3</v>
      </c>
      <c r="Z271">
        <v>10</v>
      </c>
      <c r="AA271">
        <v>2.0499999999999998</v>
      </c>
      <c r="AB271">
        <v>20.5</v>
      </c>
      <c r="AC271" t="s">
        <v>70</v>
      </c>
      <c r="AD271" t="s">
        <v>60</v>
      </c>
      <c r="AE271">
        <v>1</v>
      </c>
      <c r="AF271">
        <v>0</v>
      </c>
      <c r="AG271">
        <v>1</v>
      </c>
      <c r="AH271">
        <v>2</v>
      </c>
      <c r="AI271">
        <v>0</v>
      </c>
      <c r="AJ271">
        <v>0</v>
      </c>
      <c r="AK271">
        <v>3</v>
      </c>
      <c r="AL271">
        <v>0</v>
      </c>
      <c r="AM271">
        <v>1</v>
      </c>
      <c r="AN271">
        <v>2</v>
      </c>
      <c r="AO271">
        <v>8</v>
      </c>
      <c r="AP271">
        <v>2</v>
      </c>
      <c r="AQ271">
        <v>80</v>
      </c>
      <c r="AR271" s="2">
        <v>45743.964363425926</v>
      </c>
      <c r="AS271" s="2">
        <v>46025.439097222225</v>
      </c>
      <c r="AT271" t="s">
        <v>61</v>
      </c>
      <c r="AU271" t="s">
        <v>62</v>
      </c>
      <c r="AV271">
        <v>282</v>
      </c>
    </row>
    <row r="272" spans="1:48" x14ac:dyDescent="0.25">
      <c r="A272">
        <v>970</v>
      </c>
      <c r="B272" t="s">
        <v>1249</v>
      </c>
      <c r="C272" t="s">
        <v>1250</v>
      </c>
      <c r="D272" t="s">
        <v>1251</v>
      </c>
      <c r="E272" t="s">
        <v>1252</v>
      </c>
      <c r="F272" t="s">
        <v>1253</v>
      </c>
      <c r="G272" t="s">
        <v>53</v>
      </c>
      <c r="H272" s="1">
        <v>35125</v>
      </c>
      <c r="I272">
        <v>30</v>
      </c>
      <c r="J272">
        <v>1996</v>
      </c>
      <c r="K272" s="1">
        <v>45506</v>
      </c>
      <c r="L272">
        <v>2024</v>
      </c>
      <c r="M272" t="s">
        <v>54</v>
      </c>
      <c r="N272">
        <v>6</v>
      </c>
      <c r="O272" t="s">
        <v>133</v>
      </c>
      <c r="P272" t="s">
        <v>69</v>
      </c>
      <c r="Q272">
        <v>60</v>
      </c>
      <c r="R272">
        <v>2</v>
      </c>
      <c r="S272" t="s">
        <v>85</v>
      </c>
      <c r="T272" t="s">
        <v>86</v>
      </c>
      <c r="U272">
        <v>11</v>
      </c>
      <c r="V272">
        <v>11</v>
      </c>
      <c r="W272">
        <v>11</v>
      </c>
      <c r="X272">
        <v>10</v>
      </c>
      <c r="Y272">
        <v>3</v>
      </c>
      <c r="Z272">
        <v>10</v>
      </c>
      <c r="AA272">
        <v>2.4</v>
      </c>
      <c r="AB272">
        <v>24</v>
      </c>
      <c r="AC272" t="s">
        <v>70</v>
      </c>
      <c r="AD272" t="s">
        <v>60</v>
      </c>
      <c r="AE272">
        <v>2</v>
      </c>
      <c r="AF272">
        <v>0</v>
      </c>
      <c r="AG272">
        <v>1</v>
      </c>
      <c r="AH272">
        <v>1</v>
      </c>
      <c r="AI272">
        <v>0</v>
      </c>
      <c r="AJ272">
        <v>3</v>
      </c>
      <c r="AK272">
        <v>1</v>
      </c>
      <c r="AL272">
        <v>0</v>
      </c>
      <c r="AM272">
        <v>0</v>
      </c>
      <c r="AN272">
        <v>2</v>
      </c>
      <c r="AO272">
        <v>8</v>
      </c>
      <c r="AP272">
        <v>2</v>
      </c>
      <c r="AQ272">
        <v>80</v>
      </c>
      <c r="AR272" s="2">
        <v>45759.090567129628</v>
      </c>
      <c r="AS272" s="2">
        <v>46073.620740740742</v>
      </c>
      <c r="AT272" t="s">
        <v>61</v>
      </c>
      <c r="AU272" t="s">
        <v>62</v>
      </c>
      <c r="AV272">
        <v>314</v>
      </c>
    </row>
    <row r="273" spans="1:48" x14ac:dyDescent="0.25">
      <c r="A273">
        <v>272</v>
      </c>
      <c r="B273" t="s">
        <v>1254</v>
      </c>
      <c r="C273" t="s">
        <v>429</v>
      </c>
      <c r="D273" t="s">
        <v>1255</v>
      </c>
      <c r="E273" t="s">
        <v>1256</v>
      </c>
      <c r="F273" t="s">
        <v>1257</v>
      </c>
      <c r="G273" t="s">
        <v>104</v>
      </c>
      <c r="H273" s="1">
        <v>39393</v>
      </c>
      <c r="I273">
        <v>19</v>
      </c>
      <c r="J273">
        <v>2007</v>
      </c>
      <c r="K273" s="1">
        <v>45414</v>
      </c>
      <c r="L273">
        <v>2024</v>
      </c>
      <c r="M273" t="s">
        <v>54</v>
      </c>
      <c r="N273">
        <v>10</v>
      </c>
      <c r="O273" t="s">
        <v>118</v>
      </c>
      <c r="P273" t="s">
        <v>119</v>
      </c>
      <c r="Q273">
        <v>120</v>
      </c>
      <c r="R273">
        <v>4</v>
      </c>
      <c r="S273" t="s">
        <v>77</v>
      </c>
      <c r="T273" t="s">
        <v>78</v>
      </c>
      <c r="U273">
        <v>11</v>
      </c>
      <c r="V273">
        <v>11</v>
      </c>
      <c r="W273">
        <v>11</v>
      </c>
      <c r="X273">
        <v>9</v>
      </c>
      <c r="Y273">
        <v>3</v>
      </c>
      <c r="Z273">
        <v>9</v>
      </c>
      <c r="AA273">
        <v>2.5</v>
      </c>
      <c r="AB273">
        <v>22.5</v>
      </c>
      <c r="AC273" t="s">
        <v>70</v>
      </c>
      <c r="AD273" t="s">
        <v>60</v>
      </c>
      <c r="AE273">
        <v>2</v>
      </c>
      <c r="AF273">
        <v>0</v>
      </c>
      <c r="AG273">
        <v>2</v>
      </c>
      <c r="AH273">
        <v>1</v>
      </c>
      <c r="AI273">
        <v>0</v>
      </c>
      <c r="AJ273">
        <v>1</v>
      </c>
      <c r="AK273">
        <v>0</v>
      </c>
      <c r="AL273">
        <v>0</v>
      </c>
      <c r="AM273">
        <v>2</v>
      </c>
      <c r="AN273">
        <v>1</v>
      </c>
      <c r="AO273">
        <v>8</v>
      </c>
      <c r="AP273">
        <v>1</v>
      </c>
      <c r="AQ273">
        <v>88.888888888888005</v>
      </c>
      <c r="AR273" s="2">
        <v>45730.614895833336</v>
      </c>
      <c r="AS273" s="2">
        <v>46061.928402777776</v>
      </c>
      <c r="AT273" t="s">
        <v>61</v>
      </c>
      <c r="AU273" t="s">
        <v>62</v>
      </c>
      <c r="AV273">
        <v>331</v>
      </c>
    </row>
    <row r="274" spans="1:48" x14ac:dyDescent="0.25">
      <c r="A274">
        <v>511</v>
      </c>
      <c r="B274" t="s">
        <v>1258</v>
      </c>
      <c r="C274" t="s">
        <v>1259</v>
      </c>
      <c r="D274" t="s">
        <v>1260</v>
      </c>
      <c r="E274" t="s">
        <v>1261</v>
      </c>
      <c r="F274" t="s">
        <v>1262</v>
      </c>
      <c r="G274" t="s">
        <v>53</v>
      </c>
      <c r="H274" s="1">
        <v>39228</v>
      </c>
      <c r="I274">
        <v>19</v>
      </c>
      <c r="J274">
        <v>2007</v>
      </c>
      <c r="K274" s="1">
        <v>46042</v>
      </c>
      <c r="L274">
        <v>2026</v>
      </c>
      <c r="M274" t="s">
        <v>54</v>
      </c>
      <c r="N274">
        <v>13</v>
      </c>
      <c r="O274" t="s">
        <v>146</v>
      </c>
      <c r="P274" t="s">
        <v>119</v>
      </c>
      <c r="Q274">
        <v>120</v>
      </c>
      <c r="R274">
        <v>5</v>
      </c>
      <c r="S274" t="s">
        <v>92</v>
      </c>
      <c r="T274" t="s">
        <v>93</v>
      </c>
      <c r="U274">
        <v>10</v>
      </c>
      <c r="V274">
        <v>11</v>
      </c>
      <c r="W274">
        <v>11</v>
      </c>
      <c r="X274">
        <v>9</v>
      </c>
      <c r="Y274">
        <v>3</v>
      </c>
      <c r="Z274">
        <v>10</v>
      </c>
      <c r="AA274">
        <v>2.2000000000000002</v>
      </c>
      <c r="AB274">
        <v>22</v>
      </c>
      <c r="AC274" t="s">
        <v>70</v>
      </c>
      <c r="AD274" t="s">
        <v>60</v>
      </c>
      <c r="AE274">
        <v>1</v>
      </c>
      <c r="AF274">
        <v>0</v>
      </c>
      <c r="AG274">
        <v>2</v>
      </c>
      <c r="AH274">
        <v>0</v>
      </c>
      <c r="AI274">
        <v>0</v>
      </c>
      <c r="AJ274">
        <v>2</v>
      </c>
      <c r="AK274">
        <v>2</v>
      </c>
      <c r="AL274">
        <v>0</v>
      </c>
      <c r="AM274">
        <v>2</v>
      </c>
      <c r="AN274">
        <v>1</v>
      </c>
      <c r="AO274">
        <v>9</v>
      </c>
      <c r="AP274">
        <v>1</v>
      </c>
      <c r="AQ274">
        <v>90</v>
      </c>
      <c r="AR274" s="2">
        <v>45774.08185185185</v>
      </c>
      <c r="AS274" s="2">
        <v>46082.070185185185</v>
      </c>
      <c r="AT274" t="s">
        <v>61</v>
      </c>
      <c r="AU274" t="s">
        <v>62</v>
      </c>
      <c r="AV274">
        <v>308</v>
      </c>
    </row>
    <row r="275" spans="1:48" x14ac:dyDescent="0.25">
      <c r="A275">
        <v>922</v>
      </c>
      <c r="B275" t="s">
        <v>1263</v>
      </c>
      <c r="C275" t="s">
        <v>575</v>
      </c>
      <c r="D275" t="s">
        <v>636</v>
      </c>
      <c r="E275" t="s">
        <v>1264</v>
      </c>
      <c r="F275" t="s">
        <v>1265</v>
      </c>
      <c r="G275" t="s">
        <v>53</v>
      </c>
      <c r="H275" s="1">
        <v>35124</v>
      </c>
      <c r="I275">
        <v>30</v>
      </c>
      <c r="J275">
        <v>1996</v>
      </c>
      <c r="K275" s="1">
        <v>44852</v>
      </c>
      <c r="L275">
        <v>2022</v>
      </c>
      <c r="M275" t="s">
        <v>54</v>
      </c>
      <c r="N275">
        <v>3</v>
      </c>
      <c r="O275" t="s">
        <v>68</v>
      </c>
      <c r="P275" t="s">
        <v>69</v>
      </c>
      <c r="Q275">
        <v>60</v>
      </c>
      <c r="R275">
        <v>1</v>
      </c>
      <c r="S275" t="s">
        <v>57</v>
      </c>
      <c r="T275" t="s">
        <v>58</v>
      </c>
      <c r="U275">
        <v>11</v>
      </c>
      <c r="V275">
        <v>11</v>
      </c>
      <c r="W275">
        <v>11</v>
      </c>
      <c r="X275">
        <v>11</v>
      </c>
      <c r="Y275">
        <v>3</v>
      </c>
      <c r="Z275">
        <v>10</v>
      </c>
      <c r="AA275">
        <v>1.65</v>
      </c>
      <c r="AB275">
        <v>16.5</v>
      </c>
      <c r="AC275" t="s">
        <v>70</v>
      </c>
      <c r="AD275" t="s">
        <v>281</v>
      </c>
      <c r="AE275">
        <v>0</v>
      </c>
      <c r="AF275">
        <v>0</v>
      </c>
      <c r="AG275">
        <v>2</v>
      </c>
      <c r="AH275">
        <v>0</v>
      </c>
      <c r="AI275">
        <v>0</v>
      </c>
      <c r="AJ275">
        <v>3</v>
      </c>
      <c r="AK275">
        <v>0</v>
      </c>
      <c r="AL275">
        <v>0</v>
      </c>
      <c r="AM275">
        <v>2</v>
      </c>
      <c r="AN275">
        <v>3</v>
      </c>
      <c r="AO275">
        <v>7</v>
      </c>
      <c r="AP275">
        <v>3</v>
      </c>
      <c r="AQ275">
        <v>70</v>
      </c>
      <c r="AR275" s="2">
        <v>45723.228437500002</v>
      </c>
      <c r="AS275" s="2">
        <v>46070.435520833336</v>
      </c>
      <c r="AT275" t="s">
        <v>61</v>
      </c>
      <c r="AU275" t="s">
        <v>62</v>
      </c>
      <c r="AV275">
        <v>347</v>
      </c>
    </row>
    <row r="276" spans="1:48" x14ac:dyDescent="0.25">
      <c r="A276">
        <v>787</v>
      </c>
      <c r="B276" t="s">
        <v>1266</v>
      </c>
      <c r="C276" t="s">
        <v>1057</v>
      </c>
      <c r="D276" t="s">
        <v>1267</v>
      </c>
      <c r="E276" t="s">
        <v>1268</v>
      </c>
      <c r="F276" t="s">
        <v>1269</v>
      </c>
      <c r="G276" t="s">
        <v>53</v>
      </c>
      <c r="H276" s="1">
        <v>39509</v>
      </c>
      <c r="I276">
        <v>18</v>
      </c>
      <c r="J276">
        <v>2008</v>
      </c>
      <c r="K276" s="1">
        <v>45271</v>
      </c>
      <c r="L276">
        <v>2023</v>
      </c>
      <c r="M276" t="s">
        <v>111</v>
      </c>
      <c r="N276">
        <v>1</v>
      </c>
      <c r="O276" t="s">
        <v>157</v>
      </c>
      <c r="P276" t="s">
        <v>119</v>
      </c>
      <c r="Q276">
        <v>120</v>
      </c>
      <c r="R276">
        <v>1</v>
      </c>
      <c r="S276" t="s">
        <v>57</v>
      </c>
      <c r="T276" t="s">
        <v>58</v>
      </c>
      <c r="U276">
        <v>11</v>
      </c>
      <c r="V276">
        <v>11</v>
      </c>
      <c r="W276">
        <v>11</v>
      </c>
      <c r="X276">
        <v>10</v>
      </c>
      <c r="Y276">
        <v>3</v>
      </c>
      <c r="Z276">
        <v>7</v>
      </c>
      <c r="AA276">
        <v>2.5</v>
      </c>
      <c r="AB276">
        <v>17.5</v>
      </c>
      <c r="AC276" t="s">
        <v>59</v>
      </c>
      <c r="AD276" t="s">
        <v>60</v>
      </c>
      <c r="AE276">
        <v>2</v>
      </c>
      <c r="AF276">
        <v>0</v>
      </c>
      <c r="AG276">
        <v>0</v>
      </c>
      <c r="AH276">
        <v>1</v>
      </c>
      <c r="AI276">
        <v>0</v>
      </c>
      <c r="AJ276">
        <v>1</v>
      </c>
      <c r="AK276">
        <v>1</v>
      </c>
      <c r="AL276">
        <v>0</v>
      </c>
      <c r="AM276">
        <v>2</v>
      </c>
      <c r="AN276">
        <v>0</v>
      </c>
      <c r="AO276">
        <v>7</v>
      </c>
      <c r="AP276">
        <v>0</v>
      </c>
      <c r="AQ276">
        <v>100</v>
      </c>
      <c r="AR276" s="2">
        <v>45723.457511574074</v>
      </c>
      <c r="AS276" s="2">
        <v>46008.774097222224</v>
      </c>
      <c r="AT276" t="s">
        <v>61</v>
      </c>
      <c r="AU276" t="s">
        <v>62</v>
      </c>
      <c r="AV276">
        <v>285</v>
      </c>
    </row>
    <row r="277" spans="1:48" x14ac:dyDescent="0.25">
      <c r="A277">
        <v>896</v>
      </c>
      <c r="B277" t="s">
        <v>1270</v>
      </c>
      <c r="C277" t="s">
        <v>1271</v>
      </c>
      <c r="D277" t="s">
        <v>1272</v>
      </c>
      <c r="E277" t="s">
        <v>1273</v>
      </c>
      <c r="F277" t="s">
        <v>1274</v>
      </c>
      <c r="G277" t="s">
        <v>104</v>
      </c>
      <c r="H277" s="1">
        <v>35311</v>
      </c>
      <c r="I277">
        <v>30</v>
      </c>
      <c r="J277">
        <v>1996</v>
      </c>
      <c r="K277" s="1">
        <v>45945</v>
      </c>
      <c r="L277">
        <v>2025</v>
      </c>
      <c r="M277" t="s">
        <v>54</v>
      </c>
      <c r="N277">
        <v>21</v>
      </c>
      <c r="O277" t="s">
        <v>339</v>
      </c>
      <c r="P277" t="s">
        <v>69</v>
      </c>
      <c r="Q277">
        <v>60</v>
      </c>
      <c r="R277">
        <v>7</v>
      </c>
      <c r="S277" t="s">
        <v>163</v>
      </c>
      <c r="T277" t="s">
        <v>164</v>
      </c>
      <c r="U277">
        <v>11</v>
      </c>
      <c r="V277">
        <v>11</v>
      </c>
      <c r="W277">
        <v>11</v>
      </c>
      <c r="X277">
        <v>9</v>
      </c>
      <c r="Y277">
        <v>3</v>
      </c>
      <c r="Z277">
        <v>10</v>
      </c>
      <c r="AA277">
        <v>2.2000000000000002</v>
      </c>
      <c r="AB277">
        <v>22</v>
      </c>
      <c r="AC277" t="s">
        <v>70</v>
      </c>
      <c r="AD277" t="s">
        <v>60</v>
      </c>
      <c r="AE277">
        <v>2</v>
      </c>
      <c r="AF277">
        <v>0</v>
      </c>
      <c r="AG277">
        <v>2</v>
      </c>
      <c r="AH277">
        <v>0</v>
      </c>
      <c r="AI277">
        <v>0</v>
      </c>
      <c r="AJ277">
        <v>0</v>
      </c>
      <c r="AK277">
        <v>2</v>
      </c>
      <c r="AL277">
        <v>0</v>
      </c>
      <c r="AM277">
        <v>3</v>
      </c>
      <c r="AN277">
        <v>1</v>
      </c>
      <c r="AO277">
        <v>9</v>
      </c>
      <c r="AP277">
        <v>1</v>
      </c>
      <c r="AQ277">
        <v>90</v>
      </c>
      <c r="AR277" s="2">
        <v>45761.485000000001</v>
      </c>
      <c r="AS277" s="2">
        <v>46046.068865740737</v>
      </c>
      <c r="AT277" t="s">
        <v>61</v>
      </c>
      <c r="AU277" t="s">
        <v>62</v>
      </c>
      <c r="AV277">
        <v>285</v>
      </c>
    </row>
    <row r="278" spans="1:48" x14ac:dyDescent="0.25">
      <c r="A278">
        <v>102</v>
      </c>
      <c r="B278" t="s">
        <v>1275</v>
      </c>
      <c r="C278" t="s">
        <v>1276</v>
      </c>
      <c r="D278" t="s">
        <v>1232</v>
      </c>
      <c r="E278" t="s">
        <v>1277</v>
      </c>
      <c r="F278" t="s">
        <v>1278</v>
      </c>
      <c r="G278" t="s">
        <v>104</v>
      </c>
      <c r="H278" s="1">
        <v>37252</v>
      </c>
      <c r="I278">
        <v>25</v>
      </c>
      <c r="J278">
        <v>2001</v>
      </c>
      <c r="K278" s="1">
        <v>45678</v>
      </c>
      <c r="L278">
        <v>2025</v>
      </c>
      <c r="M278" t="s">
        <v>54</v>
      </c>
      <c r="N278">
        <v>10</v>
      </c>
      <c r="O278" t="s">
        <v>118</v>
      </c>
      <c r="P278" t="s">
        <v>119</v>
      </c>
      <c r="Q278">
        <v>120</v>
      </c>
      <c r="R278">
        <v>4</v>
      </c>
      <c r="S278" t="s">
        <v>77</v>
      </c>
      <c r="T278" t="s">
        <v>78</v>
      </c>
      <c r="U278">
        <v>11</v>
      </c>
      <c r="V278">
        <v>11</v>
      </c>
      <c r="W278">
        <v>11</v>
      </c>
      <c r="X278">
        <v>11</v>
      </c>
      <c r="Y278">
        <v>3</v>
      </c>
      <c r="Z278">
        <v>11</v>
      </c>
      <c r="AA278">
        <v>2.2272720000000001</v>
      </c>
      <c r="AB278">
        <v>24.5</v>
      </c>
      <c r="AC278" t="s">
        <v>70</v>
      </c>
      <c r="AD278" t="s">
        <v>60</v>
      </c>
      <c r="AE278">
        <v>1</v>
      </c>
      <c r="AF278">
        <v>0</v>
      </c>
      <c r="AG278">
        <v>2</v>
      </c>
      <c r="AH278">
        <v>2</v>
      </c>
      <c r="AI278">
        <v>0</v>
      </c>
      <c r="AJ278">
        <v>1</v>
      </c>
      <c r="AK278">
        <v>1</v>
      </c>
      <c r="AL278">
        <v>0</v>
      </c>
      <c r="AM278">
        <v>3</v>
      </c>
      <c r="AN278">
        <v>1</v>
      </c>
      <c r="AO278">
        <v>10</v>
      </c>
      <c r="AP278">
        <v>1</v>
      </c>
      <c r="AQ278">
        <v>90.909090909089997</v>
      </c>
      <c r="AR278" s="2">
        <v>45787.741354166668</v>
      </c>
      <c r="AS278" s="2">
        <v>46059.663206018522</v>
      </c>
      <c r="AT278" t="s">
        <v>61</v>
      </c>
      <c r="AU278" t="s">
        <v>62</v>
      </c>
      <c r="AV278">
        <v>272</v>
      </c>
    </row>
    <row r="279" spans="1:48" x14ac:dyDescent="0.25">
      <c r="A279">
        <v>206</v>
      </c>
      <c r="B279" t="s">
        <v>1279</v>
      </c>
      <c r="C279" t="s">
        <v>1042</v>
      </c>
      <c r="D279" t="s">
        <v>889</v>
      </c>
      <c r="E279" t="s">
        <v>1280</v>
      </c>
      <c r="F279">
        <v>4748329271</v>
      </c>
      <c r="G279" t="s">
        <v>104</v>
      </c>
      <c r="H279" s="1">
        <v>37771</v>
      </c>
      <c r="I279">
        <v>23</v>
      </c>
      <c r="J279">
        <v>2003</v>
      </c>
      <c r="K279" s="1">
        <v>45214</v>
      </c>
      <c r="L279">
        <v>2023</v>
      </c>
      <c r="M279" t="s">
        <v>54</v>
      </c>
      <c r="N279">
        <v>8</v>
      </c>
      <c r="O279" t="s">
        <v>125</v>
      </c>
      <c r="P279" t="s">
        <v>56</v>
      </c>
      <c r="Q279">
        <v>36</v>
      </c>
      <c r="R279">
        <v>3</v>
      </c>
      <c r="S279" t="s">
        <v>126</v>
      </c>
      <c r="T279" t="s">
        <v>127</v>
      </c>
      <c r="U279">
        <v>11</v>
      </c>
      <c r="V279">
        <v>11</v>
      </c>
      <c r="W279">
        <v>11</v>
      </c>
      <c r="X279">
        <v>11</v>
      </c>
      <c r="Y279">
        <v>3</v>
      </c>
      <c r="Z279">
        <v>10</v>
      </c>
      <c r="AA279">
        <v>2.9</v>
      </c>
      <c r="AB279">
        <v>29</v>
      </c>
      <c r="AC279" t="s">
        <v>59</v>
      </c>
      <c r="AD279" t="s">
        <v>60</v>
      </c>
      <c r="AE279">
        <v>2</v>
      </c>
      <c r="AF279">
        <v>0</v>
      </c>
      <c r="AG279">
        <v>2</v>
      </c>
      <c r="AH279">
        <v>2</v>
      </c>
      <c r="AI279">
        <v>0</v>
      </c>
      <c r="AJ279">
        <v>2</v>
      </c>
      <c r="AK279">
        <v>1</v>
      </c>
      <c r="AL279">
        <v>0</v>
      </c>
      <c r="AM279">
        <v>1</v>
      </c>
      <c r="AN279">
        <v>0</v>
      </c>
      <c r="AO279">
        <v>10</v>
      </c>
      <c r="AP279">
        <v>0</v>
      </c>
      <c r="AQ279">
        <v>100</v>
      </c>
      <c r="AR279" s="2">
        <v>45733.05228009259</v>
      </c>
      <c r="AS279" s="2">
        <v>46070.486921296295</v>
      </c>
      <c r="AT279" t="s">
        <v>61</v>
      </c>
      <c r="AU279" t="s">
        <v>62</v>
      </c>
      <c r="AV279">
        <v>337</v>
      </c>
    </row>
    <row r="280" spans="1:48" x14ac:dyDescent="0.25">
      <c r="A280">
        <v>662</v>
      </c>
      <c r="B280" t="s">
        <v>1281</v>
      </c>
      <c r="C280" t="s">
        <v>129</v>
      </c>
      <c r="D280" t="s">
        <v>820</v>
      </c>
      <c r="E280" t="s">
        <v>1282</v>
      </c>
      <c r="F280">
        <v>4916498517</v>
      </c>
      <c r="G280" t="s">
        <v>53</v>
      </c>
      <c r="H280" s="1">
        <v>38400</v>
      </c>
      <c r="I280">
        <v>21</v>
      </c>
      <c r="J280">
        <v>2005</v>
      </c>
      <c r="K280" s="1">
        <v>45028</v>
      </c>
      <c r="L280">
        <v>2023</v>
      </c>
      <c r="M280" t="s">
        <v>54</v>
      </c>
      <c r="N280">
        <v>18</v>
      </c>
      <c r="O280" t="s">
        <v>139</v>
      </c>
      <c r="P280" t="s">
        <v>69</v>
      </c>
      <c r="Q280">
        <v>60</v>
      </c>
      <c r="R280">
        <v>6</v>
      </c>
      <c r="S280" t="s">
        <v>140</v>
      </c>
      <c r="T280" t="s">
        <v>141</v>
      </c>
      <c r="U280">
        <v>11</v>
      </c>
      <c r="V280">
        <v>11</v>
      </c>
      <c r="W280">
        <v>11</v>
      </c>
      <c r="X280">
        <v>11</v>
      </c>
      <c r="Y280">
        <v>3</v>
      </c>
      <c r="Z280">
        <v>10</v>
      </c>
      <c r="AA280">
        <v>2.6</v>
      </c>
      <c r="AB280">
        <v>26</v>
      </c>
      <c r="AC280" t="s">
        <v>59</v>
      </c>
      <c r="AD280" t="s">
        <v>60</v>
      </c>
      <c r="AE280">
        <v>2</v>
      </c>
      <c r="AF280">
        <v>0</v>
      </c>
      <c r="AG280">
        <v>0</v>
      </c>
      <c r="AH280">
        <v>1</v>
      </c>
      <c r="AI280">
        <v>0</v>
      </c>
      <c r="AJ280">
        <v>4</v>
      </c>
      <c r="AK280">
        <v>2</v>
      </c>
      <c r="AL280">
        <v>0</v>
      </c>
      <c r="AM280">
        <v>1</v>
      </c>
      <c r="AN280">
        <v>0</v>
      </c>
      <c r="AO280">
        <v>10</v>
      </c>
      <c r="AP280">
        <v>0</v>
      </c>
      <c r="AQ280">
        <v>100</v>
      </c>
      <c r="AR280" s="2">
        <v>45721.905914351853</v>
      </c>
      <c r="AS280" s="2">
        <v>46064.504571759258</v>
      </c>
      <c r="AT280" t="s">
        <v>61</v>
      </c>
      <c r="AU280" t="s">
        <v>62</v>
      </c>
      <c r="AV280">
        <v>343</v>
      </c>
    </row>
    <row r="281" spans="1:48" x14ac:dyDescent="0.25">
      <c r="A281">
        <v>251</v>
      </c>
      <c r="B281" t="s">
        <v>1283</v>
      </c>
      <c r="C281" t="s">
        <v>1284</v>
      </c>
      <c r="D281" t="s">
        <v>1285</v>
      </c>
      <c r="E281" t="s">
        <v>1286</v>
      </c>
      <c r="F281" t="s">
        <v>1287</v>
      </c>
      <c r="G281" t="s">
        <v>53</v>
      </c>
      <c r="H281" s="1">
        <v>35398</v>
      </c>
      <c r="I281">
        <v>30</v>
      </c>
      <c r="J281">
        <v>1996</v>
      </c>
      <c r="K281" s="1">
        <v>45322</v>
      </c>
      <c r="L281">
        <v>2024</v>
      </c>
      <c r="M281" t="s">
        <v>111</v>
      </c>
      <c r="N281">
        <v>12</v>
      </c>
      <c r="O281" t="s">
        <v>76</v>
      </c>
      <c r="P281" t="s">
        <v>69</v>
      </c>
      <c r="Q281">
        <v>60</v>
      </c>
      <c r="R281">
        <v>4</v>
      </c>
      <c r="S281" t="s">
        <v>77</v>
      </c>
      <c r="T281" t="s">
        <v>78</v>
      </c>
      <c r="U281">
        <v>11</v>
      </c>
      <c r="V281">
        <v>11</v>
      </c>
      <c r="W281">
        <v>11</v>
      </c>
      <c r="X281">
        <v>10</v>
      </c>
      <c r="Y281">
        <v>3</v>
      </c>
      <c r="Z281">
        <v>9</v>
      </c>
      <c r="AA281">
        <v>2.1111110000000002</v>
      </c>
      <c r="AB281">
        <v>19</v>
      </c>
      <c r="AC281" t="s">
        <v>70</v>
      </c>
      <c r="AD281" t="s">
        <v>60</v>
      </c>
      <c r="AE281">
        <v>1</v>
      </c>
      <c r="AF281">
        <v>0</v>
      </c>
      <c r="AG281">
        <v>1</v>
      </c>
      <c r="AH281">
        <v>1</v>
      </c>
      <c r="AI281">
        <v>0</v>
      </c>
      <c r="AJ281">
        <v>1</v>
      </c>
      <c r="AK281">
        <v>2</v>
      </c>
      <c r="AL281">
        <v>0</v>
      </c>
      <c r="AM281">
        <v>2</v>
      </c>
      <c r="AN281">
        <v>1</v>
      </c>
      <c r="AO281">
        <v>8</v>
      </c>
      <c r="AP281">
        <v>1</v>
      </c>
      <c r="AQ281">
        <v>88.888888888888005</v>
      </c>
      <c r="AR281" s="2">
        <v>45901.428530092591</v>
      </c>
      <c r="AS281" s="2">
        <v>46081.614710648151</v>
      </c>
      <c r="AT281" t="s">
        <v>61</v>
      </c>
      <c r="AU281" t="s">
        <v>62</v>
      </c>
      <c r="AV281">
        <v>180</v>
      </c>
    </row>
    <row r="282" spans="1:48" x14ac:dyDescent="0.25">
      <c r="A282">
        <v>646</v>
      </c>
      <c r="B282" t="s">
        <v>1288</v>
      </c>
      <c r="C282" t="s">
        <v>177</v>
      </c>
      <c r="D282" t="s">
        <v>1289</v>
      </c>
      <c r="E282" t="s">
        <v>1290</v>
      </c>
      <c r="F282" t="s">
        <v>1291</v>
      </c>
      <c r="G282" t="s">
        <v>104</v>
      </c>
      <c r="H282" s="1">
        <v>38913</v>
      </c>
      <c r="I282">
        <v>20</v>
      </c>
      <c r="J282">
        <v>2006</v>
      </c>
      <c r="K282" s="1">
        <v>45456</v>
      </c>
      <c r="L282">
        <v>2024</v>
      </c>
      <c r="M282" t="s">
        <v>54</v>
      </c>
      <c r="N282">
        <v>10</v>
      </c>
      <c r="O282" t="s">
        <v>118</v>
      </c>
      <c r="P282" t="s">
        <v>119</v>
      </c>
      <c r="Q282">
        <v>120</v>
      </c>
      <c r="R282">
        <v>4</v>
      </c>
      <c r="S282" t="s">
        <v>77</v>
      </c>
      <c r="T282" t="s">
        <v>78</v>
      </c>
      <c r="U282">
        <v>11</v>
      </c>
      <c r="V282">
        <v>11</v>
      </c>
      <c r="W282">
        <v>11</v>
      </c>
      <c r="X282">
        <v>10</v>
      </c>
      <c r="Y282">
        <v>3</v>
      </c>
      <c r="Z282">
        <v>9</v>
      </c>
      <c r="AA282">
        <v>2.6666660000000002</v>
      </c>
      <c r="AB282">
        <v>24</v>
      </c>
      <c r="AC282" t="s">
        <v>59</v>
      </c>
      <c r="AD282" t="s">
        <v>60</v>
      </c>
      <c r="AE282">
        <v>3</v>
      </c>
      <c r="AF282">
        <v>0</v>
      </c>
      <c r="AG282">
        <v>0</v>
      </c>
      <c r="AH282">
        <v>1</v>
      </c>
      <c r="AI282">
        <v>0</v>
      </c>
      <c r="AJ282">
        <v>2</v>
      </c>
      <c r="AK282">
        <v>1</v>
      </c>
      <c r="AL282">
        <v>0</v>
      </c>
      <c r="AM282">
        <v>2</v>
      </c>
      <c r="AN282">
        <v>0</v>
      </c>
      <c r="AO282">
        <v>9</v>
      </c>
      <c r="AP282">
        <v>0</v>
      </c>
      <c r="AQ282">
        <v>100</v>
      </c>
      <c r="AR282" s="2">
        <v>45738.421377314815</v>
      </c>
      <c r="AS282" s="2">
        <v>46018.383553240739</v>
      </c>
      <c r="AT282" t="s">
        <v>61</v>
      </c>
      <c r="AU282" t="s">
        <v>62</v>
      </c>
      <c r="AV282">
        <v>280</v>
      </c>
    </row>
    <row r="283" spans="1:48" x14ac:dyDescent="0.25">
      <c r="A283">
        <v>827</v>
      </c>
      <c r="B283" t="s">
        <v>1292</v>
      </c>
      <c r="C283" t="s">
        <v>1293</v>
      </c>
      <c r="D283" t="s">
        <v>1294</v>
      </c>
      <c r="E283" t="s">
        <v>1295</v>
      </c>
      <c r="F283" t="s">
        <v>1296</v>
      </c>
      <c r="G283" t="s">
        <v>104</v>
      </c>
      <c r="H283" s="1">
        <v>38864</v>
      </c>
      <c r="I283">
        <v>20</v>
      </c>
      <c r="J283">
        <v>2006</v>
      </c>
      <c r="K283" s="1">
        <v>44639</v>
      </c>
      <c r="L283">
        <v>2022</v>
      </c>
      <c r="M283" t="s">
        <v>54</v>
      </c>
      <c r="N283">
        <v>2</v>
      </c>
      <c r="O283" t="s">
        <v>55</v>
      </c>
      <c r="P283" t="s">
        <v>56</v>
      </c>
      <c r="Q283">
        <v>36</v>
      </c>
      <c r="R283">
        <v>1</v>
      </c>
      <c r="S283" t="s">
        <v>57</v>
      </c>
      <c r="T283" t="s">
        <v>58</v>
      </c>
      <c r="U283">
        <v>10</v>
      </c>
      <c r="V283">
        <v>11</v>
      </c>
      <c r="W283">
        <v>11</v>
      </c>
      <c r="X283">
        <v>10</v>
      </c>
      <c r="Y283">
        <v>3</v>
      </c>
      <c r="Z283">
        <v>8</v>
      </c>
      <c r="AA283">
        <v>1.9375</v>
      </c>
      <c r="AB283">
        <v>15.5</v>
      </c>
      <c r="AC283" t="s">
        <v>70</v>
      </c>
      <c r="AD283" t="s">
        <v>60</v>
      </c>
      <c r="AE283">
        <v>1</v>
      </c>
      <c r="AF283">
        <v>0</v>
      </c>
      <c r="AG283">
        <v>1</v>
      </c>
      <c r="AH283">
        <v>1</v>
      </c>
      <c r="AI283">
        <v>0</v>
      </c>
      <c r="AJ283">
        <v>0</v>
      </c>
      <c r="AK283">
        <v>2</v>
      </c>
      <c r="AL283">
        <v>0</v>
      </c>
      <c r="AM283">
        <v>1</v>
      </c>
      <c r="AN283">
        <v>2</v>
      </c>
      <c r="AO283">
        <v>6</v>
      </c>
      <c r="AP283">
        <v>2</v>
      </c>
      <c r="AQ283">
        <v>75</v>
      </c>
      <c r="AR283" s="2">
        <v>45757.946817129632</v>
      </c>
      <c r="AS283" s="2">
        <v>46042.725335648145</v>
      </c>
      <c r="AT283" t="s">
        <v>61</v>
      </c>
      <c r="AU283" t="s">
        <v>62</v>
      </c>
      <c r="AV283">
        <v>285</v>
      </c>
    </row>
    <row r="284" spans="1:48" x14ac:dyDescent="0.25">
      <c r="A284">
        <v>242</v>
      </c>
      <c r="B284" t="s">
        <v>1297</v>
      </c>
      <c r="C284" t="s">
        <v>690</v>
      </c>
      <c r="D284" t="s">
        <v>1298</v>
      </c>
      <c r="E284" t="s">
        <v>1299</v>
      </c>
      <c r="F284" t="s">
        <v>1300</v>
      </c>
      <c r="G284" t="s">
        <v>104</v>
      </c>
      <c r="H284" s="1">
        <v>37910</v>
      </c>
      <c r="I284">
        <v>23</v>
      </c>
      <c r="J284">
        <v>2003</v>
      </c>
      <c r="K284" s="1">
        <v>45863</v>
      </c>
      <c r="L284">
        <v>2025</v>
      </c>
      <c r="M284" t="s">
        <v>54</v>
      </c>
      <c r="N284">
        <v>12</v>
      </c>
      <c r="O284" t="s">
        <v>76</v>
      </c>
      <c r="P284" t="s">
        <v>69</v>
      </c>
      <c r="Q284">
        <v>60</v>
      </c>
      <c r="R284">
        <v>4</v>
      </c>
      <c r="S284" t="s">
        <v>77</v>
      </c>
      <c r="T284" t="s">
        <v>78</v>
      </c>
      <c r="U284">
        <v>11</v>
      </c>
      <c r="V284">
        <v>11</v>
      </c>
      <c r="W284">
        <v>11</v>
      </c>
      <c r="X284">
        <v>10</v>
      </c>
      <c r="Y284">
        <v>3</v>
      </c>
      <c r="Z284">
        <v>9</v>
      </c>
      <c r="AA284">
        <v>1.8888879999999999</v>
      </c>
      <c r="AB284">
        <v>17</v>
      </c>
      <c r="AC284" t="s">
        <v>59</v>
      </c>
      <c r="AD284" t="s">
        <v>112</v>
      </c>
      <c r="AE284">
        <v>0</v>
      </c>
      <c r="AF284">
        <v>0</v>
      </c>
      <c r="AG284">
        <v>1</v>
      </c>
      <c r="AH284">
        <v>2</v>
      </c>
      <c r="AI284">
        <v>0</v>
      </c>
      <c r="AJ284">
        <v>1</v>
      </c>
      <c r="AK284">
        <v>0</v>
      </c>
      <c r="AL284">
        <v>0</v>
      </c>
      <c r="AM284">
        <v>5</v>
      </c>
      <c r="AN284">
        <v>0</v>
      </c>
      <c r="AO284">
        <v>9</v>
      </c>
      <c r="AP284">
        <v>0</v>
      </c>
      <c r="AQ284">
        <v>100</v>
      </c>
      <c r="AR284" s="2">
        <v>45764.952708333331</v>
      </c>
      <c r="AS284" s="2">
        <v>46035.693784722222</v>
      </c>
      <c r="AT284" t="s">
        <v>61</v>
      </c>
      <c r="AU284" t="s">
        <v>62</v>
      </c>
      <c r="AV284">
        <v>271</v>
      </c>
    </row>
    <row r="285" spans="1:48" x14ac:dyDescent="0.25">
      <c r="A285">
        <v>411</v>
      </c>
      <c r="B285" t="s">
        <v>1301</v>
      </c>
      <c r="C285" t="s">
        <v>1302</v>
      </c>
      <c r="D285" t="s">
        <v>420</v>
      </c>
      <c r="E285" t="s">
        <v>1303</v>
      </c>
      <c r="F285" t="s">
        <v>1304</v>
      </c>
      <c r="G285" t="s">
        <v>53</v>
      </c>
      <c r="H285" s="1">
        <v>35448</v>
      </c>
      <c r="I285">
        <v>29</v>
      </c>
      <c r="J285">
        <v>1997</v>
      </c>
      <c r="K285" s="1">
        <v>44880</v>
      </c>
      <c r="L285">
        <v>2022</v>
      </c>
      <c r="M285" t="s">
        <v>54</v>
      </c>
      <c r="N285">
        <v>5</v>
      </c>
      <c r="O285" t="s">
        <v>84</v>
      </c>
      <c r="P285" t="s">
        <v>56</v>
      </c>
      <c r="Q285">
        <v>36</v>
      </c>
      <c r="R285">
        <v>2</v>
      </c>
      <c r="S285" t="s">
        <v>85</v>
      </c>
      <c r="T285" t="s">
        <v>86</v>
      </c>
      <c r="U285">
        <v>11</v>
      </c>
      <c r="V285">
        <v>11</v>
      </c>
      <c r="W285">
        <v>11</v>
      </c>
      <c r="X285">
        <v>10</v>
      </c>
      <c r="Y285">
        <v>3</v>
      </c>
      <c r="Z285">
        <v>10</v>
      </c>
      <c r="AA285">
        <v>2.4500000000000002</v>
      </c>
      <c r="AB285">
        <v>24.5</v>
      </c>
      <c r="AC285" t="s">
        <v>59</v>
      </c>
      <c r="AD285" t="s">
        <v>112</v>
      </c>
      <c r="AE285">
        <v>0</v>
      </c>
      <c r="AF285">
        <v>0</v>
      </c>
      <c r="AG285">
        <v>3</v>
      </c>
      <c r="AH285">
        <v>2</v>
      </c>
      <c r="AI285">
        <v>0</v>
      </c>
      <c r="AJ285">
        <v>2</v>
      </c>
      <c r="AK285">
        <v>0</v>
      </c>
      <c r="AL285">
        <v>0</v>
      </c>
      <c r="AM285">
        <v>3</v>
      </c>
      <c r="AN285">
        <v>0</v>
      </c>
      <c r="AO285">
        <v>10</v>
      </c>
      <c r="AP285">
        <v>0</v>
      </c>
      <c r="AQ285">
        <v>100</v>
      </c>
      <c r="AR285" s="2">
        <v>45723.598414351851</v>
      </c>
      <c r="AS285" s="2">
        <v>46075.449629629627</v>
      </c>
      <c r="AT285" t="s">
        <v>61</v>
      </c>
      <c r="AU285" t="s">
        <v>62</v>
      </c>
      <c r="AV285">
        <v>352</v>
      </c>
    </row>
    <row r="286" spans="1:48" x14ac:dyDescent="0.25">
      <c r="A286">
        <v>386</v>
      </c>
      <c r="B286" t="s">
        <v>1305</v>
      </c>
      <c r="C286" t="s">
        <v>1306</v>
      </c>
      <c r="D286" t="s">
        <v>1307</v>
      </c>
      <c r="E286" t="s">
        <v>1308</v>
      </c>
      <c r="F286" t="s">
        <v>1309</v>
      </c>
      <c r="G286" t="s">
        <v>104</v>
      </c>
      <c r="H286" s="1">
        <v>37278</v>
      </c>
      <c r="I286">
        <v>24</v>
      </c>
      <c r="J286">
        <v>2002</v>
      </c>
      <c r="K286" s="1">
        <v>45992</v>
      </c>
      <c r="L286">
        <v>2025</v>
      </c>
      <c r="M286" t="s">
        <v>54</v>
      </c>
      <c r="N286">
        <v>2</v>
      </c>
      <c r="O286" t="s">
        <v>55</v>
      </c>
      <c r="P286" t="s">
        <v>56</v>
      </c>
      <c r="Q286">
        <v>36</v>
      </c>
      <c r="R286">
        <v>1</v>
      </c>
      <c r="S286" t="s">
        <v>57</v>
      </c>
      <c r="T286" t="s">
        <v>58</v>
      </c>
      <c r="U286">
        <v>10</v>
      </c>
      <c r="V286">
        <v>11</v>
      </c>
      <c r="W286">
        <v>11</v>
      </c>
      <c r="X286">
        <v>8</v>
      </c>
      <c r="Y286">
        <v>3</v>
      </c>
      <c r="Z286">
        <v>11</v>
      </c>
      <c r="AA286">
        <v>2.5454539999999999</v>
      </c>
      <c r="AB286">
        <v>28</v>
      </c>
      <c r="AC286" t="s">
        <v>70</v>
      </c>
      <c r="AD286" t="s">
        <v>60</v>
      </c>
      <c r="AE286">
        <v>2</v>
      </c>
      <c r="AF286">
        <v>0</v>
      </c>
      <c r="AG286">
        <v>1</v>
      </c>
      <c r="AH286">
        <v>2</v>
      </c>
      <c r="AI286">
        <v>0</v>
      </c>
      <c r="AJ286">
        <v>3</v>
      </c>
      <c r="AK286">
        <v>1</v>
      </c>
      <c r="AL286">
        <v>0</v>
      </c>
      <c r="AM286">
        <v>1</v>
      </c>
      <c r="AN286">
        <v>1</v>
      </c>
      <c r="AO286">
        <v>10</v>
      </c>
      <c r="AP286">
        <v>1</v>
      </c>
      <c r="AQ286">
        <v>90.909090909089997</v>
      </c>
      <c r="AR286" s="2">
        <v>45723.659513888888</v>
      </c>
      <c r="AS286" s="2">
        <v>46049.665439814817</v>
      </c>
      <c r="AT286" t="s">
        <v>61</v>
      </c>
      <c r="AU286" t="s">
        <v>62</v>
      </c>
      <c r="AV286">
        <v>326</v>
      </c>
    </row>
    <row r="287" spans="1:48" x14ac:dyDescent="0.25">
      <c r="A287">
        <v>503</v>
      </c>
      <c r="B287" t="s">
        <v>1310</v>
      </c>
      <c r="C287" t="s">
        <v>686</v>
      </c>
      <c r="D287" t="s">
        <v>576</v>
      </c>
      <c r="E287" t="s">
        <v>1311</v>
      </c>
      <c r="F287" t="s">
        <v>1312</v>
      </c>
      <c r="G287" t="s">
        <v>53</v>
      </c>
      <c r="H287" s="1">
        <v>36194</v>
      </c>
      <c r="I287">
        <v>27</v>
      </c>
      <c r="J287">
        <v>1999</v>
      </c>
      <c r="K287" s="1">
        <v>45499</v>
      </c>
      <c r="L287">
        <v>2024</v>
      </c>
      <c r="M287" t="s">
        <v>225</v>
      </c>
      <c r="N287">
        <v>1</v>
      </c>
      <c r="O287" t="s">
        <v>157</v>
      </c>
      <c r="P287" t="s">
        <v>119</v>
      </c>
      <c r="Q287">
        <v>120</v>
      </c>
      <c r="R287">
        <v>1</v>
      </c>
      <c r="S287" t="s">
        <v>57</v>
      </c>
      <c r="T287" t="s">
        <v>58</v>
      </c>
      <c r="U287">
        <v>11</v>
      </c>
      <c r="V287">
        <v>11</v>
      </c>
      <c r="W287">
        <v>11</v>
      </c>
      <c r="X287">
        <v>9</v>
      </c>
      <c r="Y287">
        <v>3</v>
      </c>
      <c r="Z287">
        <v>9</v>
      </c>
      <c r="AA287">
        <v>2.3333330000000001</v>
      </c>
      <c r="AB287">
        <v>21</v>
      </c>
      <c r="AC287" t="s">
        <v>70</v>
      </c>
      <c r="AD287" t="s">
        <v>60</v>
      </c>
      <c r="AE287">
        <v>1</v>
      </c>
      <c r="AF287">
        <v>0</v>
      </c>
      <c r="AG287">
        <v>3</v>
      </c>
      <c r="AH287">
        <v>1</v>
      </c>
      <c r="AI287">
        <v>0</v>
      </c>
      <c r="AJ287">
        <v>1</v>
      </c>
      <c r="AK287">
        <v>0</v>
      </c>
      <c r="AL287">
        <v>0</v>
      </c>
      <c r="AM287">
        <v>1</v>
      </c>
      <c r="AN287">
        <v>2</v>
      </c>
      <c r="AO287">
        <v>7</v>
      </c>
      <c r="AP287">
        <v>2</v>
      </c>
      <c r="AQ287">
        <v>77.777777777777004</v>
      </c>
      <c r="AR287" s="2">
        <v>45727.722048611111</v>
      </c>
      <c r="AS287" s="2">
        <v>46085.054212962961</v>
      </c>
      <c r="AT287" t="s">
        <v>61</v>
      </c>
      <c r="AU287" t="s">
        <v>62</v>
      </c>
      <c r="AV287">
        <v>358</v>
      </c>
    </row>
    <row r="288" spans="1:48" x14ac:dyDescent="0.25">
      <c r="A288">
        <v>373</v>
      </c>
      <c r="B288" t="s">
        <v>1313</v>
      </c>
      <c r="C288" t="s">
        <v>238</v>
      </c>
      <c r="D288" t="s">
        <v>1314</v>
      </c>
      <c r="E288" t="s">
        <v>1315</v>
      </c>
      <c r="F288">
        <f>1-347-895-1371</f>
        <v>-2612</v>
      </c>
      <c r="G288" t="s">
        <v>104</v>
      </c>
      <c r="H288" s="1">
        <v>39027</v>
      </c>
      <c r="I288">
        <v>20</v>
      </c>
      <c r="J288">
        <v>2006</v>
      </c>
      <c r="K288" s="1">
        <v>45046</v>
      </c>
      <c r="L288">
        <v>2023</v>
      </c>
      <c r="M288" t="s">
        <v>111</v>
      </c>
      <c r="N288">
        <v>16</v>
      </c>
      <c r="O288" t="s">
        <v>280</v>
      </c>
      <c r="P288" t="s">
        <v>119</v>
      </c>
      <c r="Q288">
        <v>120</v>
      </c>
      <c r="R288">
        <v>6</v>
      </c>
      <c r="S288" t="s">
        <v>140</v>
      </c>
      <c r="T288" t="s">
        <v>141</v>
      </c>
      <c r="U288">
        <v>10</v>
      </c>
      <c r="V288">
        <v>11</v>
      </c>
      <c r="W288">
        <v>11</v>
      </c>
      <c r="X288">
        <v>11</v>
      </c>
      <c r="Y288">
        <v>3</v>
      </c>
      <c r="Z288">
        <v>7</v>
      </c>
      <c r="AA288">
        <v>1.5</v>
      </c>
      <c r="AB288">
        <v>10.5</v>
      </c>
      <c r="AC288" t="s">
        <v>70</v>
      </c>
      <c r="AD288" t="s">
        <v>60</v>
      </c>
      <c r="AE288">
        <v>1</v>
      </c>
      <c r="AF288">
        <v>0</v>
      </c>
      <c r="AG288">
        <v>1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4</v>
      </c>
      <c r="AO288">
        <v>3</v>
      </c>
      <c r="AP288">
        <v>4</v>
      </c>
      <c r="AQ288">
        <v>42.857142857142001</v>
      </c>
      <c r="AR288" s="2">
        <v>45744.730173611111</v>
      </c>
      <c r="AS288" s="2">
        <v>46012.039780092593</v>
      </c>
      <c r="AT288" t="s">
        <v>61</v>
      </c>
      <c r="AU288" t="s">
        <v>62</v>
      </c>
      <c r="AV288">
        <v>268</v>
      </c>
    </row>
    <row r="289" spans="1:48" x14ac:dyDescent="0.25">
      <c r="A289">
        <v>149</v>
      </c>
      <c r="B289" t="s">
        <v>1316</v>
      </c>
      <c r="C289" t="s">
        <v>842</v>
      </c>
      <c r="D289" t="s">
        <v>1317</v>
      </c>
      <c r="E289" t="s">
        <v>1318</v>
      </c>
      <c r="F289" t="s">
        <v>1319</v>
      </c>
      <c r="G289" t="s">
        <v>104</v>
      </c>
      <c r="H289" s="1">
        <v>38372</v>
      </c>
      <c r="I289">
        <v>21</v>
      </c>
      <c r="J289">
        <v>2005</v>
      </c>
      <c r="K289" s="1">
        <v>45269</v>
      </c>
      <c r="L289">
        <v>2023</v>
      </c>
      <c r="M289" t="s">
        <v>54</v>
      </c>
      <c r="N289">
        <v>16</v>
      </c>
      <c r="O289" t="s">
        <v>280</v>
      </c>
      <c r="P289" t="s">
        <v>119</v>
      </c>
      <c r="Q289">
        <v>120</v>
      </c>
      <c r="R289">
        <v>6</v>
      </c>
      <c r="S289" t="s">
        <v>140</v>
      </c>
      <c r="T289" t="s">
        <v>141</v>
      </c>
      <c r="U289">
        <v>10</v>
      </c>
      <c r="V289">
        <v>11</v>
      </c>
      <c r="W289">
        <v>11</v>
      </c>
      <c r="X289">
        <v>8</v>
      </c>
      <c r="Y289">
        <v>3</v>
      </c>
      <c r="Z289">
        <v>9</v>
      </c>
      <c r="AA289">
        <v>2.2222219999999999</v>
      </c>
      <c r="AB289">
        <v>20</v>
      </c>
      <c r="AC289" t="s">
        <v>70</v>
      </c>
      <c r="AD289" t="s">
        <v>60</v>
      </c>
      <c r="AE289">
        <v>2</v>
      </c>
      <c r="AF289">
        <v>0</v>
      </c>
      <c r="AG289">
        <v>1</v>
      </c>
      <c r="AH289">
        <v>1</v>
      </c>
      <c r="AI289">
        <v>0</v>
      </c>
      <c r="AJ289">
        <v>1</v>
      </c>
      <c r="AK289">
        <v>1</v>
      </c>
      <c r="AL289">
        <v>0</v>
      </c>
      <c r="AM289">
        <v>1</v>
      </c>
      <c r="AN289">
        <v>2</v>
      </c>
      <c r="AO289">
        <v>7</v>
      </c>
      <c r="AP289">
        <v>2</v>
      </c>
      <c r="AQ289">
        <v>77.777777777777004</v>
      </c>
      <c r="AR289" s="2">
        <v>45759.062013888892</v>
      </c>
      <c r="AS289" s="2">
        <v>46081.250138888892</v>
      </c>
      <c r="AT289" t="s">
        <v>61</v>
      </c>
      <c r="AU289" t="s">
        <v>62</v>
      </c>
      <c r="AV289">
        <v>322</v>
      </c>
    </row>
    <row r="290" spans="1:48" x14ac:dyDescent="0.25">
      <c r="A290">
        <v>419</v>
      </c>
      <c r="B290" t="s">
        <v>1320</v>
      </c>
      <c r="C290" t="s">
        <v>1321</v>
      </c>
      <c r="D290" t="s">
        <v>253</v>
      </c>
      <c r="E290" t="s">
        <v>1322</v>
      </c>
      <c r="F290" t="s">
        <v>1323</v>
      </c>
      <c r="G290" t="s">
        <v>53</v>
      </c>
      <c r="H290" s="1">
        <v>36811</v>
      </c>
      <c r="I290">
        <v>26</v>
      </c>
      <c r="J290">
        <v>2000</v>
      </c>
      <c r="K290" s="1">
        <v>44926</v>
      </c>
      <c r="L290">
        <v>2022</v>
      </c>
      <c r="M290" t="s">
        <v>111</v>
      </c>
      <c r="N290">
        <v>9</v>
      </c>
      <c r="O290" t="s">
        <v>151</v>
      </c>
      <c r="P290" t="s">
        <v>69</v>
      </c>
      <c r="Q290">
        <v>60</v>
      </c>
      <c r="R290">
        <v>3</v>
      </c>
      <c r="S290" t="s">
        <v>126</v>
      </c>
      <c r="T290" t="s">
        <v>127</v>
      </c>
      <c r="U290">
        <v>11</v>
      </c>
      <c r="V290">
        <v>11</v>
      </c>
      <c r="W290">
        <v>11</v>
      </c>
      <c r="X290">
        <v>10</v>
      </c>
      <c r="Y290">
        <v>3</v>
      </c>
      <c r="Z290">
        <v>8</v>
      </c>
      <c r="AA290">
        <v>2.4375</v>
      </c>
      <c r="AB290">
        <v>19.5</v>
      </c>
      <c r="AC290" t="s">
        <v>70</v>
      </c>
      <c r="AD290" t="s">
        <v>60</v>
      </c>
      <c r="AE290">
        <v>1</v>
      </c>
      <c r="AF290">
        <v>0</v>
      </c>
      <c r="AG290">
        <v>0</v>
      </c>
      <c r="AH290">
        <v>4</v>
      </c>
      <c r="AI290">
        <v>0</v>
      </c>
      <c r="AJ290">
        <v>1</v>
      </c>
      <c r="AK290">
        <v>0</v>
      </c>
      <c r="AL290">
        <v>0</v>
      </c>
      <c r="AM290">
        <v>1</v>
      </c>
      <c r="AN290">
        <v>1</v>
      </c>
      <c r="AO290">
        <v>7</v>
      </c>
      <c r="AP290">
        <v>1</v>
      </c>
      <c r="AQ290">
        <v>87.5</v>
      </c>
      <c r="AR290" s="2">
        <v>45751.736226851855</v>
      </c>
      <c r="AS290" s="2">
        <v>46009.000115740739</v>
      </c>
      <c r="AT290" t="s">
        <v>61</v>
      </c>
      <c r="AU290" t="s">
        <v>62</v>
      </c>
      <c r="AV290">
        <v>258</v>
      </c>
    </row>
    <row r="291" spans="1:48" x14ac:dyDescent="0.25">
      <c r="A291">
        <v>838</v>
      </c>
      <c r="B291" t="s">
        <v>1324</v>
      </c>
      <c r="C291" t="s">
        <v>374</v>
      </c>
      <c r="D291" t="s">
        <v>410</v>
      </c>
      <c r="E291" t="s">
        <v>1325</v>
      </c>
      <c r="F291" t="s">
        <v>1326</v>
      </c>
      <c r="G291" t="s">
        <v>53</v>
      </c>
      <c r="H291" s="1">
        <v>38031</v>
      </c>
      <c r="I291">
        <v>22</v>
      </c>
      <c r="J291">
        <v>2004</v>
      </c>
      <c r="K291" s="1">
        <v>45954</v>
      </c>
      <c r="L291">
        <v>2025</v>
      </c>
      <c r="M291" t="s">
        <v>54</v>
      </c>
      <c r="N291">
        <v>1</v>
      </c>
      <c r="O291" t="s">
        <v>157</v>
      </c>
      <c r="P291" t="s">
        <v>119</v>
      </c>
      <c r="Q291">
        <v>120</v>
      </c>
      <c r="R291">
        <v>1</v>
      </c>
      <c r="S291" t="s">
        <v>57</v>
      </c>
      <c r="T291" t="s">
        <v>58</v>
      </c>
      <c r="U291">
        <v>11</v>
      </c>
      <c r="V291">
        <v>11</v>
      </c>
      <c r="W291">
        <v>11</v>
      </c>
      <c r="X291">
        <v>8</v>
      </c>
      <c r="Y291">
        <v>3</v>
      </c>
      <c r="Z291">
        <v>9</v>
      </c>
      <c r="AA291">
        <v>2.8333330000000001</v>
      </c>
      <c r="AB291">
        <v>25.5</v>
      </c>
      <c r="AC291" t="s">
        <v>540</v>
      </c>
      <c r="AD291" t="s">
        <v>60</v>
      </c>
      <c r="AE291">
        <v>1</v>
      </c>
      <c r="AF291">
        <v>0</v>
      </c>
      <c r="AG291">
        <v>1</v>
      </c>
      <c r="AH291">
        <v>3</v>
      </c>
      <c r="AI291">
        <v>0</v>
      </c>
      <c r="AJ291">
        <v>2</v>
      </c>
      <c r="AK291">
        <v>2</v>
      </c>
      <c r="AL291">
        <v>0</v>
      </c>
      <c r="AM291">
        <v>0</v>
      </c>
      <c r="AN291">
        <v>0</v>
      </c>
      <c r="AO291">
        <v>9</v>
      </c>
      <c r="AP291">
        <v>0</v>
      </c>
      <c r="AQ291">
        <v>100</v>
      </c>
      <c r="AR291" s="2">
        <v>45779.867407407408</v>
      </c>
      <c r="AS291" s="2">
        <v>46066.484502314815</v>
      </c>
      <c r="AT291" t="s">
        <v>61</v>
      </c>
      <c r="AU291" t="s">
        <v>62</v>
      </c>
      <c r="AV291">
        <v>287</v>
      </c>
    </row>
    <row r="292" spans="1:48" x14ac:dyDescent="0.25">
      <c r="A292">
        <v>567</v>
      </c>
      <c r="B292" t="s">
        <v>1327</v>
      </c>
      <c r="C292" t="s">
        <v>1328</v>
      </c>
      <c r="D292" t="s">
        <v>1329</v>
      </c>
      <c r="E292" t="s">
        <v>1330</v>
      </c>
      <c r="F292" t="s">
        <v>1331</v>
      </c>
      <c r="G292" t="s">
        <v>104</v>
      </c>
      <c r="H292" s="1">
        <v>37344</v>
      </c>
      <c r="I292">
        <v>24</v>
      </c>
      <c r="J292">
        <v>2002</v>
      </c>
      <c r="K292" s="1">
        <v>45015</v>
      </c>
      <c r="L292">
        <v>2023</v>
      </c>
      <c r="M292" t="s">
        <v>54</v>
      </c>
      <c r="N292">
        <v>11</v>
      </c>
      <c r="O292" t="s">
        <v>378</v>
      </c>
      <c r="P292" t="s">
        <v>56</v>
      </c>
      <c r="Q292">
        <v>36</v>
      </c>
      <c r="R292">
        <v>4</v>
      </c>
      <c r="S292" t="s">
        <v>77</v>
      </c>
      <c r="T292" t="s">
        <v>78</v>
      </c>
      <c r="U292">
        <v>11</v>
      </c>
      <c r="V292">
        <v>11</v>
      </c>
      <c r="W292">
        <v>11</v>
      </c>
      <c r="X292">
        <v>10</v>
      </c>
      <c r="Y292">
        <v>3</v>
      </c>
      <c r="Z292">
        <v>9</v>
      </c>
      <c r="AA292">
        <v>2.4444439999999998</v>
      </c>
      <c r="AB292">
        <v>22</v>
      </c>
      <c r="AC292" t="s">
        <v>70</v>
      </c>
      <c r="AD292" t="s">
        <v>60</v>
      </c>
      <c r="AE292">
        <v>1</v>
      </c>
      <c r="AF292">
        <v>0</v>
      </c>
      <c r="AG292">
        <v>3</v>
      </c>
      <c r="AH292">
        <v>1</v>
      </c>
      <c r="AI292">
        <v>0</v>
      </c>
      <c r="AJ292">
        <v>1</v>
      </c>
      <c r="AK292">
        <v>1</v>
      </c>
      <c r="AL292">
        <v>0</v>
      </c>
      <c r="AM292">
        <v>0</v>
      </c>
      <c r="AN292">
        <v>2</v>
      </c>
      <c r="AO292">
        <v>7</v>
      </c>
      <c r="AP292">
        <v>2</v>
      </c>
      <c r="AQ292">
        <v>77.777777777777004</v>
      </c>
      <c r="AR292" s="2">
        <v>45771.903784722221</v>
      </c>
      <c r="AS292" s="2">
        <v>46074.516793981478</v>
      </c>
      <c r="AT292" t="s">
        <v>61</v>
      </c>
      <c r="AU292" t="s">
        <v>62</v>
      </c>
      <c r="AV292">
        <v>303</v>
      </c>
    </row>
    <row r="293" spans="1:48" x14ac:dyDescent="0.25">
      <c r="A293">
        <v>752</v>
      </c>
      <c r="B293" t="s">
        <v>1332</v>
      </c>
      <c r="C293" t="s">
        <v>1333</v>
      </c>
      <c r="D293" t="s">
        <v>415</v>
      </c>
      <c r="E293" t="s">
        <v>1334</v>
      </c>
      <c r="F293" t="s">
        <v>1335</v>
      </c>
      <c r="G293" t="s">
        <v>53</v>
      </c>
      <c r="H293" s="1">
        <v>38830</v>
      </c>
      <c r="I293">
        <v>20</v>
      </c>
      <c r="J293">
        <v>2006</v>
      </c>
      <c r="K293" s="1">
        <v>44781</v>
      </c>
      <c r="L293">
        <v>2022</v>
      </c>
      <c r="M293" t="s">
        <v>54</v>
      </c>
      <c r="N293">
        <v>10</v>
      </c>
      <c r="O293" t="s">
        <v>118</v>
      </c>
      <c r="P293" t="s">
        <v>119</v>
      </c>
      <c r="Q293">
        <v>120</v>
      </c>
      <c r="R293">
        <v>4</v>
      </c>
      <c r="S293" t="s">
        <v>77</v>
      </c>
      <c r="T293" t="s">
        <v>78</v>
      </c>
      <c r="U293">
        <v>11</v>
      </c>
      <c r="V293">
        <v>11</v>
      </c>
      <c r="W293">
        <v>11</v>
      </c>
      <c r="X293">
        <v>10</v>
      </c>
      <c r="Y293">
        <v>3</v>
      </c>
      <c r="Z293">
        <v>9</v>
      </c>
      <c r="AA293">
        <v>2.2777769999999999</v>
      </c>
      <c r="AB293">
        <v>20.5</v>
      </c>
      <c r="AC293" t="s">
        <v>70</v>
      </c>
      <c r="AD293" t="s">
        <v>60</v>
      </c>
      <c r="AE293">
        <v>3</v>
      </c>
      <c r="AF293">
        <v>0</v>
      </c>
      <c r="AG293">
        <v>0</v>
      </c>
      <c r="AH293">
        <v>1</v>
      </c>
      <c r="AI293">
        <v>0</v>
      </c>
      <c r="AJ293">
        <v>1</v>
      </c>
      <c r="AK293">
        <v>1</v>
      </c>
      <c r="AL293">
        <v>0</v>
      </c>
      <c r="AM293">
        <v>1</v>
      </c>
      <c r="AN293">
        <v>2</v>
      </c>
      <c r="AO293">
        <v>7</v>
      </c>
      <c r="AP293">
        <v>2</v>
      </c>
      <c r="AQ293">
        <v>77.777777777777004</v>
      </c>
      <c r="AR293" s="2">
        <v>45799.824525462966</v>
      </c>
      <c r="AS293" s="2">
        <v>46073.614178240743</v>
      </c>
      <c r="AT293" t="s">
        <v>61</v>
      </c>
      <c r="AU293" t="s">
        <v>62</v>
      </c>
      <c r="AV293">
        <v>274</v>
      </c>
    </row>
    <row r="294" spans="1:48" x14ac:dyDescent="0.25">
      <c r="A294">
        <v>894</v>
      </c>
      <c r="B294" t="s">
        <v>1336</v>
      </c>
      <c r="C294" t="s">
        <v>873</v>
      </c>
      <c r="D294" t="s">
        <v>562</v>
      </c>
      <c r="E294" t="s">
        <v>1337</v>
      </c>
      <c r="F294" t="s">
        <v>1338</v>
      </c>
      <c r="G294" t="s">
        <v>53</v>
      </c>
      <c r="H294" s="1">
        <v>36923</v>
      </c>
      <c r="I294">
        <v>25</v>
      </c>
      <c r="J294">
        <v>2001</v>
      </c>
      <c r="K294" s="1">
        <v>45662</v>
      </c>
      <c r="L294">
        <v>2025</v>
      </c>
      <c r="M294" t="s">
        <v>54</v>
      </c>
      <c r="N294">
        <v>13</v>
      </c>
      <c r="O294" t="s">
        <v>146</v>
      </c>
      <c r="P294" t="s">
        <v>119</v>
      </c>
      <c r="Q294">
        <v>120</v>
      </c>
      <c r="R294">
        <v>5</v>
      </c>
      <c r="S294" t="s">
        <v>92</v>
      </c>
      <c r="T294" t="s">
        <v>93</v>
      </c>
      <c r="U294">
        <v>11</v>
      </c>
      <c r="V294">
        <v>11</v>
      </c>
      <c r="W294">
        <v>11</v>
      </c>
      <c r="X294">
        <v>10</v>
      </c>
      <c r="Y294">
        <v>3</v>
      </c>
      <c r="Z294">
        <v>9</v>
      </c>
      <c r="AA294">
        <v>2.555555</v>
      </c>
      <c r="AB294">
        <v>23</v>
      </c>
      <c r="AC294" t="s">
        <v>70</v>
      </c>
      <c r="AD294" t="s">
        <v>60</v>
      </c>
      <c r="AE294">
        <v>1</v>
      </c>
      <c r="AF294">
        <v>0</v>
      </c>
      <c r="AG294">
        <v>2</v>
      </c>
      <c r="AH294">
        <v>0</v>
      </c>
      <c r="AI294">
        <v>0</v>
      </c>
      <c r="AJ294">
        <v>4</v>
      </c>
      <c r="AK294">
        <v>1</v>
      </c>
      <c r="AL294">
        <v>0</v>
      </c>
      <c r="AM294">
        <v>0</v>
      </c>
      <c r="AN294">
        <v>1</v>
      </c>
      <c r="AO294">
        <v>8</v>
      </c>
      <c r="AP294">
        <v>1</v>
      </c>
      <c r="AQ294">
        <v>88.888888888888005</v>
      </c>
      <c r="AR294" s="2">
        <v>45761.137094907404</v>
      </c>
      <c r="AS294" s="2">
        <v>46083.501666666663</v>
      </c>
      <c r="AT294" t="s">
        <v>61</v>
      </c>
      <c r="AU294" t="s">
        <v>62</v>
      </c>
      <c r="AV294">
        <v>322</v>
      </c>
    </row>
    <row r="295" spans="1:48" x14ac:dyDescent="0.25">
      <c r="A295">
        <v>994</v>
      </c>
      <c r="B295" t="s">
        <v>1339</v>
      </c>
      <c r="C295" t="s">
        <v>153</v>
      </c>
      <c r="D295" t="s">
        <v>636</v>
      </c>
      <c r="E295" t="s">
        <v>1340</v>
      </c>
      <c r="F295" t="s">
        <v>1341</v>
      </c>
      <c r="G295" t="s">
        <v>104</v>
      </c>
      <c r="H295" s="1">
        <v>35249</v>
      </c>
      <c r="I295">
        <v>30</v>
      </c>
      <c r="J295">
        <v>1996</v>
      </c>
      <c r="K295" s="1">
        <v>44907</v>
      </c>
      <c r="L295">
        <v>2022</v>
      </c>
      <c r="M295" t="s">
        <v>54</v>
      </c>
      <c r="N295">
        <v>5</v>
      </c>
      <c r="O295" t="s">
        <v>84</v>
      </c>
      <c r="P295" t="s">
        <v>56</v>
      </c>
      <c r="Q295">
        <v>36</v>
      </c>
      <c r="R295">
        <v>2</v>
      </c>
      <c r="S295" t="s">
        <v>85</v>
      </c>
      <c r="T295" t="s">
        <v>86</v>
      </c>
      <c r="U295">
        <v>11</v>
      </c>
      <c r="V295">
        <v>11</v>
      </c>
      <c r="W295">
        <v>11</v>
      </c>
      <c r="X295">
        <v>10</v>
      </c>
      <c r="Y295">
        <v>3</v>
      </c>
      <c r="Z295">
        <v>9</v>
      </c>
      <c r="AA295">
        <v>2.2777769999999999</v>
      </c>
      <c r="AB295">
        <v>20.5</v>
      </c>
      <c r="AC295" t="s">
        <v>70</v>
      </c>
      <c r="AD295" t="s">
        <v>60</v>
      </c>
      <c r="AE295">
        <v>1</v>
      </c>
      <c r="AF295">
        <v>0</v>
      </c>
      <c r="AG295">
        <v>2</v>
      </c>
      <c r="AH295">
        <v>1</v>
      </c>
      <c r="AI295">
        <v>0</v>
      </c>
      <c r="AJ295">
        <v>1</v>
      </c>
      <c r="AK295">
        <v>1</v>
      </c>
      <c r="AL295">
        <v>0</v>
      </c>
      <c r="AM295">
        <v>2</v>
      </c>
      <c r="AN295">
        <v>1</v>
      </c>
      <c r="AO295">
        <v>8</v>
      </c>
      <c r="AP295">
        <v>1</v>
      </c>
      <c r="AQ295">
        <v>88.888888888888005</v>
      </c>
      <c r="AR295" s="2">
        <v>45725.759039351855</v>
      </c>
      <c r="AS295" s="2">
        <v>46058.183009259257</v>
      </c>
      <c r="AT295" t="s">
        <v>61</v>
      </c>
      <c r="AU295" t="s">
        <v>62</v>
      </c>
      <c r="AV295">
        <v>333</v>
      </c>
    </row>
    <row r="296" spans="1:48" x14ac:dyDescent="0.25">
      <c r="A296">
        <v>329</v>
      </c>
      <c r="B296" t="s">
        <v>1342</v>
      </c>
      <c r="C296" t="s">
        <v>390</v>
      </c>
      <c r="D296" t="s">
        <v>936</v>
      </c>
      <c r="E296" t="s">
        <v>1343</v>
      </c>
      <c r="F296" t="s">
        <v>1344</v>
      </c>
      <c r="G296" t="s">
        <v>53</v>
      </c>
      <c r="H296" s="1">
        <v>35224</v>
      </c>
      <c r="I296">
        <v>30</v>
      </c>
      <c r="J296">
        <v>1996</v>
      </c>
      <c r="K296" s="1">
        <v>45078</v>
      </c>
      <c r="L296">
        <v>2023</v>
      </c>
      <c r="M296" t="s">
        <v>54</v>
      </c>
      <c r="N296">
        <v>12</v>
      </c>
      <c r="O296" t="s">
        <v>76</v>
      </c>
      <c r="P296" t="s">
        <v>69</v>
      </c>
      <c r="Q296">
        <v>60</v>
      </c>
      <c r="R296">
        <v>4</v>
      </c>
      <c r="S296" t="s">
        <v>77</v>
      </c>
      <c r="T296" t="s">
        <v>78</v>
      </c>
      <c r="U296">
        <v>10</v>
      </c>
      <c r="V296">
        <v>11</v>
      </c>
      <c r="W296">
        <v>11</v>
      </c>
      <c r="X296">
        <v>11</v>
      </c>
      <c r="Y296">
        <v>3</v>
      </c>
      <c r="Z296">
        <v>10</v>
      </c>
      <c r="AA296">
        <v>2.35</v>
      </c>
      <c r="AB296">
        <v>23.5</v>
      </c>
      <c r="AC296" t="s">
        <v>70</v>
      </c>
      <c r="AD296" t="s">
        <v>60</v>
      </c>
      <c r="AE296">
        <v>2</v>
      </c>
      <c r="AF296">
        <v>0</v>
      </c>
      <c r="AG296">
        <v>1</v>
      </c>
      <c r="AH296">
        <v>2</v>
      </c>
      <c r="AI296">
        <v>0</v>
      </c>
      <c r="AJ296">
        <v>2</v>
      </c>
      <c r="AK296">
        <v>0</v>
      </c>
      <c r="AL296">
        <v>0</v>
      </c>
      <c r="AM296">
        <v>1</v>
      </c>
      <c r="AN296">
        <v>2</v>
      </c>
      <c r="AO296">
        <v>8</v>
      </c>
      <c r="AP296">
        <v>2</v>
      </c>
      <c r="AQ296">
        <v>80</v>
      </c>
      <c r="AR296" s="2">
        <v>45744.893599537034</v>
      </c>
      <c r="AS296" s="2">
        <v>46071.729351851849</v>
      </c>
      <c r="AT296" t="s">
        <v>61</v>
      </c>
      <c r="AU296" t="s">
        <v>62</v>
      </c>
      <c r="AV296">
        <v>327</v>
      </c>
    </row>
    <row r="297" spans="1:48" x14ac:dyDescent="0.25">
      <c r="A297">
        <v>637</v>
      </c>
      <c r="B297" t="s">
        <v>1345</v>
      </c>
      <c r="C297" t="s">
        <v>1346</v>
      </c>
      <c r="D297" t="s">
        <v>1188</v>
      </c>
      <c r="E297" t="s">
        <v>1347</v>
      </c>
      <c r="F297">
        <f>1-449-479-1620</f>
        <v>-2547</v>
      </c>
      <c r="G297" t="s">
        <v>53</v>
      </c>
      <c r="H297" s="1">
        <v>38650</v>
      </c>
      <c r="I297">
        <v>21</v>
      </c>
      <c r="J297">
        <v>2005</v>
      </c>
      <c r="K297" s="1">
        <v>45585</v>
      </c>
      <c r="L297">
        <v>2024</v>
      </c>
      <c r="M297" t="s">
        <v>54</v>
      </c>
      <c r="N297">
        <v>14</v>
      </c>
      <c r="O297" t="s">
        <v>105</v>
      </c>
      <c r="P297" t="s">
        <v>56</v>
      </c>
      <c r="Q297">
        <v>36</v>
      </c>
      <c r="R297">
        <v>5</v>
      </c>
      <c r="S297" t="s">
        <v>92</v>
      </c>
      <c r="T297" t="s">
        <v>93</v>
      </c>
      <c r="U297">
        <v>10</v>
      </c>
      <c r="V297">
        <v>11</v>
      </c>
      <c r="W297">
        <v>11</v>
      </c>
      <c r="X297">
        <v>9</v>
      </c>
      <c r="Y297">
        <v>3</v>
      </c>
      <c r="Z297">
        <v>10</v>
      </c>
      <c r="AA297">
        <v>1.95</v>
      </c>
      <c r="AB297">
        <v>19.5</v>
      </c>
      <c r="AC297" t="s">
        <v>70</v>
      </c>
      <c r="AD297" t="s">
        <v>60</v>
      </c>
      <c r="AE297">
        <v>2</v>
      </c>
      <c r="AF297">
        <v>0</v>
      </c>
      <c r="AG297">
        <v>1</v>
      </c>
      <c r="AH297">
        <v>0</v>
      </c>
      <c r="AI297">
        <v>0</v>
      </c>
      <c r="AJ297">
        <v>2</v>
      </c>
      <c r="AK297">
        <v>0</v>
      </c>
      <c r="AL297">
        <v>0</v>
      </c>
      <c r="AM297">
        <v>3</v>
      </c>
      <c r="AN297">
        <v>2</v>
      </c>
      <c r="AO297">
        <v>8</v>
      </c>
      <c r="AP297">
        <v>2</v>
      </c>
      <c r="AQ297">
        <v>80</v>
      </c>
      <c r="AR297" s="2">
        <v>45806.775763888887</v>
      </c>
      <c r="AS297" s="2">
        <v>46042.220497685186</v>
      </c>
      <c r="AT297" t="s">
        <v>61</v>
      </c>
      <c r="AU297" t="s">
        <v>62</v>
      </c>
      <c r="AV297">
        <v>236</v>
      </c>
    </row>
    <row r="298" spans="1:48" x14ac:dyDescent="0.25">
      <c r="A298">
        <v>421</v>
      </c>
      <c r="B298" t="s">
        <v>1348</v>
      </c>
      <c r="C298" t="s">
        <v>1349</v>
      </c>
      <c r="D298" t="s">
        <v>1350</v>
      </c>
      <c r="E298" t="s">
        <v>1351</v>
      </c>
      <c r="F298" t="s">
        <v>1352</v>
      </c>
      <c r="G298" t="s">
        <v>53</v>
      </c>
      <c r="H298" s="1">
        <v>39496</v>
      </c>
      <c r="I298">
        <v>18</v>
      </c>
      <c r="J298">
        <v>2008</v>
      </c>
      <c r="K298" s="1">
        <v>45997</v>
      </c>
      <c r="L298">
        <v>2025</v>
      </c>
      <c r="M298" t="s">
        <v>54</v>
      </c>
      <c r="N298">
        <v>6</v>
      </c>
      <c r="O298" t="s">
        <v>133</v>
      </c>
      <c r="P298" t="s">
        <v>69</v>
      </c>
      <c r="Q298">
        <v>60</v>
      </c>
      <c r="R298">
        <v>2</v>
      </c>
      <c r="S298" t="s">
        <v>85</v>
      </c>
      <c r="T298" t="s">
        <v>86</v>
      </c>
      <c r="U298">
        <v>10</v>
      </c>
      <c r="V298">
        <v>10</v>
      </c>
      <c r="W298">
        <v>10</v>
      </c>
      <c r="X298">
        <v>10</v>
      </c>
      <c r="Y298">
        <v>3</v>
      </c>
      <c r="Z298">
        <v>9</v>
      </c>
      <c r="AA298">
        <v>1.5</v>
      </c>
      <c r="AB298">
        <v>13.5</v>
      </c>
      <c r="AC298" t="s">
        <v>70</v>
      </c>
      <c r="AD298" t="s">
        <v>60</v>
      </c>
      <c r="AE298">
        <v>1</v>
      </c>
      <c r="AF298">
        <v>0</v>
      </c>
      <c r="AG298">
        <v>0</v>
      </c>
      <c r="AH298">
        <v>1</v>
      </c>
      <c r="AI298">
        <v>0</v>
      </c>
      <c r="AJ298">
        <v>1</v>
      </c>
      <c r="AK298">
        <v>0</v>
      </c>
      <c r="AL298">
        <v>0</v>
      </c>
      <c r="AM298">
        <v>4</v>
      </c>
      <c r="AN298">
        <v>2</v>
      </c>
      <c r="AO298">
        <v>7</v>
      </c>
      <c r="AP298">
        <v>2</v>
      </c>
      <c r="AQ298">
        <v>77.777777777777004</v>
      </c>
      <c r="AR298" s="2">
        <v>45724.889907407407</v>
      </c>
      <c r="AS298" s="2">
        <v>46023.498171296298</v>
      </c>
      <c r="AT298" t="s">
        <v>61</v>
      </c>
      <c r="AU298" t="s">
        <v>62</v>
      </c>
      <c r="AV298">
        <v>299</v>
      </c>
    </row>
    <row r="299" spans="1:48" x14ac:dyDescent="0.25">
      <c r="A299">
        <v>346</v>
      </c>
      <c r="B299" t="s">
        <v>1353</v>
      </c>
      <c r="C299" t="s">
        <v>627</v>
      </c>
      <c r="D299" t="s">
        <v>1354</v>
      </c>
      <c r="E299" t="s">
        <v>1355</v>
      </c>
      <c r="F299" t="s">
        <v>1356</v>
      </c>
      <c r="G299" t="s">
        <v>104</v>
      </c>
      <c r="H299" s="1">
        <v>38434</v>
      </c>
      <c r="I299">
        <v>21</v>
      </c>
      <c r="J299">
        <v>2005</v>
      </c>
      <c r="K299" s="1">
        <v>45719</v>
      </c>
      <c r="L299">
        <v>2025</v>
      </c>
      <c r="M299" t="s">
        <v>54</v>
      </c>
      <c r="N299">
        <v>4</v>
      </c>
      <c r="O299" t="s">
        <v>215</v>
      </c>
      <c r="P299" t="s">
        <v>119</v>
      </c>
      <c r="Q299">
        <v>120</v>
      </c>
      <c r="R299">
        <v>2</v>
      </c>
      <c r="S299" t="s">
        <v>85</v>
      </c>
      <c r="T299" t="s">
        <v>86</v>
      </c>
      <c r="U299">
        <v>9</v>
      </c>
      <c r="V299">
        <v>10</v>
      </c>
      <c r="W299">
        <v>10</v>
      </c>
      <c r="X299">
        <v>10</v>
      </c>
      <c r="Y299">
        <v>2</v>
      </c>
      <c r="Z299">
        <v>8</v>
      </c>
      <c r="AA299">
        <v>3.125</v>
      </c>
      <c r="AB299">
        <v>25</v>
      </c>
      <c r="AC299" t="s">
        <v>1061</v>
      </c>
      <c r="AD299" t="s">
        <v>60</v>
      </c>
      <c r="AE299">
        <v>2</v>
      </c>
      <c r="AF299">
        <v>0</v>
      </c>
      <c r="AG299">
        <v>0</v>
      </c>
      <c r="AH299">
        <v>5</v>
      </c>
      <c r="AI299">
        <v>0</v>
      </c>
      <c r="AJ299">
        <v>0</v>
      </c>
      <c r="AK299">
        <v>1</v>
      </c>
      <c r="AL299">
        <v>0</v>
      </c>
      <c r="AM299">
        <v>0</v>
      </c>
      <c r="AN299">
        <v>0</v>
      </c>
      <c r="AO299">
        <v>8</v>
      </c>
      <c r="AP299">
        <v>0</v>
      </c>
      <c r="AQ299">
        <v>100</v>
      </c>
      <c r="AR299" s="2">
        <v>45850.123078703706</v>
      </c>
      <c r="AS299" s="2">
        <v>46061.966157407405</v>
      </c>
      <c r="AT299" t="s">
        <v>1357</v>
      </c>
      <c r="AU299" t="s">
        <v>62</v>
      </c>
      <c r="AV299">
        <v>211</v>
      </c>
    </row>
    <row r="300" spans="1:48" x14ac:dyDescent="0.25">
      <c r="A300">
        <v>548</v>
      </c>
      <c r="B300" t="s">
        <v>1358</v>
      </c>
      <c r="C300" t="s">
        <v>1359</v>
      </c>
      <c r="D300" t="s">
        <v>726</v>
      </c>
      <c r="E300" t="s">
        <v>1360</v>
      </c>
      <c r="F300" t="s">
        <v>1361</v>
      </c>
      <c r="G300" t="s">
        <v>104</v>
      </c>
      <c r="H300" s="1">
        <v>35502</v>
      </c>
      <c r="I300">
        <v>29</v>
      </c>
      <c r="J300">
        <v>1997</v>
      </c>
      <c r="K300" s="1">
        <v>45584</v>
      </c>
      <c r="L300">
        <v>2024</v>
      </c>
      <c r="M300" t="s">
        <v>111</v>
      </c>
      <c r="N300">
        <v>18</v>
      </c>
      <c r="O300" t="s">
        <v>139</v>
      </c>
      <c r="P300" t="s">
        <v>69</v>
      </c>
      <c r="Q300">
        <v>60</v>
      </c>
      <c r="R300">
        <v>6</v>
      </c>
      <c r="S300" t="s">
        <v>140</v>
      </c>
      <c r="T300" t="s">
        <v>141</v>
      </c>
      <c r="U300">
        <v>9</v>
      </c>
      <c r="V300">
        <v>10</v>
      </c>
      <c r="W300">
        <v>10</v>
      </c>
      <c r="X300">
        <v>9</v>
      </c>
      <c r="Y300">
        <v>2</v>
      </c>
      <c r="Z300">
        <v>8</v>
      </c>
      <c r="AA300">
        <v>2.875</v>
      </c>
      <c r="AB300">
        <v>23</v>
      </c>
      <c r="AC300" t="s">
        <v>70</v>
      </c>
      <c r="AD300" t="s">
        <v>60</v>
      </c>
      <c r="AE300">
        <v>1</v>
      </c>
      <c r="AF300">
        <v>0</v>
      </c>
      <c r="AG300">
        <v>4</v>
      </c>
      <c r="AH300">
        <v>1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1</v>
      </c>
      <c r="AO300">
        <v>7</v>
      </c>
      <c r="AP300">
        <v>1</v>
      </c>
      <c r="AQ300">
        <v>87.5</v>
      </c>
      <c r="AR300" s="2">
        <v>45778.542962962965</v>
      </c>
      <c r="AS300" s="2">
        <v>46079.020208333335</v>
      </c>
      <c r="AT300" t="s">
        <v>1357</v>
      </c>
      <c r="AU300" t="s">
        <v>62</v>
      </c>
      <c r="AV300">
        <v>301</v>
      </c>
    </row>
    <row r="301" spans="1:48" x14ac:dyDescent="0.25">
      <c r="A301">
        <v>49</v>
      </c>
      <c r="B301" t="s">
        <v>1362</v>
      </c>
      <c r="C301" t="s">
        <v>475</v>
      </c>
      <c r="D301" t="s">
        <v>1363</v>
      </c>
      <c r="E301" t="s">
        <v>1364</v>
      </c>
      <c r="F301" t="s">
        <v>1365</v>
      </c>
      <c r="G301" t="s">
        <v>53</v>
      </c>
      <c r="H301" s="1">
        <v>35390</v>
      </c>
      <c r="I301">
        <v>30</v>
      </c>
      <c r="J301">
        <v>1996</v>
      </c>
      <c r="K301" s="1">
        <v>45413</v>
      </c>
      <c r="L301">
        <v>2024</v>
      </c>
      <c r="M301" t="s">
        <v>54</v>
      </c>
      <c r="N301">
        <v>18</v>
      </c>
      <c r="O301" t="s">
        <v>139</v>
      </c>
      <c r="P301" t="s">
        <v>69</v>
      </c>
      <c r="Q301">
        <v>60</v>
      </c>
      <c r="R301">
        <v>6</v>
      </c>
      <c r="S301" t="s">
        <v>140</v>
      </c>
      <c r="T301" t="s">
        <v>141</v>
      </c>
      <c r="U301">
        <v>9</v>
      </c>
      <c r="V301">
        <v>10</v>
      </c>
      <c r="W301">
        <v>10</v>
      </c>
      <c r="X301">
        <v>9</v>
      </c>
      <c r="Y301">
        <v>3</v>
      </c>
      <c r="Z301">
        <v>8</v>
      </c>
      <c r="AA301">
        <v>2.375</v>
      </c>
      <c r="AB301">
        <v>19</v>
      </c>
      <c r="AC301" t="s">
        <v>59</v>
      </c>
      <c r="AD301" t="s">
        <v>60</v>
      </c>
      <c r="AE301">
        <v>1</v>
      </c>
      <c r="AF301">
        <v>0</v>
      </c>
      <c r="AG301">
        <v>1</v>
      </c>
      <c r="AH301">
        <v>0</v>
      </c>
      <c r="AI301">
        <v>0</v>
      </c>
      <c r="AJ301">
        <v>1</v>
      </c>
      <c r="AK301">
        <v>4</v>
      </c>
      <c r="AL301">
        <v>0</v>
      </c>
      <c r="AM301">
        <v>1</v>
      </c>
      <c r="AN301">
        <v>0</v>
      </c>
      <c r="AO301">
        <v>8</v>
      </c>
      <c r="AP301">
        <v>0</v>
      </c>
      <c r="AQ301">
        <v>100</v>
      </c>
      <c r="AR301" s="2">
        <v>45729.710312499999</v>
      </c>
      <c r="AS301" s="2">
        <v>46049.550671296296</v>
      </c>
      <c r="AT301" t="s">
        <v>61</v>
      </c>
      <c r="AU301" t="s">
        <v>62</v>
      </c>
      <c r="AV301">
        <v>320</v>
      </c>
    </row>
    <row r="302" spans="1:48" x14ac:dyDescent="0.25">
      <c r="A302">
        <v>364</v>
      </c>
      <c r="B302" t="s">
        <v>1366</v>
      </c>
      <c r="C302" t="s">
        <v>1367</v>
      </c>
      <c r="D302" t="s">
        <v>543</v>
      </c>
      <c r="E302" t="s">
        <v>1368</v>
      </c>
      <c r="F302" t="s">
        <v>1369</v>
      </c>
      <c r="G302" t="s">
        <v>53</v>
      </c>
      <c r="H302" s="1">
        <v>38991</v>
      </c>
      <c r="I302">
        <v>20</v>
      </c>
      <c r="J302">
        <v>2006</v>
      </c>
      <c r="K302" s="1">
        <v>44836</v>
      </c>
      <c r="L302">
        <v>2022</v>
      </c>
      <c r="M302" t="s">
        <v>111</v>
      </c>
      <c r="N302">
        <v>5</v>
      </c>
      <c r="O302" t="s">
        <v>84</v>
      </c>
      <c r="P302" t="s">
        <v>56</v>
      </c>
      <c r="Q302">
        <v>36</v>
      </c>
      <c r="R302">
        <v>2</v>
      </c>
      <c r="S302" t="s">
        <v>85</v>
      </c>
      <c r="T302" t="s">
        <v>86</v>
      </c>
      <c r="U302">
        <v>10</v>
      </c>
      <c r="V302">
        <v>10</v>
      </c>
      <c r="W302">
        <v>10</v>
      </c>
      <c r="X302">
        <v>9</v>
      </c>
      <c r="Y302">
        <v>2</v>
      </c>
      <c r="Z302">
        <v>8</v>
      </c>
      <c r="AA302">
        <v>2.0625</v>
      </c>
      <c r="AB302">
        <v>16.5</v>
      </c>
      <c r="AC302" t="s">
        <v>70</v>
      </c>
      <c r="AD302" t="s">
        <v>112</v>
      </c>
      <c r="AE302">
        <v>0</v>
      </c>
      <c r="AF302">
        <v>0</v>
      </c>
      <c r="AG302">
        <v>2</v>
      </c>
      <c r="AH302">
        <v>1</v>
      </c>
      <c r="AI302">
        <v>0</v>
      </c>
      <c r="AJ302">
        <v>1</v>
      </c>
      <c r="AK302">
        <v>1</v>
      </c>
      <c r="AL302">
        <v>0</v>
      </c>
      <c r="AM302">
        <v>2</v>
      </c>
      <c r="AN302">
        <v>1</v>
      </c>
      <c r="AO302">
        <v>7</v>
      </c>
      <c r="AP302">
        <v>1</v>
      </c>
      <c r="AQ302">
        <v>87.5</v>
      </c>
      <c r="AR302" s="2">
        <v>45736.141064814816</v>
      </c>
      <c r="AS302" s="2">
        <v>45999.053831018522</v>
      </c>
      <c r="AT302" t="s">
        <v>61</v>
      </c>
      <c r="AU302" t="s">
        <v>1357</v>
      </c>
      <c r="AV302">
        <v>263</v>
      </c>
    </row>
    <row r="303" spans="1:48" x14ac:dyDescent="0.25">
      <c r="A303">
        <v>851</v>
      </c>
      <c r="B303" t="s">
        <v>1370</v>
      </c>
      <c r="C303" t="s">
        <v>1371</v>
      </c>
      <c r="D303" t="s">
        <v>234</v>
      </c>
      <c r="E303" t="s">
        <v>1372</v>
      </c>
      <c r="F303" t="s">
        <v>1373</v>
      </c>
      <c r="G303" t="s">
        <v>104</v>
      </c>
      <c r="H303" s="1">
        <v>36477</v>
      </c>
      <c r="I303">
        <v>27</v>
      </c>
      <c r="J303">
        <v>1999</v>
      </c>
      <c r="K303" s="1">
        <v>44704</v>
      </c>
      <c r="L303">
        <v>2022</v>
      </c>
      <c r="M303" t="s">
        <v>54</v>
      </c>
      <c r="N303">
        <v>8</v>
      </c>
      <c r="O303" t="s">
        <v>125</v>
      </c>
      <c r="P303" t="s">
        <v>56</v>
      </c>
      <c r="Q303">
        <v>36</v>
      </c>
      <c r="R303">
        <v>3</v>
      </c>
      <c r="S303" t="s">
        <v>126</v>
      </c>
      <c r="T303" t="s">
        <v>127</v>
      </c>
      <c r="U303">
        <v>10</v>
      </c>
      <c r="V303">
        <v>10</v>
      </c>
      <c r="W303">
        <v>10</v>
      </c>
      <c r="X303">
        <v>9</v>
      </c>
      <c r="Y303">
        <v>3</v>
      </c>
      <c r="Z303">
        <v>7</v>
      </c>
      <c r="AA303">
        <v>1.785714</v>
      </c>
      <c r="AB303">
        <v>12.5</v>
      </c>
      <c r="AC303" t="s">
        <v>70</v>
      </c>
      <c r="AD303" t="s">
        <v>281</v>
      </c>
      <c r="AE303">
        <v>0</v>
      </c>
      <c r="AF303">
        <v>0</v>
      </c>
      <c r="AG303">
        <v>3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3</v>
      </c>
      <c r="AO303">
        <v>4</v>
      </c>
      <c r="AP303">
        <v>3</v>
      </c>
      <c r="AQ303">
        <v>57.142857142856997</v>
      </c>
      <c r="AR303" s="2">
        <v>45768.12091435185</v>
      </c>
      <c r="AS303" s="2">
        <v>46078.882592592592</v>
      </c>
      <c r="AT303" t="s">
        <v>61</v>
      </c>
      <c r="AU303" t="s">
        <v>62</v>
      </c>
      <c r="AV303">
        <v>310</v>
      </c>
    </row>
    <row r="304" spans="1:48" x14ac:dyDescent="0.25">
      <c r="A304">
        <v>229</v>
      </c>
      <c r="B304" t="s">
        <v>1374</v>
      </c>
      <c r="C304" t="s">
        <v>978</v>
      </c>
      <c r="D304" t="s">
        <v>410</v>
      </c>
      <c r="E304" t="s">
        <v>1375</v>
      </c>
      <c r="F304" t="s">
        <v>1376</v>
      </c>
      <c r="G304" t="s">
        <v>104</v>
      </c>
      <c r="H304" s="1">
        <v>37092</v>
      </c>
      <c r="I304">
        <v>25</v>
      </c>
      <c r="J304">
        <v>2001</v>
      </c>
      <c r="K304" s="1">
        <v>45461</v>
      </c>
      <c r="L304">
        <v>2024</v>
      </c>
      <c r="M304" t="s">
        <v>54</v>
      </c>
      <c r="N304">
        <v>12</v>
      </c>
      <c r="O304" t="s">
        <v>76</v>
      </c>
      <c r="P304" t="s">
        <v>69</v>
      </c>
      <c r="Q304">
        <v>60</v>
      </c>
      <c r="R304">
        <v>4</v>
      </c>
      <c r="S304" t="s">
        <v>77</v>
      </c>
      <c r="T304" t="s">
        <v>78</v>
      </c>
      <c r="U304">
        <v>10</v>
      </c>
      <c r="V304">
        <v>10</v>
      </c>
      <c r="W304">
        <v>10</v>
      </c>
      <c r="X304">
        <v>9</v>
      </c>
      <c r="Y304">
        <v>2</v>
      </c>
      <c r="Z304">
        <v>6</v>
      </c>
      <c r="AA304">
        <v>1.3333330000000001</v>
      </c>
      <c r="AB304">
        <v>8</v>
      </c>
      <c r="AC304" t="s">
        <v>70</v>
      </c>
      <c r="AD304" t="s">
        <v>112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2</v>
      </c>
      <c r="AL304">
        <v>0</v>
      </c>
      <c r="AM304">
        <v>1</v>
      </c>
      <c r="AN304">
        <v>2</v>
      </c>
      <c r="AO304">
        <v>4</v>
      </c>
      <c r="AP304">
        <v>2</v>
      </c>
      <c r="AQ304">
        <v>66.666666666666003</v>
      </c>
      <c r="AR304" s="2">
        <v>45737.605520833335</v>
      </c>
      <c r="AS304" s="2">
        <v>46083.837777777779</v>
      </c>
      <c r="AT304" t="s">
        <v>1357</v>
      </c>
      <c r="AU304" t="s">
        <v>62</v>
      </c>
      <c r="AV304">
        <v>346</v>
      </c>
    </row>
    <row r="305" spans="1:48" x14ac:dyDescent="0.25">
      <c r="A305">
        <v>265</v>
      </c>
      <c r="B305" t="s">
        <v>1377</v>
      </c>
      <c r="C305" t="s">
        <v>1378</v>
      </c>
      <c r="D305" t="s">
        <v>1379</v>
      </c>
      <c r="E305" t="s">
        <v>1380</v>
      </c>
      <c r="F305" t="s">
        <v>1381</v>
      </c>
      <c r="G305" t="s">
        <v>104</v>
      </c>
      <c r="H305" s="1">
        <v>36903</v>
      </c>
      <c r="I305">
        <v>25</v>
      </c>
      <c r="J305">
        <v>2001</v>
      </c>
      <c r="K305" s="1">
        <v>45459</v>
      </c>
      <c r="L305">
        <v>2024</v>
      </c>
      <c r="M305" t="s">
        <v>54</v>
      </c>
      <c r="N305">
        <v>15</v>
      </c>
      <c r="O305" t="s">
        <v>91</v>
      </c>
      <c r="P305" t="s">
        <v>69</v>
      </c>
      <c r="Q305">
        <v>60</v>
      </c>
      <c r="R305">
        <v>5</v>
      </c>
      <c r="S305" t="s">
        <v>92</v>
      </c>
      <c r="T305" t="s">
        <v>93</v>
      </c>
      <c r="U305">
        <v>10</v>
      </c>
      <c r="V305">
        <v>10</v>
      </c>
      <c r="W305">
        <v>10</v>
      </c>
      <c r="X305">
        <v>9</v>
      </c>
      <c r="Y305">
        <v>2</v>
      </c>
      <c r="Z305">
        <v>7</v>
      </c>
      <c r="AA305">
        <v>2.071428</v>
      </c>
      <c r="AB305">
        <v>14.5</v>
      </c>
      <c r="AC305" t="s">
        <v>59</v>
      </c>
      <c r="AD305" t="s">
        <v>60</v>
      </c>
      <c r="AE305">
        <v>1</v>
      </c>
      <c r="AF305">
        <v>0</v>
      </c>
      <c r="AG305">
        <v>0</v>
      </c>
      <c r="AH305">
        <v>0</v>
      </c>
      <c r="AI305">
        <v>0</v>
      </c>
      <c r="AJ305">
        <v>3</v>
      </c>
      <c r="AK305">
        <v>0</v>
      </c>
      <c r="AL305">
        <v>0</v>
      </c>
      <c r="AM305">
        <v>3</v>
      </c>
      <c r="AN305">
        <v>0</v>
      </c>
      <c r="AO305">
        <v>7</v>
      </c>
      <c r="AP305">
        <v>0</v>
      </c>
      <c r="AQ305">
        <v>100</v>
      </c>
      <c r="AR305" s="2">
        <v>45741.761759259258</v>
      </c>
      <c r="AS305" s="2">
        <v>46072.38212962963</v>
      </c>
      <c r="AT305" t="s">
        <v>61</v>
      </c>
      <c r="AU305" t="s">
        <v>1357</v>
      </c>
      <c r="AV305">
        <v>331</v>
      </c>
    </row>
    <row r="306" spans="1:48" x14ac:dyDescent="0.25">
      <c r="A306">
        <v>367</v>
      </c>
      <c r="B306" t="s">
        <v>1382</v>
      </c>
      <c r="C306" t="s">
        <v>1223</v>
      </c>
      <c r="D306" t="s">
        <v>1000</v>
      </c>
      <c r="E306" t="s">
        <v>1383</v>
      </c>
      <c r="F306" t="s">
        <v>1384</v>
      </c>
      <c r="G306" t="s">
        <v>104</v>
      </c>
      <c r="H306" s="1">
        <v>39417</v>
      </c>
      <c r="I306">
        <v>19</v>
      </c>
      <c r="J306">
        <v>2007</v>
      </c>
      <c r="K306" s="1">
        <v>44683</v>
      </c>
      <c r="L306">
        <v>2022</v>
      </c>
      <c r="M306" t="s">
        <v>54</v>
      </c>
      <c r="N306">
        <v>19</v>
      </c>
      <c r="O306" t="s">
        <v>162</v>
      </c>
      <c r="P306" t="s">
        <v>119</v>
      </c>
      <c r="Q306">
        <v>120</v>
      </c>
      <c r="R306">
        <v>7</v>
      </c>
      <c r="S306" t="s">
        <v>163</v>
      </c>
      <c r="T306" t="s">
        <v>164</v>
      </c>
      <c r="U306">
        <v>9</v>
      </c>
      <c r="V306">
        <v>10</v>
      </c>
      <c r="W306">
        <v>10</v>
      </c>
      <c r="X306">
        <v>8</v>
      </c>
      <c r="Y306">
        <v>2</v>
      </c>
      <c r="Z306">
        <v>8</v>
      </c>
      <c r="AA306">
        <v>1.875</v>
      </c>
      <c r="AB306">
        <v>15</v>
      </c>
      <c r="AC306" t="s">
        <v>70</v>
      </c>
      <c r="AD306" t="s">
        <v>1061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4</v>
      </c>
      <c r="AK306">
        <v>2</v>
      </c>
      <c r="AL306">
        <v>0</v>
      </c>
      <c r="AM306">
        <v>1</v>
      </c>
      <c r="AN306">
        <v>1</v>
      </c>
      <c r="AO306">
        <v>7</v>
      </c>
      <c r="AP306">
        <v>1</v>
      </c>
      <c r="AQ306">
        <v>87.5</v>
      </c>
      <c r="AR306" s="2">
        <v>45829.505543981482</v>
      </c>
      <c r="AS306" s="2">
        <v>46083.479351851849</v>
      </c>
      <c r="AT306" t="s">
        <v>1357</v>
      </c>
      <c r="AU306" t="s">
        <v>62</v>
      </c>
      <c r="AV306">
        <v>254</v>
      </c>
    </row>
    <row r="307" spans="1:48" x14ac:dyDescent="0.25">
      <c r="A307">
        <v>5</v>
      </c>
      <c r="B307" t="s">
        <v>1385</v>
      </c>
      <c r="C307" t="s">
        <v>1386</v>
      </c>
      <c r="D307" t="s">
        <v>311</v>
      </c>
      <c r="E307" t="s">
        <v>1387</v>
      </c>
      <c r="F307" t="s">
        <v>1388</v>
      </c>
      <c r="G307" t="s">
        <v>53</v>
      </c>
      <c r="H307" s="1">
        <v>36642</v>
      </c>
      <c r="I307">
        <v>26</v>
      </c>
      <c r="J307">
        <v>2000</v>
      </c>
      <c r="K307" s="1">
        <v>45606</v>
      </c>
      <c r="L307">
        <v>2024</v>
      </c>
      <c r="M307" t="s">
        <v>54</v>
      </c>
      <c r="N307">
        <v>9</v>
      </c>
      <c r="O307" t="s">
        <v>151</v>
      </c>
      <c r="P307" t="s">
        <v>69</v>
      </c>
      <c r="Q307">
        <v>60</v>
      </c>
      <c r="R307">
        <v>3</v>
      </c>
      <c r="S307" t="s">
        <v>126</v>
      </c>
      <c r="T307" t="s">
        <v>127</v>
      </c>
      <c r="U307">
        <v>10</v>
      </c>
      <c r="V307">
        <v>10</v>
      </c>
      <c r="W307">
        <v>10</v>
      </c>
      <c r="X307">
        <v>9</v>
      </c>
      <c r="Y307">
        <v>3</v>
      </c>
      <c r="Z307">
        <v>7</v>
      </c>
      <c r="AA307">
        <v>1.928571</v>
      </c>
      <c r="AB307">
        <v>13.5</v>
      </c>
      <c r="AC307" t="s">
        <v>70</v>
      </c>
      <c r="AD307" t="s">
        <v>281</v>
      </c>
      <c r="AE307">
        <v>0</v>
      </c>
      <c r="AF307">
        <v>0</v>
      </c>
      <c r="AG307">
        <v>2</v>
      </c>
      <c r="AH307">
        <v>0</v>
      </c>
      <c r="AI307">
        <v>0</v>
      </c>
      <c r="AJ307">
        <v>1</v>
      </c>
      <c r="AK307">
        <v>1</v>
      </c>
      <c r="AL307">
        <v>0</v>
      </c>
      <c r="AM307">
        <v>2</v>
      </c>
      <c r="AN307">
        <v>1</v>
      </c>
      <c r="AO307">
        <v>6</v>
      </c>
      <c r="AP307">
        <v>1</v>
      </c>
      <c r="AQ307">
        <v>85.714285714284998</v>
      </c>
      <c r="AR307" s="2">
        <v>45721.607118055559</v>
      </c>
      <c r="AS307" s="2">
        <v>46010.786111111112</v>
      </c>
      <c r="AT307" t="s">
        <v>61</v>
      </c>
      <c r="AU307" t="s">
        <v>62</v>
      </c>
      <c r="AV307">
        <v>289</v>
      </c>
    </row>
    <row r="308" spans="1:48" x14ac:dyDescent="0.25">
      <c r="A308">
        <v>671</v>
      </c>
      <c r="B308" t="s">
        <v>1389</v>
      </c>
      <c r="C308" t="s">
        <v>1390</v>
      </c>
      <c r="D308" t="s">
        <v>420</v>
      </c>
      <c r="E308" t="s">
        <v>1391</v>
      </c>
      <c r="F308" t="s">
        <v>1392</v>
      </c>
      <c r="G308" t="s">
        <v>104</v>
      </c>
      <c r="H308" s="1">
        <v>36445</v>
      </c>
      <c r="I308">
        <v>27</v>
      </c>
      <c r="J308">
        <v>1999</v>
      </c>
      <c r="K308" s="1">
        <v>45212</v>
      </c>
      <c r="L308">
        <v>2023</v>
      </c>
      <c r="M308" t="s">
        <v>54</v>
      </c>
      <c r="N308">
        <v>12</v>
      </c>
      <c r="O308" t="s">
        <v>76</v>
      </c>
      <c r="P308" t="s">
        <v>69</v>
      </c>
      <c r="Q308">
        <v>60</v>
      </c>
      <c r="R308">
        <v>4</v>
      </c>
      <c r="S308" t="s">
        <v>77</v>
      </c>
      <c r="T308" t="s">
        <v>78</v>
      </c>
      <c r="U308">
        <v>9</v>
      </c>
      <c r="V308">
        <v>10</v>
      </c>
      <c r="W308">
        <v>10</v>
      </c>
      <c r="X308">
        <v>10</v>
      </c>
      <c r="Y308">
        <v>3</v>
      </c>
      <c r="Z308">
        <v>8</v>
      </c>
      <c r="AA308">
        <v>2.4375</v>
      </c>
      <c r="AB308">
        <v>19.5</v>
      </c>
      <c r="AC308" t="s">
        <v>59</v>
      </c>
      <c r="AD308" t="s">
        <v>60</v>
      </c>
      <c r="AE308">
        <v>1</v>
      </c>
      <c r="AF308">
        <v>0</v>
      </c>
      <c r="AG308">
        <v>2</v>
      </c>
      <c r="AH308">
        <v>0</v>
      </c>
      <c r="AI308">
        <v>0</v>
      </c>
      <c r="AJ308">
        <v>1</v>
      </c>
      <c r="AK308">
        <v>2</v>
      </c>
      <c r="AL308">
        <v>0</v>
      </c>
      <c r="AM308">
        <v>2</v>
      </c>
      <c r="AN308">
        <v>0</v>
      </c>
      <c r="AO308">
        <v>8</v>
      </c>
      <c r="AP308">
        <v>0</v>
      </c>
      <c r="AQ308">
        <v>100</v>
      </c>
      <c r="AR308" s="2">
        <v>45801.115266203706</v>
      </c>
      <c r="AS308" s="2">
        <v>46084.513518518521</v>
      </c>
      <c r="AT308" t="s">
        <v>61</v>
      </c>
      <c r="AU308" t="s">
        <v>62</v>
      </c>
      <c r="AV308">
        <v>283</v>
      </c>
    </row>
    <row r="309" spans="1:48" x14ac:dyDescent="0.25">
      <c r="A309">
        <v>253</v>
      </c>
      <c r="B309" t="s">
        <v>1393</v>
      </c>
      <c r="C309" t="s">
        <v>1394</v>
      </c>
      <c r="D309" t="s">
        <v>207</v>
      </c>
      <c r="E309" t="s">
        <v>1395</v>
      </c>
      <c r="F309" t="s">
        <v>1396</v>
      </c>
      <c r="G309" t="s">
        <v>53</v>
      </c>
      <c r="H309" s="1">
        <v>36521</v>
      </c>
      <c r="I309">
        <v>27</v>
      </c>
      <c r="J309">
        <v>1999</v>
      </c>
      <c r="K309" s="1">
        <v>45435</v>
      </c>
      <c r="L309">
        <v>2024</v>
      </c>
      <c r="M309" t="s">
        <v>54</v>
      </c>
      <c r="N309">
        <v>15</v>
      </c>
      <c r="O309" t="s">
        <v>91</v>
      </c>
      <c r="P309" t="s">
        <v>69</v>
      </c>
      <c r="Q309">
        <v>60</v>
      </c>
      <c r="R309">
        <v>5</v>
      </c>
      <c r="S309" t="s">
        <v>92</v>
      </c>
      <c r="T309" t="s">
        <v>93</v>
      </c>
      <c r="U309">
        <v>10</v>
      </c>
      <c r="V309">
        <v>10</v>
      </c>
      <c r="W309">
        <v>10</v>
      </c>
      <c r="X309">
        <v>8</v>
      </c>
      <c r="Y309">
        <v>3</v>
      </c>
      <c r="Z309">
        <v>7</v>
      </c>
      <c r="AA309">
        <v>3.2142849999999998</v>
      </c>
      <c r="AB309">
        <v>22.5</v>
      </c>
      <c r="AC309" t="s">
        <v>540</v>
      </c>
      <c r="AD309" t="s">
        <v>60</v>
      </c>
      <c r="AE309">
        <v>2</v>
      </c>
      <c r="AF309">
        <v>0</v>
      </c>
      <c r="AG309">
        <v>1</v>
      </c>
      <c r="AH309">
        <v>2</v>
      </c>
      <c r="AI309">
        <v>0</v>
      </c>
      <c r="AJ309">
        <v>2</v>
      </c>
      <c r="AK309">
        <v>0</v>
      </c>
      <c r="AL309">
        <v>0</v>
      </c>
      <c r="AM309">
        <v>0</v>
      </c>
      <c r="AN309">
        <v>0</v>
      </c>
      <c r="AO309">
        <v>7</v>
      </c>
      <c r="AP309">
        <v>0</v>
      </c>
      <c r="AQ309">
        <v>100</v>
      </c>
      <c r="AR309" s="2">
        <v>45742.407013888886</v>
      </c>
      <c r="AS309" s="2">
        <v>46077.151342592595</v>
      </c>
      <c r="AT309" t="s">
        <v>61</v>
      </c>
      <c r="AU309" t="s">
        <v>62</v>
      </c>
      <c r="AV309">
        <v>335</v>
      </c>
    </row>
    <row r="310" spans="1:48" x14ac:dyDescent="0.25">
      <c r="A310">
        <v>909</v>
      </c>
      <c r="B310" t="s">
        <v>1397</v>
      </c>
      <c r="C310" t="s">
        <v>1042</v>
      </c>
      <c r="D310" t="s">
        <v>1398</v>
      </c>
      <c r="E310" t="s">
        <v>1399</v>
      </c>
      <c r="F310" t="s">
        <v>1400</v>
      </c>
      <c r="G310" t="s">
        <v>104</v>
      </c>
      <c r="H310" s="1">
        <v>35606</v>
      </c>
      <c r="I310">
        <v>29</v>
      </c>
      <c r="J310">
        <v>1997</v>
      </c>
      <c r="K310" s="1">
        <v>44820</v>
      </c>
      <c r="L310">
        <v>2022</v>
      </c>
      <c r="M310" t="s">
        <v>54</v>
      </c>
      <c r="N310">
        <v>8</v>
      </c>
      <c r="O310" t="s">
        <v>125</v>
      </c>
      <c r="P310" t="s">
        <v>56</v>
      </c>
      <c r="Q310">
        <v>36</v>
      </c>
      <c r="R310">
        <v>3</v>
      </c>
      <c r="S310" t="s">
        <v>126</v>
      </c>
      <c r="T310" t="s">
        <v>127</v>
      </c>
      <c r="U310">
        <v>9</v>
      </c>
      <c r="V310">
        <v>10</v>
      </c>
      <c r="W310">
        <v>10</v>
      </c>
      <c r="X310">
        <v>10</v>
      </c>
      <c r="Y310">
        <v>2</v>
      </c>
      <c r="Z310">
        <v>8</v>
      </c>
      <c r="AA310">
        <v>2.3125</v>
      </c>
      <c r="AB310">
        <v>18.5</v>
      </c>
      <c r="AC310" t="s">
        <v>70</v>
      </c>
      <c r="AD310" t="s">
        <v>60</v>
      </c>
      <c r="AE310">
        <v>1</v>
      </c>
      <c r="AF310">
        <v>0</v>
      </c>
      <c r="AG310">
        <v>2</v>
      </c>
      <c r="AH310">
        <v>1</v>
      </c>
      <c r="AI310">
        <v>0</v>
      </c>
      <c r="AJ310">
        <v>1</v>
      </c>
      <c r="AK310">
        <v>0</v>
      </c>
      <c r="AL310">
        <v>0</v>
      </c>
      <c r="AM310">
        <v>2</v>
      </c>
      <c r="AN310">
        <v>1</v>
      </c>
      <c r="AO310">
        <v>7</v>
      </c>
      <c r="AP310">
        <v>1</v>
      </c>
      <c r="AQ310">
        <v>87.5</v>
      </c>
      <c r="AR310" s="2">
        <v>45727.293611111112</v>
      </c>
      <c r="AS310" s="2">
        <v>46052.35297453704</v>
      </c>
      <c r="AT310" t="s">
        <v>61</v>
      </c>
      <c r="AU310" t="s">
        <v>1357</v>
      </c>
      <c r="AV310">
        <v>325</v>
      </c>
    </row>
    <row r="311" spans="1:48" x14ac:dyDescent="0.25">
      <c r="A311">
        <v>930</v>
      </c>
      <c r="B311" t="s">
        <v>1401</v>
      </c>
      <c r="C311" t="s">
        <v>1402</v>
      </c>
      <c r="D311" t="s">
        <v>1403</v>
      </c>
      <c r="E311" t="s">
        <v>1404</v>
      </c>
      <c r="F311" t="s">
        <v>1405</v>
      </c>
      <c r="G311" t="s">
        <v>53</v>
      </c>
      <c r="H311" s="1">
        <v>35862</v>
      </c>
      <c r="I311">
        <v>28</v>
      </c>
      <c r="J311">
        <v>1998</v>
      </c>
      <c r="K311" s="1">
        <v>45028</v>
      </c>
      <c r="L311">
        <v>2023</v>
      </c>
      <c r="M311" t="s">
        <v>54</v>
      </c>
      <c r="N311">
        <v>5</v>
      </c>
      <c r="O311" t="s">
        <v>84</v>
      </c>
      <c r="P311" t="s">
        <v>56</v>
      </c>
      <c r="Q311">
        <v>36</v>
      </c>
      <c r="R311">
        <v>2</v>
      </c>
      <c r="S311" t="s">
        <v>85</v>
      </c>
      <c r="T311" t="s">
        <v>86</v>
      </c>
      <c r="U311">
        <v>10</v>
      </c>
      <c r="V311">
        <v>10</v>
      </c>
      <c r="W311">
        <v>10</v>
      </c>
      <c r="X311">
        <v>9</v>
      </c>
      <c r="Y311">
        <v>2</v>
      </c>
      <c r="Z311">
        <v>10</v>
      </c>
      <c r="AA311">
        <v>2.4500000000000002</v>
      </c>
      <c r="AB311">
        <v>24.5</v>
      </c>
      <c r="AC311" t="s">
        <v>70</v>
      </c>
      <c r="AD311" t="s">
        <v>60</v>
      </c>
      <c r="AE311">
        <v>2</v>
      </c>
      <c r="AF311">
        <v>0</v>
      </c>
      <c r="AG311">
        <v>2</v>
      </c>
      <c r="AH311">
        <v>1</v>
      </c>
      <c r="AI311">
        <v>0</v>
      </c>
      <c r="AJ311">
        <v>1</v>
      </c>
      <c r="AK311">
        <v>2</v>
      </c>
      <c r="AL311">
        <v>0</v>
      </c>
      <c r="AM311">
        <v>0</v>
      </c>
      <c r="AN311">
        <v>2</v>
      </c>
      <c r="AO311">
        <v>8</v>
      </c>
      <c r="AP311">
        <v>2</v>
      </c>
      <c r="AQ311">
        <v>80</v>
      </c>
      <c r="AR311" s="2">
        <v>45767.982060185182</v>
      </c>
      <c r="AS311" s="2">
        <v>46079.502002314817</v>
      </c>
      <c r="AT311" t="s">
        <v>61</v>
      </c>
      <c r="AU311" t="s">
        <v>62</v>
      </c>
      <c r="AV311">
        <v>312</v>
      </c>
    </row>
    <row r="312" spans="1:48" x14ac:dyDescent="0.25">
      <c r="A312">
        <v>532</v>
      </c>
      <c r="B312" t="s">
        <v>1406</v>
      </c>
      <c r="C312" t="s">
        <v>238</v>
      </c>
      <c r="D312" t="s">
        <v>664</v>
      </c>
      <c r="E312" t="s">
        <v>1407</v>
      </c>
      <c r="F312" t="s">
        <v>1408</v>
      </c>
      <c r="G312" t="s">
        <v>104</v>
      </c>
      <c r="H312" s="1">
        <v>35064</v>
      </c>
      <c r="I312">
        <v>31</v>
      </c>
      <c r="J312">
        <v>1995</v>
      </c>
      <c r="K312" s="1">
        <v>45952</v>
      </c>
      <c r="L312">
        <v>2025</v>
      </c>
      <c r="M312" t="s">
        <v>54</v>
      </c>
      <c r="N312">
        <v>17</v>
      </c>
      <c r="O312" t="s">
        <v>350</v>
      </c>
      <c r="P312" t="s">
        <v>56</v>
      </c>
      <c r="Q312">
        <v>36</v>
      </c>
      <c r="R312">
        <v>6</v>
      </c>
      <c r="S312" t="s">
        <v>140</v>
      </c>
      <c r="T312" t="s">
        <v>141</v>
      </c>
      <c r="U312">
        <v>9</v>
      </c>
      <c r="V312">
        <v>10</v>
      </c>
      <c r="W312">
        <v>10</v>
      </c>
      <c r="X312">
        <v>10</v>
      </c>
      <c r="Y312">
        <v>2</v>
      </c>
      <c r="Z312">
        <v>9</v>
      </c>
      <c r="AA312">
        <v>2.7777769999999999</v>
      </c>
      <c r="AB312">
        <v>25</v>
      </c>
      <c r="AC312" t="s">
        <v>59</v>
      </c>
      <c r="AD312" t="s">
        <v>60</v>
      </c>
      <c r="AE312">
        <v>1</v>
      </c>
      <c r="AF312">
        <v>0</v>
      </c>
      <c r="AG312">
        <v>3</v>
      </c>
      <c r="AH312">
        <v>2</v>
      </c>
      <c r="AI312">
        <v>0</v>
      </c>
      <c r="AJ312">
        <v>1</v>
      </c>
      <c r="AK312">
        <v>0</v>
      </c>
      <c r="AL312">
        <v>0</v>
      </c>
      <c r="AM312">
        <v>2</v>
      </c>
      <c r="AN312">
        <v>0</v>
      </c>
      <c r="AO312">
        <v>9</v>
      </c>
      <c r="AP312">
        <v>0</v>
      </c>
      <c r="AQ312">
        <v>100</v>
      </c>
      <c r="AR312" s="2">
        <v>45759.704444444447</v>
      </c>
      <c r="AS312" s="2">
        <v>46064.659560185188</v>
      </c>
      <c r="AT312" t="s">
        <v>61</v>
      </c>
      <c r="AU312" t="s">
        <v>1357</v>
      </c>
      <c r="AV312">
        <v>305</v>
      </c>
    </row>
    <row r="313" spans="1:48" x14ac:dyDescent="0.25">
      <c r="A313">
        <v>46</v>
      </c>
      <c r="B313" t="s">
        <v>1409</v>
      </c>
      <c r="C313" t="s">
        <v>1410</v>
      </c>
      <c r="D313" t="s">
        <v>228</v>
      </c>
      <c r="E313" t="s">
        <v>1411</v>
      </c>
      <c r="F313" t="s">
        <v>1412</v>
      </c>
      <c r="G313" t="s">
        <v>104</v>
      </c>
      <c r="H313" s="1">
        <v>36945</v>
      </c>
      <c r="I313">
        <v>25</v>
      </c>
      <c r="J313">
        <v>2001</v>
      </c>
      <c r="K313" s="1">
        <v>45599</v>
      </c>
      <c r="L313">
        <v>2024</v>
      </c>
      <c r="M313" t="s">
        <v>54</v>
      </c>
      <c r="N313">
        <v>3</v>
      </c>
      <c r="O313" t="s">
        <v>68</v>
      </c>
      <c r="P313" t="s">
        <v>69</v>
      </c>
      <c r="Q313">
        <v>60</v>
      </c>
      <c r="R313">
        <v>1</v>
      </c>
      <c r="S313" t="s">
        <v>57</v>
      </c>
      <c r="T313" t="s">
        <v>58</v>
      </c>
      <c r="U313">
        <v>10</v>
      </c>
      <c r="V313">
        <v>10</v>
      </c>
      <c r="W313">
        <v>10</v>
      </c>
      <c r="X313">
        <v>9</v>
      </c>
      <c r="Y313">
        <v>2</v>
      </c>
      <c r="Z313">
        <v>7</v>
      </c>
      <c r="AA313">
        <v>1.5</v>
      </c>
      <c r="AB313">
        <v>10.5</v>
      </c>
      <c r="AC313" t="s">
        <v>70</v>
      </c>
      <c r="AD313" t="s">
        <v>112</v>
      </c>
      <c r="AE313">
        <v>0</v>
      </c>
      <c r="AF313">
        <v>0</v>
      </c>
      <c r="AG313">
        <v>1</v>
      </c>
      <c r="AH313">
        <v>2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3</v>
      </c>
      <c r="AO313">
        <v>4</v>
      </c>
      <c r="AP313">
        <v>3</v>
      </c>
      <c r="AQ313">
        <v>57.142857142856997</v>
      </c>
      <c r="AR313" s="2">
        <v>45798.282349537039</v>
      </c>
      <c r="AS313" s="2">
        <v>46064.593865740739</v>
      </c>
      <c r="AT313" t="s">
        <v>61</v>
      </c>
      <c r="AU313" t="s">
        <v>1357</v>
      </c>
      <c r="AV313">
        <v>266</v>
      </c>
    </row>
    <row r="314" spans="1:48" x14ac:dyDescent="0.25">
      <c r="A314">
        <v>550</v>
      </c>
      <c r="B314" t="s">
        <v>1413</v>
      </c>
      <c r="C314" t="s">
        <v>1414</v>
      </c>
      <c r="D314" t="s">
        <v>450</v>
      </c>
      <c r="E314" t="s">
        <v>1415</v>
      </c>
      <c r="F314" t="s">
        <v>1416</v>
      </c>
      <c r="G314" t="s">
        <v>53</v>
      </c>
      <c r="H314" s="1">
        <v>37085</v>
      </c>
      <c r="I314">
        <v>25</v>
      </c>
      <c r="J314">
        <v>2001</v>
      </c>
      <c r="K314" s="1">
        <v>45349</v>
      </c>
      <c r="L314">
        <v>2024</v>
      </c>
      <c r="M314" t="s">
        <v>54</v>
      </c>
      <c r="N314">
        <v>20</v>
      </c>
      <c r="O314" t="s">
        <v>180</v>
      </c>
      <c r="P314" t="s">
        <v>56</v>
      </c>
      <c r="Q314">
        <v>36</v>
      </c>
      <c r="R314">
        <v>7</v>
      </c>
      <c r="S314" t="s">
        <v>163</v>
      </c>
      <c r="T314" t="s">
        <v>164</v>
      </c>
      <c r="U314">
        <v>10</v>
      </c>
      <c r="V314">
        <v>10</v>
      </c>
      <c r="W314">
        <v>10</v>
      </c>
      <c r="X314">
        <v>8</v>
      </c>
      <c r="Y314">
        <v>3</v>
      </c>
      <c r="Z314">
        <v>8</v>
      </c>
      <c r="AA314">
        <v>2.25</v>
      </c>
      <c r="AB314">
        <v>18</v>
      </c>
      <c r="AC314" t="s">
        <v>70</v>
      </c>
      <c r="AD314" t="s">
        <v>60</v>
      </c>
      <c r="AE314">
        <v>2</v>
      </c>
      <c r="AF314">
        <v>0</v>
      </c>
      <c r="AG314">
        <v>0</v>
      </c>
      <c r="AH314">
        <v>0</v>
      </c>
      <c r="AI314">
        <v>0</v>
      </c>
      <c r="AJ314">
        <v>2</v>
      </c>
      <c r="AK314">
        <v>2</v>
      </c>
      <c r="AL314">
        <v>0</v>
      </c>
      <c r="AM314">
        <v>1</v>
      </c>
      <c r="AN314">
        <v>1</v>
      </c>
      <c r="AO314">
        <v>7</v>
      </c>
      <c r="AP314">
        <v>1</v>
      </c>
      <c r="AQ314">
        <v>87.5</v>
      </c>
      <c r="AR314" s="2">
        <v>45725.100370370368</v>
      </c>
      <c r="AS314" s="2">
        <v>46054.78638888889</v>
      </c>
      <c r="AT314" t="s">
        <v>61</v>
      </c>
      <c r="AU314" t="s">
        <v>62</v>
      </c>
      <c r="AV314">
        <v>329</v>
      </c>
    </row>
    <row r="315" spans="1:48" x14ac:dyDescent="0.25">
      <c r="A315">
        <v>109</v>
      </c>
      <c r="B315" t="s">
        <v>1417</v>
      </c>
      <c r="C315" t="s">
        <v>561</v>
      </c>
      <c r="D315" t="s">
        <v>1418</v>
      </c>
      <c r="E315" t="s">
        <v>1419</v>
      </c>
      <c r="F315" t="s">
        <v>1420</v>
      </c>
      <c r="G315" t="s">
        <v>53</v>
      </c>
      <c r="H315" s="1">
        <v>36058</v>
      </c>
      <c r="I315">
        <v>28</v>
      </c>
      <c r="J315">
        <v>1998</v>
      </c>
      <c r="K315" s="1">
        <v>45806</v>
      </c>
      <c r="L315">
        <v>2025</v>
      </c>
      <c r="M315" t="s">
        <v>54</v>
      </c>
      <c r="N315">
        <v>7</v>
      </c>
      <c r="O315" t="s">
        <v>231</v>
      </c>
      <c r="P315" t="s">
        <v>119</v>
      </c>
      <c r="Q315">
        <v>120</v>
      </c>
      <c r="R315">
        <v>3</v>
      </c>
      <c r="S315" t="s">
        <v>126</v>
      </c>
      <c r="T315" t="s">
        <v>127</v>
      </c>
      <c r="U315">
        <v>10</v>
      </c>
      <c r="V315">
        <v>10</v>
      </c>
      <c r="W315">
        <v>10</v>
      </c>
      <c r="X315">
        <v>9</v>
      </c>
      <c r="Y315">
        <v>3</v>
      </c>
      <c r="Z315">
        <v>8</v>
      </c>
      <c r="AA315">
        <v>1.5</v>
      </c>
      <c r="AB315">
        <v>12</v>
      </c>
      <c r="AC315" t="s">
        <v>70</v>
      </c>
      <c r="AD315" t="s">
        <v>281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1</v>
      </c>
      <c r="AK315">
        <v>1</v>
      </c>
      <c r="AL315">
        <v>0</v>
      </c>
      <c r="AM315">
        <v>4</v>
      </c>
      <c r="AN315">
        <v>1</v>
      </c>
      <c r="AO315">
        <v>7</v>
      </c>
      <c r="AP315">
        <v>1</v>
      </c>
      <c r="AQ315">
        <v>87.5</v>
      </c>
      <c r="AR315" s="2">
        <v>45729.378055555557</v>
      </c>
      <c r="AS315" s="2">
        <v>46079.673067129632</v>
      </c>
      <c r="AT315" t="s">
        <v>61</v>
      </c>
      <c r="AU315" t="s">
        <v>62</v>
      </c>
      <c r="AV315">
        <v>350</v>
      </c>
    </row>
    <row r="316" spans="1:48" x14ac:dyDescent="0.25">
      <c r="A316">
        <v>558</v>
      </c>
      <c r="B316" t="s">
        <v>1421</v>
      </c>
      <c r="C316" t="s">
        <v>1422</v>
      </c>
      <c r="D316" t="s">
        <v>1423</v>
      </c>
      <c r="E316" t="s">
        <v>1424</v>
      </c>
      <c r="F316" t="s">
        <v>1425</v>
      </c>
      <c r="G316" t="s">
        <v>53</v>
      </c>
      <c r="H316" s="1">
        <v>37754</v>
      </c>
      <c r="I316">
        <v>23</v>
      </c>
      <c r="J316">
        <v>2003</v>
      </c>
      <c r="K316" s="1">
        <v>44796</v>
      </c>
      <c r="L316">
        <v>2022</v>
      </c>
      <c r="M316" t="s">
        <v>111</v>
      </c>
      <c r="N316">
        <v>18</v>
      </c>
      <c r="O316" t="s">
        <v>139</v>
      </c>
      <c r="P316" t="s">
        <v>69</v>
      </c>
      <c r="Q316">
        <v>60</v>
      </c>
      <c r="R316">
        <v>6</v>
      </c>
      <c r="S316" t="s">
        <v>140</v>
      </c>
      <c r="T316" t="s">
        <v>141</v>
      </c>
      <c r="U316">
        <v>10</v>
      </c>
      <c r="V316">
        <v>10</v>
      </c>
      <c r="W316">
        <v>10</v>
      </c>
      <c r="X316">
        <v>10</v>
      </c>
      <c r="Y316">
        <v>2</v>
      </c>
      <c r="Z316">
        <v>7</v>
      </c>
      <c r="AA316">
        <v>2.071428</v>
      </c>
      <c r="AB316">
        <v>14.5</v>
      </c>
      <c r="AC316" t="s">
        <v>70</v>
      </c>
      <c r="AD316" t="s">
        <v>60</v>
      </c>
      <c r="AE316">
        <v>1</v>
      </c>
      <c r="AF316">
        <v>0</v>
      </c>
      <c r="AG316">
        <v>0</v>
      </c>
      <c r="AH316">
        <v>0</v>
      </c>
      <c r="AI316">
        <v>0</v>
      </c>
      <c r="AJ316">
        <v>3</v>
      </c>
      <c r="AK316">
        <v>1</v>
      </c>
      <c r="AL316">
        <v>0</v>
      </c>
      <c r="AM316">
        <v>1</v>
      </c>
      <c r="AN316">
        <v>1</v>
      </c>
      <c r="AO316">
        <v>6</v>
      </c>
      <c r="AP316">
        <v>1</v>
      </c>
      <c r="AQ316">
        <v>85.714285714284998</v>
      </c>
      <c r="AR316" s="2">
        <v>45777.435381944444</v>
      </c>
      <c r="AS316" s="2">
        <v>46033.312905092593</v>
      </c>
      <c r="AT316" t="s">
        <v>61</v>
      </c>
      <c r="AU316" t="s">
        <v>1357</v>
      </c>
      <c r="AV316">
        <v>256</v>
      </c>
    </row>
    <row r="317" spans="1:48" x14ac:dyDescent="0.25">
      <c r="A317">
        <v>580</v>
      </c>
      <c r="B317" t="s">
        <v>1426</v>
      </c>
      <c r="C317" t="s">
        <v>1427</v>
      </c>
      <c r="D317" t="s">
        <v>562</v>
      </c>
      <c r="E317" t="s">
        <v>1428</v>
      </c>
      <c r="F317" t="s">
        <v>1429</v>
      </c>
      <c r="G317" t="s">
        <v>53</v>
      </c>
      <c r="H317" s="1">
        <v>36256</v>
      </c>
      <c r="I317">
        <v>27</v>
      </c>
      <c r="J317">
        <v>1999</v>
      </c>
      <c r="K317" s="1">
        <v>46003</v>
      </c>
      <c r="L317">
        <v>2025</v>
      </c>
      <c r="M317" t="s">
        <v>54</v>
      </c>
      <c r="N317">
        <v>12</v>
      </c>
      <c r="O317" t="s">
        <v>76</v>
      </c>
      <c r="P317" t="s">
        <v>69</v>
      </c>
      <c r="Q317">
        <v>60</v>
      </c>
      <c r="R317">
        <v>4</v>
      </c>
      <c r="S317" t="s">
        <v>77</v>
      </c>
      <c r="T317" t="s">
        <v>78</v>
      </c>
      <c r="U317">
        <v>10</v>
      </c>
      <c r="V317">
        <v>10</v>
      </c>
      <c r="W317">
        <v>10</v>
      </c>
      <c r="X317">
        <v>9</v>
      </c>
      <c r="Y317">
        <v>2</v>
      </c>
      <c r="Z317">
        <v>9</v>
      </c>
      <c r="AA317">
        <v>1.8888879999999999</v>
      </c>
      <c r="AB317">
        <v>17</v>
      </c>
      <c r="AC317" t="s">
        <v>70</v>
      </c>
      <c r="AD317" t="s">
        <v>112</v>
      </c>
      <c r="AE317">
        <v>0</v>
      </c>
      <c r="AF317">
        <v>0</v>
      </c>
      <c r="AG317">
        <v>1</v>
      </c>
      <c r="AH317">
        <v>2</v>
      </c>
      <c r="AI317">
        <v>0</v>
      </c>
      <c r="AJ317">
        <v>1</v>
      </c>
      <c r="AK317">
        <v>2</v>
      </c>
      <c r="AL317">
        <v>0</v>
      </c>
      <c r="AM317">
        <v>1</v>
      </c>
      <c r="AN317">
        <v>2</v>
      </c>
      <c r="AO317">
        <v>7</v>
      </c>
      <c r="AP317">
        <v>2</v>
      </c>
      <c r="AQ317">
        <v>77.777777777777004</v>
      </c>
      <c r="AR317" s="2">
        <v>45743.483310185184</v>
      </c>
      <c r="AS317" s="2">
        <v>46079.046944444446</v>
      </c>
      <c r="AT317" t="s">
        <v>61</v>
      </c>
      <c r="AU317" t="s">
        <v>1357</v>
      </c>
      <c r="AV317">
        <v>336</v>
      </c>
    </row>
    <row r="318" spans="1:48" x14ac:dyDescent="0.25">
      <c r="A318">
        <v>757</v>
      </c>
      <c r="B318" t="s">
        <v>1430</v>
      </c>
      <c r="C318" t="s">
        <v>1431</v>
      </c>
      <c r="D318" t="s">
        <v>1432</v>
      </c>
      <c r="E318" t="s">
        <v>1433</v>
      </c>
      <c r="F318" t="s">
        <v>1434</v>
      </c>
      <c r="G318" t="s">
        <v>53</v>
      </c>
      <c r="H318" s="1">
        <v>37660</v>
      </c>
      <c r="I318">
        <v>23</v>
      </c>
      <c r="J318">
        <v>2003</v>
      </c>
      <c r="K318" s="1">
        <v>46075</v>
      </c>
      <c r="L318">
        <v>2026</v>
      </c>
      <c r="M318" t="s">
        <v>54</v>
      </c>
      <c r="N318">
        <v>15</v>
      </c>
      <c r="O318" t="s">
        <v>91</v>
      </c>
      <c r="P318" t="s">
        <v>69</v>
      </c>
      <c r="Q318">
        <v>60</v>
      </c>
      <c r="R318">
        <v>5</v>
      </c>
      <c r="S318" t="s">
        <v>92</v>
      </c>
      <c r="T318" t="s">
        <v>93</v>
      </c>
      <c r="U318">
        <v>10</v>
      </c>
      <c r="V318">
        <v>10</v>
      </c>
      <c r="W318">
        <v>10</v>
      </c>
      <c r="X318">
        <v>10</v>
      </c>
      <c r="Y318">
        <v>3</v>
      </c>
      <c r="Z318">
        <v>9</v>
      </c>
      <c r="AA318">
        <v>2.555555</v>
      </c>
      <c r="AB318">
        <v>23</v>
      </c>
      <c r="AC318" t="s">
        <v>59</v>
      </c>
      <c r="AD318" t="s">
        <v>60</v>
      </c>
      <c r="AE318">
        <v>2</v>
      </c>
      <c r="AF318">
        <v>0</v>
      </c>
      <c r="AG318">
        <v>1</v>
      </c>
      <c r="AH318">
        <v>1</v>
      </c>
      <c r="AI318">
        <v>0</v>
      </c>
      <c r="AJ318">
        <v>1</v>
      </c>
      <c r="AK318">
        <v>2</v>
      </c>
      <c r="AL318">
        <v>0</v>
      </c>
      <c r="AM318">
        <v>2</v>
      </c>
      <c r="AN318">
        <v>0</v>
      </c>
      <c r="AO318">
        <v>9</v>
      </c>
      <c r="AP318">
        <v>0</v>
      </c>
      <c r="AQ318">
        <v>100</v>
      </c>
      <c r="AR318" s="2">
        <v>45779.606874999998</v>
      </c>
      <c r="AS318" s="2">
        <v>46062.155949074076</v>
      </c>
      <c r="AT318" t="s">
        <v>61</v>
      </c>
      <c r="AU318" t="s">
        <v>62</v>
      </c>
      <c r="AV318">
        <v>283</v>
      </c>
    </row>
    <row r="319" spans="1:48" x14ac:dyDescent="0.25">
      <c r="A319">
        <v>534</v>
      </c>
      <c r="B319" t="s">
        <v>1435</v>
      </c>
      <c r="C319" t="s">
        <v>1042</v>
      </c>
      <c r="D319" t="s">
        <v>1436</v>
      </c>
      <c r="E319" t="s">
        <v>1437</v>
      </c>
      <c r="F319" t="s">
        <v>1438</v>
      </c>
      <c r="G319" t="s">
        <v>104</v>
      </c>
      <c r="H319" s="1">
        <v>39351</v>
      </c>
      <c r="I319">
        <v>19</v>
      </c>
      <c r="J319">
        <v>2007</v>
      </c>
      <c r="K319" s="1">
        <v>44875</v>
      </c>
      <c r="L319">
        <v>2022</v>
      </c>
      <c r="M319" t="s">
        <v>54</v>
      </c>
      <c r="N319">
        <v>18</v>
      </c>
      <c r="O319" t="s">
        <v>139</v>
      </c>
      <c r="P319" t="s">
        <v>69</v>
      </c>
      <c r="Q319">
        <v>60</v>
      </c>
      <c r="R319">
        <v>6</v>
      </c>
      <c r="S319" t="s">
        <v>140</v>
      </c>
      <c r="T319" t="s">
        <v>141</v>
      </c>
      <c r="U319">
        <v>10</v>
      </c>
      <c r="V319">
        <v>10</v>
      </c>
      <c r="W319">
        <v>10</v>
      </c>
      <c r="X319">
        <v>9</v>
      </c>
      <c r="Y319">
        <v>2</v>
      </c>
      <c r="Z319">
        <v>7</v>
      </c>
      <c r="AA319">
        <v>1.285714</v>
      </c>
      <c r="AB319">
        <v>9</v>
      </c>
      <c r="AC319" t="s">
        <v>70</v>
      </c>
      <c r="AD319" t="s">
        <v>60</v>
      </c>
      <c r="AE319">
        <v>1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4</v>
      </c>
      <c r="AO319">
        <v>3</v>
      </c>
      <c r="AP319">
        <v>4</v>
      </c>
      <c r="AQ319">
        <v>42.857142857142001</v>
      </c>
      <c r="AR319" s="2">
        <v>45724.810624999998</v>
      </c>
      <c r="AS319" s="2">
        <v>45979.2891087963</v>
      </c>
      <c r="AT319" t="s">
        <v>61</v>
      </c>
      <c r="AU319" t="s">
        <v>1357</v>
      </c>
      <c r="AV319">
        <v>255</v>
      </c>
    </row>
    <row r="320" spans="1:48" x14ac:dyDescent="0.25">
      <c r="A320">
        <v>2</v>
      </c>
      <c r="B320" t="s">
        <v>1439</v>
      </c>
      <c r="C320" t="s">
        <v>177</v>
      </c>
      <c r="D320" t="s">
        <v>1440</v>
      </c>
      <c r="E320" t="s">
        <v>1441</v>
      </c>
      <c r="F320">
        <f>1-910-980-1326</f>
        <v>-3215</v>
      </c>
      <c r="G320" t="s">
        <v>104</v>
      </c>
      <c r="H320" s="1">
        <v>35778</v>
      </c>
      <c r="I320">
        <v>29</v>
      </c>
      <c r="J320">
        <v>1997</v>
      </c>
      <c r="K320" s="1">
        <v>45210</v>
      </c>
      <c r="L320">
        <v>2023</v>
      </c>
      <c r="M320" t="s">
        <v>54</v>
      </c>
      <c r="N320">
        <v>3</v>
      </c>
      <c r="O320" t="s">
        <v>68</v>
      </c>
      <c r="P320" t="s">
        <v>69</v>
      </c>
      <c r="Q320">
        <v>60</v>
      </c>
      <c r="R320">
        <v>1</v>
      </c>
      <c r="S320" t="s">
        <v>57</v>
      </c>
      <c r="T320" t="s">
        <v>58</v>
      </c>
      <c r="U320">
        <v>9</v>
      </c>
      <c r="V320">
        <v>10</v>
      </c>
      <c r="W320">
        <v>10</v>
      </c>
      <c r="X320">
        <v>10</v>
      </c>
      <c r="Y320">
        <v>2</v>
      </c>
      <c r="Z320">
        <v>10</v>
      </c>
      <c r="AA320">
        <v>2.5499999999999998</v>
      </c>
      <c r="AB320">
        <v>25.5</v>
      </c>
      <c r="AC320" t="s">
        <v>70</v>
      </c>
      <c r="AD320" t="s">
        <v>60</v>
      </c>
      <c r="AE320">
        <v>2</v>
      </c>
      <c r="AF320">
        <v>0</v>
      </c>
      <c r="AG320">
        <v>3</v>
      </c>
      <c r="AH320">
        <v>1</v>
      </c>
      <c r="AI320">
        <v>0</v>
      </c>
      <c r="AJ320">
        <v>0</v>
      </c>
      <c r="AK320">
        <v>2</v>
      </c>
      <c r="AL320">
        <v>0</v>
      </c>
      <c r="AM320">
        <v>0</v>
      </c>
      <c r="AN320">
        <v>2</v>
      </c>
      <c r="AO320">
        <v>8</v>
      </c>
      <c r="AP320">
        <v>2</v>
      </c>
      <c r="AQ320">
        <v>80</v>
      </c>
      <c r="AR320" s="2">
        <v>45730.943842592591</v>
      </c>
      <c r="AS320" s="2">
        <v>46076.877071759256</v>
      </c>
      <c r="AT320" t="s">
        <v>61</v>
      </c>
      <c r="AU320" t="s">
        <v>62</v>
      </c>
      <c r="AV320">
        <v>346</v>
      </c>
    </row>
    <row r="321" spans="1:48" x14ac:dyDescent="0.25">
      <c r="A321">
        <v>592</v>
      </c>
      <c r="B321" t="s">
        <v>1442</v>
      </c>
      <c r="C321" t="s">
        <v>595</v>
      </c>
      <c r="D321" t="s">
        <v>1443</v>
      </c>
      <c r="E321" t="s">
        <v>1444</v>
      </c>
      <c r="F321" t="s">
        <v>1445</v>
      </c>
      <c r="G321" t="s">
        <v>104</v>
      </c>
      <c r="H321" s="1">
        <v>35801</v>
      </c>
      <c r="I321">
        <v>28</v>
      </c>
      <c r="J321">
        <v>1998</v>
      </c>
      <c r="K321" s="1">
        <v>46055</v>
      </c>
      <c r="L321">
        <v>2026</v>
      </c>
      <c r="M321" t="s">
        <v>54</v>
      </c>
      <c r="N321">
        <v>8</v>
      </c>
      <c r="O321" t="s">
        <v>125</v>
      </c>
      <c r="P321" t="s">
        <v>56</v>
      </c>
      <c r="Q321">
        <v>36</v>
      </c>
      <c r="R321">
        <v>3</v>
      </c>
      <c r="S321" t="s">
        <v>126</v>
      </c>
      <c r="T321" t="s">
        <v>127</v>
      </c>
      <c r="U321">
        <v>10</v>
      </c>
      <c r="V321">
        <v>10</v>
      </c>
      <c r="W321">
        <v>10</v>
      </c>
      <c r="X321">
        <v>9</v>
      </c>
      <c r="Y321">
        <v>3</v>
      </c>
      <c r="Z321">
        <v>9</v>
      </c>
      <c r="AA321">
        <v>2.5</v>
      </c>
      <c r="AB321">
        <v>22.5</v>
      </c>
      <c r="AC321" t="s">
        <v>59</v>
      </c>
      <c r="AD321" t="s">
        <v>60</v>
      </c>
      <c r="AE321">
        <v>1</v>
      </c>
      <c r="AF321">
        <v>0</v>
      </c>
      <c r="AG321">
        <v>0</v>
      </c>
      <c r="AH321">
        <v>2</v>
      </c>
      <c r="AI321">
        <v>0</v>
      </c>
      <c r="AJ321">
        <v>3</v>
      </c>
      <c r="AK321">
        <v>2</v>
      </c>
      <c r="AL321">
        <v>0</v>
      </c>
      <c r="AM321">
        <v>1</v>
      </c>
      <c r="AN321">
        <v>0</v>
      </c>
      <c r="AO321">
        <v>9</v>
      </c>
      <c r="AP321">
        <v>0</v>
      </c>
      <c r="AQ321">
        <v>100</v>
      </c>
      <c r="AR321" s="2">
        <v>45781.962777777779</v>
      </c>
      <c r="AS321" s="2">
        <v>46071.936527777776</v>
      </c>
      <c r="AT321" t="s">
        <v>61</v>
      </c>
      <c r="AU321" t="s">
        <v>62</v>
      </c>
      <c r="AV321">
        <v>290</v>
      </c>
    </row>
    <row r="322" spans="1:48" x14ac:dyDescent="0.25">
      <c r="A322">
        <v>846</v>
      </c>
      <c r="B322" t="s">
        <v>1446</v>
      </c>
      <c r="C322" t="s">
        <v>595</v>
      </c>
      <c r="D322" t="s">
        <v>636</v>
      </c>
      <c r="E322" t="s">
        <v>1447</v>
      </c>
      <c r="F322" t="s">
        <v>1448</v>
      </c>
      <c r="G322" t="s">
        <v>104</v>
      </c>
      <c r="H322" s="1">
        <v>36665</v>
      </c>
      <c r="I322">
        <v>26</v>
      </c>
      <c r="J322">
        <v>2000</v>
      </c>
      <c r="K322" s="1">
        <v>44715</v>
      </c>
      <c r="L322">
        <v>2022</v>
      </c>
      <c r="M322" t="s">
        <v>54</v>
      </c>
      <c r="N322">
        <v>11</v>
      </c>
      <c r="O322" t="s">
        <v>378</v>
      </c>
      <c r="P322" t="s">
        <v>56</v>
      </c>
      <c r="Q322">
        <v>36</v>
      </c>
      <c r="R322">
        <v>4</v>
      </c>
      <c r="S322" t="s">
        <v>77</v>
      </c>
      <c r="T322" t="s">
        <v>78</v>
      </c>
      <c r="U322">
        <v>9</v>
      </c>
      <c r="V322">
        <v>10</v>
      </c>
      <c r="W322">
        <v>10</v>
      </c>
      <c r="X322">
        <v>7</v>
      </c>
      <c r="Y322">
        <v>3</v>
      </c>
      <c r="Z322">
        <v>8</v>
      </c>
      <c r="AA322">
        <v>1.8125</v>
      </c>
      <c r="AB322">
        <v>14.5</v>
      </c>
      <c r="AC322" t="s">
        <v>70</v>
      </c>
      <c r="AD322" t="s">
        <v>60</v>
      </c>
      <c r="AE322">
        <v>1</v>
      </c>
      <c r="AF322">
        <v>0</v>
      </c>
      <c r="AG322">
        <v>1</v>
      </c>
      <c r="AH322">
        <v>1</v>
      </c>
      <c r="AI322">
        <v>0</v>
      </c>
      <c r="AJ322">
        <v>0</v>
      </c>
      <c r="AK322">
        <v>1</v>
      </c>
      <c r="AL322">
        <v>0</v>
      </c>
      <c r="AM322">
        <v>2</v>
      </c>
      <c r="AN322">
        <v>2</v>
      </c>
      <c r="AO322">
        <v>6</v>
      </c>
      <c r="AP322">
        <v>2</v>
      </c>
      <c r="AQ322">
        <v>75</v>
      </c>
      <c r="AR322" s="2">
        <v>45730.802337962959</v>
      </c>
      <c r="AS322" s="2">
        <v>46085.228807870371</v>
      </c>
      <c r="AT322" t="s">
        <v>61</v>
      </c>
      <c r="AU322" t="s">
        <v>62</v>
      </c>
      <c r="AV322">
        <v>355</v>
      </c>
    </row>
    <row r="323" spans="1:48" x14ac:dyDescent="0.25">
      <c r="A323">
        <v>377</v>
      </c>
      <c r="B323" t="s">
        <v>1449</v>
      </c>
      <c r="C323" t="s">
        <v>627</v>
      </c>
      <c r="D323" t="s">
        <v>1450</v>
      </c>
      <c r="E323" t="s">
        <v>1451</v>
      </c>
      <c r="F323" t="s">
        <v>1452</v>
      </c>
      <c r="G323" t="s">
        <v>104</v>
      </c>
      <c r="H323" s="1">
        <v>35639</v>
      </c>
      <c r="I323">
        <v>29</v>
      </c>
      <c r="J323">
        <v>1997</v>
      </c>
      <c r="K323" s="1">
        <v>45446</v>
      </c>
      <c r="L323">
        <v>2024</v>
      </c>
      <c r="M323" t="s">
        <v>54</v>
      </c>
      <c r="N323">
        <v>2</v>
      </c>
      <c r="O323" t="s">
        <v>55</v>
      </c>
      <c r="P323" t="s">
        <v>56</v>
      </c>
      <c r="Q323">
        <v>36</v>
      </c>
      <c r="R323">
        <v>1</v>
      </c>
      <c r="S323" t="s">
        <v>57</v>
      </c>
      <c r="T323" t="s">
        <v>58</v>
      </c>
      <c r="U323">
        <v>10</v>
      </c>
      <c r="V323">
        <v>10</v>
      </c>
      <c r="W323">
        <v>10</v>
      </c>
      <c r="X323">
        <v>9</v>
      </c>
      <c r="Y323">
        <v>2</v>
      </c>
      <c r="Z323">
        <v>8</v>
      </c>
      <c r="AA323">
        <v>1.8125</v>
      </c>
      <c r="AB323">
        <v>14.5</v>
      </c>
      <c r="AC323" t="s">
        <v>70</v>
      </c>
      <c r="AD323" t="s">
        <v>112</v>
      </c>
      <c r="AE323">
        <v>0</v>
      </c>
      <c r="AF323">
        <v>0</v>
      </c>
      <c r="AG323">
        <v>2</v>
      </c>
      <c r="AH323">
        <v>1</v>
      </c>
      <c r="AI323">
        <v>0</v>
      </c>
      <c r="AJ323">
        <v>1</v>
      </c>
      <c r="AK323">
        <v>0</v>
      </c>
      <c r="AL323">
        <v>0</v>
      </c>
      <c r="AM323">
        <v>2</v>
      </c>
      <c r="AN323">
        <v>2</v>
      </c>
      <c r="AO323">
        <v>6</v>
      </c>
      <c r="AP323">
        <v>2</v>
      </c>
      <c r="AQ323">
        <v>75</v>
      </c>
      <c r="AR323" s="2">
        <v>45722.146331018521</v>
      </c>
      <c r="AS323" s="2">
        <v>46063.322581018518</v>
      </c>
      <c r="AT323" t="s">
        <v>61</v>
      </c>
      <c r="AU323" t="s">
        <v>1357</v>
      </c>
      <c r="AV323">
        <v>341</v>
      </c>
    </row>
    <row r="324" spans="1:48" x14ac:dyDescent="0.25">
      <c r="A324">
        <v>307</v>
      </c>
      <c r="B324" t="s">
        <v>1453</v>
      </c>
      <c r="C324" t="s">
        <v>867</v>
      </c>
      <c r="D324" t="s">
        <v>1454</v>
      </c>
      <c r="E324" t="s">
        <v>1455</v>
      </c>
      <c r="F324" t="s">
        <v>1456</v>
      </c>
      <c r="G324" t="s">
        <v>53</v>
      </c>
      <c r="H324" s="1">
        <v>35680</v>
      </c>
      <c r="I324">
        <v>29</v>
      </c>
      <c r="J324">
        <v>1997</v>
      </c>
      <c r="K324" s="1">
        <v>44672</v>
      </c>
      <c r="L324">
        <v>2022</v>
      </c>
      <c r="M324" t="s">
        <v>54</v>
      </c>
      <c r="N324">
        <v>4</v>
      </c>
      <c r="O324" t="s">
        <v>215</v>
      </c>
      <c r="P324" t="s">
        <v>119</v>
      </c>
      <c r="Q324">
        <v>120</v>
      </c>
      <c r="R324">
        <v>2</v>
      </c>
      <c r="S324" t="s">
        <v>85</v>
      </c>
      <c r="T324" t="s">
        <v>86</v>
      </c>
      <c r="U324">
        <v>9</v>
      </c>
      <c r="V324">
        <v>10</v>
      </c>
      <c r="W324">
        <v>10</v>
      </c>
      <c r="X324">
        <v>10</v>
      </c>
      <c r="Y324">
        <v>2</v>
      </c>
      <c r="Z324">
        <v>7</v>
      </c>
      <c r="AA324">
        <v>1.785714</v>
      </c>
      <c r="AB324">
        <v>12.5</v>
      </c>
      <c r="AC324" t="s">
        <v>70</v>
      </c>
      <c r="AD324" t="s">
        <v>112</v>
      </c>
      <c r="AE324">
        <v>0</v>
      </c>
      <c r="AF324">
        <v>0</v>
      </c>
      <c r="AG324">
        <v>1</v>
      </c>
      <c r="AH324">
        <v>2</v>
      </c>
      <c r="AI324">
        <v>0</v>
      </c>
      <c r="AJ324">
        <v>0</v>
      </c>
      <c r="AK324">
        <v>1</v>
      </c>
      <c r="AL324">
        <v>0</v>
      </c>
      <c r="AM324">
        <v>1</v>
      </c>
      <c r="AN324">
        <v>2</v>
      </c>
      <c r="AO324">
        <v>5</v>
      </c>
      <c r="AP324">
        <v>2</v>
      </c>
      <c r="AQ324">
        <v>71.428571428571004</v>
      </c>
      <c r="AR324" s="2">
        <v>45733.430532407408</v>
      </c>
      <c r="AS324" s="2">
        <v>46044.537314814814</v>
      </c>
      <c r="AT324" t="s">
        <v>61</v>
      </c>
      <c r="AU324" t="s">
        <v>1357</v>
      </c>
      <c r="AV324">
        <v>311</v>
      </c>
    </row>
    <row r="325" spans="1:48" x14ac:dyDescent="0.25">
      <c r="A325">
        <v>288</v>
      </c>
      <c r="B325" t="s">
        <v>1457</v>
      </c>
      <c r="C325" t="s">
        <v>1458</v>
      </c>
      <c r="D325" t="s">
        <v>1459</v>
      </c>
      <c r="E325" t="s">
        <v>1460</v>
      </c>
      <c r="F325" t="s">
        <v>1461</v>
      </c>
      <c r="G325" t="s">
        <v>104</v>
      </c>
      <c r="H325" s="1">
        <v>37414</v>
      </c>
      <c r="I325">
        <v>24</v>
      </c>
      <c r="J325">
        <v>2002</v>
      </c>
      <c r="K325" s="1">
        <v>45440</v>
      </c>
      <c r="L325">
        <v>2024</v>
      </c>
      <c r="M325" t="s">
        <v>54</v>
      </c>
      <c r="N325">
        <v>17</v>
      </c>
      <c r="O325" t="s">
        <v>350</v>
      </c>
      <c r="P325" t="s">
        <v>56</v>
      </c>
      <c r="Q325">
        <v>36</v>
      </c>
      <c r="R325">
        <v>6</v>
      </c>
      <c r="S325" t="s">
        <v>140</v>
      </c>
      <c r="T325" t="s">
        <v>141</v>
      </c>
      <c r="U325">
        <v>10</v>
      </c>
      <c r="V325">
        <v>10</v>
      </c>
      <c r="W325">
        <v>10</v>
      </c>
      <c r="X325">
        <v>7</v>
      </c>
      <c r="Y325">
        <v>2</v>
      </c>
      <c r="Z325">
        <v>8</v>
      </c>
      <c r="AA325">
        <v>2.1875</v>
      </c>
      <c r="AB325">
        <v>17.5</v>
      </c>
      <c r="AC325" t="s">
        <v>70</v>
      </c>
      <c r="AD325" t="s">
        <v>112</v>
      </c>
      <c r="AE325">
        <v>0</v>
      </c>
      <c r="AF325">
        <v>0</v>
      </c>
      <c r="AG325">
        <v>1</v>
      </c>
      <c r="AH325">
        <v>1</v>
      </c>
      <c r="AI325">
        <v>0</v>
      </c>
      <c r="AJ325">
        <v>4</v>
      </c>
      <c r="AK325">
        <v>0</v>
      </c>
      <c r="AL325">
        <v>0</v>
      </c>
      <c r="AM325">
        <v>1</v>
      </c>
      <c r="AN325">
        <v>1</v>
      </c>
      <c r="AO325">
        <v>7</v>
      </c>
      <c r="AP325">
        <v>1</v>
      </c>
      <c r="AQ325">
        <v>87.5</v>
      </c>
      <c r="AR325" s="2">
        <v>45786.613842592589</v>
      </c>
      <c r="AS325" s="2">
        <v>46084.072557870371</v>
      </c>
      <c r="AT325" t="s">
        <v>61</v>
      </c>
      <c r="AU325" t="s">
        <v>1357</v>
      </c>
      <c r="AV325">
        <v>298</v>
      </c>
    </row>
    <row r="326" spans="1:48" x14ac:dyDescent="0.25">
      <c r="A326">
        <v>186</v>
      </c>
      <c r="B326" t="s">
        <v>1462</v>
      </c>
      <c r="C326" t="s">
        <v>1463</v>
      </c>
      <c r="D326" t="s">
        <v>1464</v>
      </c>
      <c r="E326" t="s">
        <v>1465</v>
      </c>
      <c r="F326" t="s">
        <v>1466</v>
      </c>
      <c r="G326" t="s">
        <v>53</v>
      </c>
      <c r="H326" s="1">
        <v>37647</v>
      </c>
      <c r="I326">
        <v>23</v>
      </c>
      <c r="J326">
        <v>2003</v>
      </c>
      <c r="K326" s="1">
        <v>45259</v>
      </c>
      <c r="L326">
        <v>2023</v>
      </c>
      <c r="M326" t="s">
        <v>54</v>
      </c>
      <c r="N326">
        <v>10</v>
      </c>
      <c r="O326" t="s">
        <v>118</v>
      </c>
      <c r="P326" t="s">
        <v>119</v>
      </c>
      <c r="Q326">
        <v>120</v>
      </c>
      <c r="R326">
        <v>4</v>
      </c>
      <c r="S326" t="s">
        <v>77</v>
      </c>
      <c r="T326" t="s">
        <v>78</v>
      </c>
      <c r="U326">
        <v>10</v>
      </c>
      <c r="V326">
        <v>10</v>
      </c>
      <c r="W326">
        <v>10</v>
      </c>
      <c r="X326">
        <v>10</v>
      </c>
      <c r="Y326">
        <v>3</v>
      </c>
      <c r="Z326">
        <v>7</v>
      </c>
      <c r="AA326">
        <v>2.7142849999999998</v>
      </c>
      <c r="AB326">
        <v>19</v>
      </c>
      <c r="AC326" t="s">
        <v>59</v>
      </c>
      <c r="AD326" t="s">
        <v>112</v>
      </c>
      <c r="AE326">
        <v>0</v>
      </c>
      <c r="AF326">
        <v>0</v>
      </c>
      <c r="AG326">
        <v>2</v>
      </c>
      <c r="AH326">
        <v>3</v>
      </c>
      <c r="AI326">
        <v>0</v>
      </c>
      <c r="AJ326">
        <v>0</v>
      </c>
      <c r="AK326">
        <v>1</v>
      </c>
      <c r="AL326">
        <v>0</v>
      </c>
      <c r="AM326">
        <v>1</v>
      </c>
      <c r="AN326">
        <v>0</v>
      </c>
      <c r="AO326">
        <v>7</v>
      </c>
      <c r="AP326">
        <v>0</v>
      </c>
      <c r="AQ326">
        <v>100</v>
      </c>
      <c r="AR326" s="2">
        <v>45726.739178240743</v>
      </c>
      <c r="AS326" s="2">
        <v>46019.747361111113</v>
      </c>
      <c r="AT326" t="s">
        <v>61</v>
      </c>
      <c r="AU326" t="s">
        <v>62</v>
      </c>
      <c r="AV326">
        <v>293</v>
      </c>
    </row>
    <row r="327" spans="1:48" x14ac:dyDescent="0.25">
      <c r="A327">
        <v>260</v>
      </c>
      <c r="B327" t="s">
        <v>1467</v>
      </c>
      <c r="C327" t="s">
        <v>1468</v>
      </c>
      <c r="D327" t="s">
        <v>691</v>
      </c>
      <c r="E327" t="s">
        <v>1469</v>
      </c>
      <c r="F327" t="s">
        <v>1470</v>
      </c>
      <c r="G327" t="s">
        <v>53</v>
      </c>
      <c r="H327" s="1">
        <v>35204</v>
      </c>
      <c r="I327">
        <v>30</v>
      </c>
      <c r="J327">
        <v>1996</v>
      </c>
      <c r="K327" s="1">
        <v>45609</v>
      </c>
      <c r="L327">
        <v>2024</v>
      </c>
      <c r="M327" t="s">
        <v>54</v>
      </c>
      <c r="N327">
        <v>12</v>
      </c>
      <c r="O327" t="s">
        <v>76</v>
      </c>
      <c r="P327" t="s">
        <v>69</v>
      </c>
      <c r="Q327">
        <v>60</v>
      </c>
      <c r="R327">
        <v>4</v>
      </c>
      <c r="S327" t="s">
        <v>77</v>
      </c>
      <c r="T327" t="s">
        <v>78</v>
      </c>
      <c r="U327">
        <v>10</v>
      </c>
      <c r="V327">
        <v>10</v>
      </c>
      <c r="W327">
        <v>10</v>
      </c>
      <c r="X327">
        <v>8</v>
      </c>
      <c r="Y327">
        <v>2</v>
      </c>
      <c r="Z327">
        <v>10</v>
      </c>
      <c r="AA327">
        <v>2.75</v>
      </c>
      <c r="AB327">
        <v>27.5</v>
      </c>
      <c r="AC327" t="s">
        <v>70</v>
      </c>
      <c r="AD327" t="s">
        <v>60</v>
      </c>
      <c r="AE327">
        <v>4</v>
      </c>
      <c r="AF327">
        <v>0</v>
      </c>
      <c r="AG327">
        <v>0</v>
      </c>
      <c r="AH327">
        <v>0</v>
      </c>
      <c r="AI327">
        <v>0</v>
      </c>
      <c r="AJ327">
        <v>3</v>
      </c>
      <c r="AK327">
        <v>2</v>
      </c>
      <c r="AL327">
        <v>0</v>
      </c>
      <c r="AM327">
        <v>0</v>
      </c>
      <c r="AN327">
        <v>1</v>
      </c>
      <c r="AO327">
        <v>9</v>
      </c>
      <c r="AP327">
        <v>1</v>
      </c>
      <c r="AQ327">
        <v>90</v>
      </c>
      <c r="AR327" s="2">
        <v>45753.340532407405</v>
      </c>
      <c r="AS327" s="2">
        <v>46063.54184027778</v>
      </c>
      <c r="AT327" t="s">
        <v>61</v>
      </c>
      <c r="AU327" t="s">
        <v>62</v>
      </c>
      <c r="AV327">
        <v>310</v>
      </c>
    </row>
    <row r="328" spans="1:48" x14ac:dyDescent="0.25">
      <c r="A328">
        <v>84</v>
      </c>
      <c r="B328" t="s">
        <v>1471</v>
      </c>
      <c r="C328" t="s">
        <v>1472</v>
      </c>
      <c r="D328" t="s">
        <v>596</v>
      </c>
      <c r="E328" t="s">
        <v>1473</v>
      </c>
      <c r="F328" t="s">
        <v>1474</v>
      </c>
      <c r="G328" t="s">
        <v>53</v>
      </c>
      <c r="H328" s="1">
        <v>36838</v>
      </c>
      <c r="I328">
        <v>26</v>
      </c>
      <c r="J328">
        <v>2000</v>
      </c>
      <c r="K328" s="1">
        <v>45209</v>
      </c>
      <c r="L328">
        <v>2023</v>
      </c>
      <c r="M328" t="s">
        <v>54</v>
      </c>
      <c r="N328">
        <v>14</v>
      </c>
      <c r="O328" t="s">
        <v>105</v>
      </c>
      <c r="P328" t="s">
        <v>56</v>
      </c>
      <c r="Q328">
        <v>36</v>
      </c>
      <c r="R328">
        <v>5</v>
      </c>
      <c r="S328" t="s">
        <v>92</v>
      </c>
      <c r="T328" t="s">
        <v>93</v>
      </c>
      <c r="U328">
        <v>9</v>
      </c>
      <c r="V328">
        <v>10</v>
      </c>
      <c r="W328">
        <v>10</v>
      </c>
      <c r="X328">
        <v>8</v>
      </c>
      <c r="Y328">
        <v>3</v>
      </c>
      <c r="Z328">
        <v>10</v>
      </c>
      <c r="AA328">
        <v>1.7</v>
      </c>
      <c r="AB328">
        <v>17</v>
      </c>
      <c r="AC328" t="s">
        <v>70</v>
      </c>
      <c r="AD328" t="s">
        <v>112</v>
      </c>
      <c r="AE328">
        <v>0</v>
      </c>
      <c r="AF328">
        <v>0</v>
      </c>
      <c r="AG328">
        <v>2</v>
      </c>
      <c r="AH328">
        <v>1</v>
      </c>
      <c r="AI328">
        <v>0</v>
      </c>
      <c r="AJ328">
        <v>0</v>
      </c>
      <c r="AK328">
        <v>3</v>
      </c>
      <c r="AL328">
        <v>0</v>
      </c>
      <c r="AM328">
        <v>1</v>
      </c>
      <c r="AN328">
        <v>3</v>
      </c>
      <c r="AO328">
        <v>7</v>
      </c>
      <c r="AP328">
        <v>3</v>
      </c>
      <c r="AQ328">
        <v>70</v>
      </c>
      <c r="AR328" s="2">
        <v>45830.073981481481</v>
      </c>
      <c r="AS328" s="2">
        <v>46082.845277777778</v>
      </c>
      <c r="AT328" t="s">
        <v>61</v>
      </c>
      <c r="AU328" t="s">
        <v>62</v>
      </c>
      <c r="AV328">
        <v>252</v>
      </c>
    </row>
    <row r="329" spans="1:48" x14ac:dyDescent="0.25">
      <c r="A329">
        <v>42</v>
      </c>
      <c r="B329" t="s">
        <v>1475</v>
      </c>
      <c r="C329" t="s">
        <v>648</v>
      </c>
      <c r="D329" t="s">
        <v>1476</v>
      </c>
      <c r="E329" t="s">
        <v>1477</v>
      </c>
      <c r="F329" t="s">
        <v>1478</v>
      </c>
      <c r="G329" t="s">
        <v>104</v>
      </c>
      <c r="H329" s="1">
        <v>37115</v>
      </c>
      <c r="I329">
        <v>25</v>
      </c>
      <c r="J329">
        <v>2001</v>
      </c>
      <c r="K329" s="1">
        <v>44679</v>
      </c>
      <c r="L329">
        <v>2022</v>
      </c>
      <c r="M329" t="s">
        <v>54</v>
      </c>
      <c r="N329">
        <v>17</v>
      </c>
      <c r="O329" t="s">
        <v>350</v>
      </c>
      <c r="P329" t="s">
        <v>56</v>
      </c>
      <c r="Q329">
        <v>36</v>
      </c>
      <c r="R329">
        <v>6</v>
      </c>
      <c r="S329" t="s">
        <v>140</v>
      </c>
      <c r="T329" t="s">
        <v>141</v>
      </c>
      <c r="U329">
        <v>9</v>
      </c>
      <c r="V329">
        <v>10</v>
      </c>
      <c r="W329">
        <v>10</v>
      </c>
      <c r="X329">
        <v>9</v>
      </c>
      <c r="Y329">
        <v>3</v>
      </c>
      <c r="Z329">
        <v>9</v>
      </c>
      <c r="AA329">
        <v>2.5</v>
      </c>
      <c r="AB329">
        <v>22.5</v>
      </c>
      <c r="AC329" t="s">
        <v>70</v>
      </c>
      <c r="AD329" t="s">
        <v>60</v>
      </c>
      <c r="AE329">
        <v>3</v>
      </c>
      <c r="AF329">
        <v>0</v>
      </c>
      <c r="AG329">
        <v>0</v>
      </c>
      <c r="AH329">
        <v>0</v>
      </c>
      <c r="AI329">
        <v>0</v>
      </c>
      <c r="AJ329">
        <v>3</v>
      </c>
      <c r="AK329">
        <v>1</v>
      </c>
      <c r="AL329">
        <v>0</v>
      </c>
      <c r="AM329">
        <v>1</v>
      </c>
      <c r="AN329">
        <v>1</v>
      </c>
      <c r="AO329">
        <v>8</v>
      </c>
      <c r="AP329">
        <v>1</v>
      </c>
      <c r="AQ329">
        <v>88.888888888888005</v>
      </c>
      <c r="AR329" s="2">
        <v>45741.616018518522</v>
      </c>
      <c r="AS329" s="2">
        <v>46050.475775462961</v>
      </c>
      <c r="AT329" t="s">
        <v>61</v>
      </c>
      <c r="AU329" t="s">
        <v>62</v>
      </c>
      <c r="AV329">
        <v>309</v>
      </c>
    </row>
    <row r="330" spans="1:48" x14ac:dyDescent="0.25">
      <c r="A330">
        <v>767</v>
      </c>
      <c r="B330" t="s">
        <v>1479</v>
      </c>
      <c r="C330" t="s">
        <v>1480</v>
      </c>
      <c r="D330" t="s">
        <v>144</v>
      </c>
      <c r="E330" t="s">
        <v>1481</v>
      </c>
      <c r="F330" t="s">
        <v>1482</v>
      </c>
      <c r="G330" t="s">
        <v>104</v>
      </c>
      <c r="H330" s="1">
        <v>35200</v>
      </c>
      <c r="I330">
        <v>30</v>
      </c>
      <c r="J330">
        <v>1996</v>
      </c>
      <c r="K330" s="1">
        <v>46068</v>
      </c>
      <c r="L330">
        <v>2026</v>
      </c>
      <c r="M330" t="s">
        <v>54</v>
      </c>
      <c r="N330">
        <v>19</v>
      </c>
      <c r="O330" t="s">
        <v>162</v>
      </c>
      <c r="P330" t="s">
        <v>119</v>
      </c>
      <c r="Q330">
        <v>120</v>
      </c>
      <c r="R330">
        <v>7</v>
      </c>
      <c r="S330" t="s">
        <v>163</v>
      </c>
      <c r="T330" t="s">
        <v>164</v>
      </c>
      <c r="U330">
        <v>10</v>
      </c>
      <c r="V330">
        <v>10</v>
      </c>
      <c r="W330">
        <v>10</v>
      </c>
      <c r="X330">
        <v>10</v>
      </c>
      <c r="Y330">
        <v>3</v>
      </c>
      <c r="Z330">
        <v>8</v>
      </c>
      <c r="AA330">
        <v>2.9375</v>
      </c>
      <c r="AB330">
        <v>23.5</v>
      </c>
      <c r="AC330" t="s">
        <v>70</v>
      </c>
      <c r="AD330" t="s">
        <v>60</v>
      </c>
      <c r="AE330">
        <v>2</v>
      </c>
      <c r="AF330">
        <v>0</v>
      </c>
      <c r="AG330">
        <v>3</v>
      </c>
      <c r="AH330">
        <v>1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1</v>
      </c>
      <c r="AO330">
        <v>7</v>
      </c>
      <c r="AP330">
        <v>1</v>
      </c>
      <c r="AQ330">
        <v>87.5</v>
      </c>
      <c r="AR330" s="2">
        <v>45779.770277777781</v>
      </c>
      <c r="AS330" s="2">
        <v>46059.581620370373</v>
      </c>
      <c r="AT330" t="s">
        <v>61</v>
      </c>
      <c r="AU330" t="s">
        <v>62</v>
      </c>
      <c r="AV330">
        <v>280</v>
      </c>
    </row>
    <row r="331" spans="1:48" x14ac:dyDescent="0.25">
      <c r="A331">
        <v>803</v>
      </c>
      <c r="B331" t="s">
        <v>1483</v>
      </c>
      <c r="C331" t="s">
        <v>1484</v>
      </c>
      <c r="D331" t="s">
        <v>1485</v>
      </c>
      <c r="E331" t="s">
        <v>1486</v>
      </c>
      <c r="F331">
        <v>3689828503</v>
      </c>
      <c r="G331" t="s">
        <v>53</v>
      </c>
      <c r="H331" s="1">
        <v>39274</v>
      </c>
      <c r="I331">
        <v>19</v>
      </c>
      <c r="J331">
        <v>2007</v>
      </c>
      <c r="K331" s="1">
        <v>45928</v>
      </c>
      <c r="L331">
        <v>2025</v>
      </c>
      <c r="M331" t="s">
        <v>111</v>
      </c>
      <c r="N331">
        <v>3</v>
      </c>
      <c r="O331" t="s">
        <v>68</v>
      </c>
      <c r="P331" t="s">
        <v>69</v>
      </c>
      <c r="Q331">
        <v>60</v>
      </c>
      <c r="R331">
        <v>1</v>
      </c>
      <c r="S331" t="s">
        <v>57</v>
      </c>
      <c r="T331" t="s">
        <v>58</v>
      </c>
      <c r="U331">
        <v>8</v>
      </c>
      <c r="V331">
        <v>10</v>
      </c>
      <c r="W331">
        <v>10</v>
      </c>
      <c r="X331">
        <v>8</v>
      </c>
      <c r="Y331">
        <v>2</v>
      </c>
      <c r="Z331">
        <v>7</v>
      </c>
      <c r="AA331">
        <v>1.2142850000000001</v>
      </c>
      <c r="AB331">
        <v>8.5</v>
      </c>
      <c r="AC331" t="s">
        <v>70</v>
      </c>
      <c r="AD331" t="s">
        <v>1061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1</v>
      </c>
      <c r="AK331">
        <v>1</v>
      </c>
      <c r="AL331">
        <v>0</v>
      </c>
      <c r="AM331">
        <v>4</v>
      </c>
      <c r="AN331">
        <v>1</v>
      </c>
      <c r="AO331">
        <v>6</v>
      </c>
      <c r="AP331">
        <v>1</v>
      </c>
      <c r="AQ331">
        <v>85.714285714284998</v>
      </c>
      <c r="AR331" s="2">
        <v>45762.888067129628</v>
      </c>
      <c r="AS331" s="2">
        <v>46070.416018518517</v>
      </c>
      <c r="AT331" t="s">
        <v>61</v>
      </c>
      <c r="AU331" t="s">
        <v>1357</v>
      </c>
      <c r="AV331">
        <v>308</v>
      </c>
    </row>
    <row r="332" spans="1:48" x14ac:dyDescent="0.25">
      <c r="A332">
        <v>45</v>
      </c>
      <c r="B332" t="s">
        <v>1487</v>
      </c>
      <c r="C332" t="s">
        <v>1223</v>
      </c>
      <c r="D332" t="s">
        <v>1488</v>
      </c>
      <c r="E332" t="s">
        <v>1489</v>
      </c>
      <c r="F332" t="s">
        <v>1490</v>
      </c>
      <c r="G332" t="s">
        <v>104</v>
      </c>
      <c r="H332" s="1">
        <v>37285</v>
      </c>
      <c r="I332">
        <v>24</v>
      </c>
      <c r="J332">
        <v>2002</v>
      </c>
      <c r="K332" s="1">
        <v>45451</v>
      </c>
      <c r="L332">
        <v>2024</v>
      </c>
      <c r="M332" t="s">
        <v>54</v>
      </c>
      <c r="N332">
        <v>5</v>
      </c>
      <c r="O332" t="s">
        <v>84</v>
      </c>
      <c r="P332" t="s">
        <v>56</v>
      </c>
      <c r="Q332">
        <v>36</v>
      </c>
      <c r="R332">
        <v>2</v>
      </c>
      <c r="S332" t="s">
        <v>85</v>
      </c>
      <c r="T332" t="s">
        <v>86</v>
      </c>
      <c r="U332">
        <v>10</v>
      </c>
      <c r="V332">
        <v>10</v>
      </c>
      <c r="W332">
        <v>10</v>
      </c>
      <c r="X332">
        <v>9</v>
      </c>
      <c r="Y332">
        <v>3</v>
      </c>
      <c r="Z332">
        <v>8</v>
      </c>
      <c r="AA332">
        <v>2.25</v>
      </c>
      <c r="AB332">
        <v>18</v>
      </c>
      <c r="AC332" t="s">
        <v>70</v>
      </c>
      <c r="AD332" t="s">
        <v>60</v>
      </c>
      <c r="AE332">
        <v>1</v>
      </c>
      <c r="AF332">
        <v>0</v>
      </c>
      <c r="AG332">
        <v>1</v>
      </c>
      <c r="AH332">
        <v>2</v>
      </c>
      <c r="AI332">
        <v>0</v>
      </c>
      <c r="AJ332">
        <v>1</v>
      </c>
      <c r="AK332">
        <v>0</v>
      </c>
      <c r="AL332">
        <v>0</v>
      </c>
      <c r="AM332">
        <v>2</v>
      </c>
      <c r="AN332">
        <v>1</v>
      </c>
      <c r="AO332">
        <v>7</v>
      </c>
      <c r="AP332">
        <v>1</v>
      </c>
      <c r="AQ332">
        <v>87.5</v>
      </c>
      <c r="AR332" s="2">
        <v>45784.651817129627</v>
      </c>
      <c r="AS332" s="2">
        <v>46044.010625000003</v>
      </c>
      <c r="AT332" t="s">
        <v>61</v>
      </c>
      <c r="AU332" t="s">
        <v>62</v>
      </c>
      <c r="AV332">
        <v>260</v>
      </c>
    </row>
    <row r="333" spans="1:48" x14ac:dyDescent="0.25">
      <c r="A333">
        <v>494</v>
      </c>
      <c r="B333" t="s">
        <v>1491</v>
      </c>
      <c r="C333" t="s">
        <v>1492</v>
      </c>
      <c r="D333" t="s">
        <v>514</v>
      </c>
      <c r="E333" t="s">
        <v>1493</v>
      </c>
      <c r="F333" t="s">
        <v>1494</v>
      </c>
      <c r="G333" t="s">
        <v>104</v>
      </c>
      <c r="H333" s="1">
        <v>36071</v>
      </c>
      <c r="I333">
        <v>28</v>
      </c>
      <c r="J333">
        <v>1998</v>
      </c>
      <c r="K333" s="1">
        <v>44635</v>
      </c>
      <c r="L333">
        <v>2022</v>
      </c>
      <c r="M333" t="s">
        <v>54</v>
      </c>
      <c r="N333">
        <v>19</v>
      </c>
      <c r="O333" t="s">
        <v>162</v>
      </c>
      <c r="P333" t="s">
        <v>119</v>
      </c>
      <c r="Q333">
        <v>120</v>
      </c>
      <c r="R333">
        <v>7</v>
      </c>
      <c r="S333" t="s">
        <v>163</v>
      </c>
      <c r="T333" t="s">
        <v>164</v>
      </c>
      <c r="U333">
        <v>8</v>
      </c>
      <c r="V333">
        <v>10</v>
      </c>
      <c r="W333">
        <v>10</v>
      </c>
      <c r="X333">
        <v>10</v>
      </c>
      <c r="Y333">
        <v>3</v>
      </c>
      <c r="Z333">
        <v>10</v>
      </c>
      <c r="AA333">
        <v>2.9</v>
      </c>
      <c r="AB333">
        <v>29</v>
      </c>
      <c r="AC333" t="s">
        <v>59</v>
      </c>
      <c r="AD333" t="s">
        <v>60</v>
      </c>
      <c r="AE333">
        <v>2</v>
      </c>
      <c r="AF333">
        <v>0</v>
      </c>
      <c r="AG333">
        <v>3</v>
      </c>
      <c r="AH333">
        <v>1</v>
      </c>
      <c r="AI333">
        <v>0</v>
      </c>
      <c r="AJ333">
        <v>1</v>
      </c>
      <c r="AK333">
        <v>2</v>
      </c>
      <c r="AL333">
        <v>0</v>
      </c>
      <c r="AM333">
        <v>1</v>
      </c>
      <c r="AN333">
        <v>0</v>
      </c>
      <c r="AO333">
        <v>10</v>
      </c>
      <c r="AP333">
        <v>0</v>
      </c>
      <c r="AQ333">
        <v>100</v>
      </c>
      <c r="AR333" s="2">
        <v>45739.871886574074</v>
      </c>
      <c r="AS333" s="2">
        <v>46082.587453703702</v>
      </c>
      <c r="AT333" t="s">
        <v>61</v>
      </c>
      <c r="AU333" t="s">
        <v>62</v>
      </c>
      <c r="AV333">
        <v>343</v>
      </c>
    </row>
    <row r="334" spans="1:48" x14ac:dyDescent="0.25">
      <c r="A334">
        <v>362</v>
      </c>
      <c r="B334" t="s">
        <v>1495</v>
      </c>
      <c r="C334" t="s">
        <v>1057</v>
      </c>
      <c r="D334" t="s">
        <v>267</v>
      </c>
      <c r="E334" t="s">
        <v>1496</v>
      </c>
      <c r="F334" t="s">
        <v>1497</v>
      </c>
      <c r="G334" t="s">
        <v>53</v>
      </c>
      <c r="H334" s="1">
        <v>35019</v>
      </c>
      <c r="I334">
        <v>31</v>
      </c>
      <c r="J334">
        <v>1995</v>
      </c>
      <c r="K334" s="1">
        <v>45157</v>
      </c>
      <c r="L334">
        <v>2023</v>
      </c>
      <c r="M334" t="s">
        <v>54</v>
      </c>
      <c r="N334">
        <v>3</v>
      </c>
      <c r="O334" t="s">
        <v>68</v>
      </c>
      <c r="P334" t="s">
        <v>69</v>
      </c>
      <c r="Q334">
        <v>60</v>
      </c>
      <c r="R334">
        <v>1</v>
      </c>
      <c r="S334" t="s">
        <v>57</v>
      </c>
      <c r="T334" t="s">
        <v>58</v>
      </c>
      <c r="U334">
        <v>10</v>
      </c>
      <c r="V334">
        <v>10</v>
      </c>
      <c r="W334">
        <v>10</v>
      </c>
      <c r="X334">
        <v>10</v>
      </c>
      <c r="Y334">
        <v>3</v>
      </c>
      <c r="Z334">
        <v>7</v>
      </c>
      <c r="AA334">
        <v>2.071428</v>
      </c>
      <c r="AB334">
        <v>14.5</v>
      </c>
      <c r="AC334" t="s">
        <v>70</v>
      </c>
      <c r="AD334" t="s">
        <v>60</v>
      </c>
      <c r="AE334">
        <v>1</v>
      </c>
      <c r="AF334">
        <v>0</v>
      </c>
      <c r="AG334">
        <v>1</v>
      </c>
      <c r="AH334">
        <v>0</v>
      </c>
      <c r="AI334">
        <v>0</v>
      </c>
      <c r="AJ334">
        <v>2</v>
      </c>
      <c r="AK334">
        <v>1</v>
      </c>
      <c r="AL334">
        <v>0</v>
      </c>
      <c r="AM334">
        <v>0</v>
      </c>
      <c r="AN334">
        <v>2</v>
      </c>
      <c r="AO334">
        <v>5</v>
      </c>
      <c r="AP334">
        <v>2</v>
      </c>
      <c r="AQ334">
        <v>71.428571428571004</v>
      </c>
      <c r="AR334" s="2">
        <v>45736.980347222219</v>
      </c>
      <c r="AS334" s="2">
        <v>46069.790671296294</v>
      </c>
      <c r="AT334" t="s">
        <v>61</v>
      </c>
      <c r="AU334" t="s">
        <v>62</v>
      </c>
      <c r="AV334">
        <v>333</v>
      </c>
    </row>
    <row r="335" spans="1:48" x14ac:dyDescent="0.25">
      <c r="A335">
        <v>216</v>
      </c>
      <c r="B335" t="s">
        <v>1498</v>
      </c>
      <c r="C335" t="s">
        <v>1499</v>
      </c>
      <c r="D335" t="s">
        <v>144</v>
      </c>
      <c r="E335" t="s">
        <v>1500</v>
      </c>
      <c r="F335" t="s">
        <v>1501</v>
      </c>
      <c r="G335" t="s">
        <v>104</v>
      </c>
      <c r="H335" s="1">
        <v>37228</v>
      </c>
      <c r="I335">
        <v>25</v>
      </c>
      <c r="J335">
        <v>2001</v>
      </c>
      <c r="K335" s="1">
        <v>45630</v>
      </c>
      <c r="L335">
        <v>2024</v>
      </c>
      <c r="M335" t="s">
        <v>54</v>
      </c>
      <c r="N335">
        <v>12</v>
      </c>
      <c r="O335" t="s">
        <v>76</v>
      </c>
      <c r="P335" t="s">
        <v>69</v>
      </c>
      <c r="Q335">
        <v>60</v>
      </c>
      <c r="R335">
        <v>4</v>
      </c>
      <c r="S335" t="s">
        <v>77</v>
      </c>
      <c r="T335" t="s">
        <v>78</v>
      </c>
      <c r="U335">
        <v>9</v>
      </c>
      <c r="V335">
        <v>10</v>
      </c>
      <c r="W335">
        <v>10</v>
      </c>
      <c r="X335">
        <v>8</v>
      </c>
      <c r="Y335">
        <v>2</v>
      </c>
      <c r="Z335">
        <v>7</v>
      </c>
      <c r="AA335">
        <v>2</v>
      </c>
      <c r="AB335">
        <v>14</v>
      </c>
      <c r="AC335" t="s">
        <v>70</v>
      </c>
      <c r="AD335" t="s">
        <v>112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2</v>
      </c>
      <c r="AK335">
        <v>3</v>
      </c>
      <c r="AL335">
        <v>0</v>
      </c>
      <c r="AM335">
        <v>0</v>
      </c>
      <c r="AN335">
        <v>1</v>
      </c>
      <c r="AO335">
        <v>6</v>
      </c>
      <c r="AP335">
        <v>1</v>
      </c>
      <c r="AQ335">
        <v>85.714285714284998</v>
      </c>
      <c r="AR335" s="2">
        <v>45747.986180555556</v>
      </c>
      <c r="AS335" s="2">
        <v>46031.115740740737</v>
      </c>
      <c r="AT335" t="s">
        <v>1357</v>
      </c>
      <c r="AU335" t="s">
        <v>62</v>
      </c>
      <c r="AV335">
        <v>284</v>
      </c>
    </row>
    <row r="336" spans="1:48" x14ac:dyDescent="0.25">
      <c r="A336">
        <v>865</v>
      </c>
      <c r="B336" t="s">
        <v>1502</v>
      </c>
      <c r="C336" t="s">
        <v>686</v>
      </c>
      <c r="D336" t="s">
        <v>611</v>
      </c>
      <c r="E336" t="s">
        <v>1503</v>
      </c>
      <c r="F336" t="s">
        <v>1504</v>
      </c>
      <c r="G336" t="s">
        <v>53</v>
      </c>
      <c r="H336" s="1">
        <v>35960</v>
      </c>
      <c r="I336">
        <v>28</v>
      </c>
      <c r="J336">
        <v>1998</v>
      </c>
      <c r="K336" s="1">
        <v>44759</v>
      </c>
      <c r="L336">
        <v>2022</v>
      </c>
      <c r="M336" t="s">
        <v>54</v>
      </c>
      <c r="N336">
        <v>7</v>
      </c>
      <c r="O336" t="s">
        <v>231</v>
      </c>
      <c r="P336" t="s">
        <v>119</v>
      </c>
      <c r="Q336">
        <v>120</v>
      </c>
      <c r="R336">
        <v>3</v>
      </c>
      <c r="S336" t="s">
        <v>126</v>
      </c>
      <c r="T336" t="s">
        <v>127</v>
      </c>
      <c r="U336">
        <v>10</v>
      </c>
      <c r="V336">
        <v>10</v>
      </c>
      <c r="W336">
        <v>10</v>
      </c>
      <c r="X336">
        <v>10</v>
      </c>
      <c r="Y336">
        <v>2</v>
      </c>
      <c r="Z336">
        <v>8</v>
      </c>
      <c r="AA336">
        <v>2.25</v>
      </c>
      <c r="AB336">
        <v>18</v>
      </c>
      <c r="AC336" t="s">
        <v>70</v>
      </c>
      <c r="AD336" t="s">
        <v>60</v>
      </c>
      <c r="AE336">
        <v>1</v>
      </c>
      <c r="AF336">
        <v>0</v>
      </c>
      <c r="AG336">
        <v>1</v>
      </c>
      <c r="AH336">
        <v>2</v>
      </c>
      <c r="AI336">
        <v>0</v>
      </c>
      <c r="AJ336">
        <v>1</v>
      </c>
      <c r="AK336">
        <v>1</v>
      </c>
      <c r="AL336">
        <v>0</v>
      </c>
      <c r="AM336">
        <v>0</v>
      </c>
      <c r="AN336">
        <v>2</v>
      </c>
      <c r="AO336">
        <v>6</v>
      </c>
      <c r="AP336">
        <v>2</v>
      </c>
      <c r="AQ336">
        <v>75</v>
      </c>
      <c r="AR336" s="2">
        <v>45737.927025462966</v>
      </c>
      <c r="AS336" s="2">
        <v>46012.987256944441</v>
      </c>
      <c r="AT336" t="s">
        <v>1357</v>
      </c>
      <c r="AU336" t="s">
        <v>62</v>
      </c>
      <c r="AV336">
        <v>275</v>
      </c>
    </row>
    <row r="337" spans="1:48" x14ac:dyDescent="0.25">
      <c r="A337">
        <v>172</v>
      </c>
      <c r="B337" t="s">
        <v>1505</v>
      </c>
      <c r="C337" t="s">
        <v>1019</v>
      </c>
      <c r="D337" t="s">
        <v>1506</v>
      </c>
      <c r="E337" t="s">
        <v>1507</v>
      </c>
      <c r="F337" t="s">
        <v>1508</v>
      </c>
      <c r="G337" t="s">
        <v>53</v>
      </c>
      <c r="H337" s="1">
        <v>38732</v>
      </c>
      <c r="I337">
        <v>20</v>
      </c>
      <c r="J337">
        <v>2006</v>
      </c>
      <c r="K337" s="1">
        <v>45103</v>
      </c>
      <c r="L337">
        <v>2023</v>
      </c>
      <c r="M337" t="s">
        <v>111</v>
      </c>
      <c r="N337">
        <v>10</v>
      </c>
      <c r="O337" t="s">
        <v>118</v>
      </c>
      <c r="P337" t="s">
        <v>119</v>
      </c>
      <c r="Q337">
        <v>120</v>
      </c>
      <c r="R337">
        <v>4</v>
      </c>
      <c r="S337" t="s">
        <v>77</v>
      </c>
      <c r="T337" t="s">
        <v>78</v>
      </c>
      <c r="U337">
        <v>10</v>
      </c>
      <c r="V337">
        <v>10</v>
      </c>
      <c r="W337">
        <v>10</v>
      </c>
      <c r="X337">
        <v>10</v>
      </c>
      <c r="Y337">
        <v>3</v>
      </c>
      <c r="Z337">
        <v>8</v>
      </c>
      <c r="AA337">
        <v>2.5625</v>
      </c>
      <c r="AB337">
        <v>20.5</v>
      </c>
      <c r="AC337" t="s">
        <v>70</v>
      </c>
      <c r="AD337" t="s">
        <v>112</v>
      </c>
      <c r="AE337">
        <v>0</v>
      </c>
      <c r="AF337">
        <v>0</v>
      </c>
      <c r="AG337">
        <v>2</v>
      </c>
      <c r="AH337">
        <v>3</v>
      </c>
      <c r="AI337">
        <v>0</v>
      </c>
      <c r="AJ337">
        <v>1</v>
      </c>
      <c r="AK337">
        <v>1</v>
      </c>
      <c r="AL337">
        <v>0</v>
      </c>
      <c r="AM337">
        <v>0</v>
      </c>
      <c r="AN337">
        <v>1</v>
      </c>
      <c r="AO337">
        <v>7</v>
      </c>
      <c r="AP337">
        <v>1</v>
      </c>
      <c r="AQ337">
        <v>87.5</v>
      </c>
      <c r="AR337" s="2">
        <v>45771.760092592594</v>
      </c>
      <c r="AS337" s="2">
        <v>46071.025752314818</v>
      </c>
      <c r="AT337" t="s">
        <v>61</v>
      </c>
      <c r="AU337" t="s">
        <v>62</v>
      </c>
      <c r="AV337">
        <v>300</v>
      </c>
    </row>
    <row r="338" spans="1:48" x14ac:dyDescent="0.25">
      <c r="A338">
        <v>981</v>
      </c>
      <c r="B338" t="s">
        <v>1509</v>
      </c>
      <c r="C338" t="s">
        <v>1414</v>
      </c>
      <c r="D338" t="s">
        <v>1510</v>
      </c>
      <c r="E338" t="s">
        <v>1511</v>
      </c>
      <c r="F338" t="s">
        <v>1512</v>
      </c>
      <c r="G338" t="s">
        <v>53</v>
      </c>
      <c r="H338" s="1">
        <v>35499</v>
      </c>
      <c r="I338">
        <v>29</v>
      </c>
      <c r="J338">
        <v>1997</v>
      </c>
      <c r="K338" s="1">
        <v>45560</v>
      </c>
      <c r="L338">
        <v>2024</v>
      </c>
      <c r="M338" t="s">
        <v>54</v>
      </c>
      <c r="N338">
        <v>10</v>
      </c>
      <c r="O338" t="s">
        <v>118</v>
      </c>
      <c r="P338" t="s">
        <v>119</v>
      </c>
      <c r="Q338">
        <v>120</v>
      </c>
      <c r="R338">
        <v>4</v>
      </c>
      <c r="S338" t="s">
        <v>77</v>
      </c>
      <c r="T338" t="s">
        <v>78</v>
      </c>
      <c r="U338">
        <v>10</v>
      </c>
      <c r="V338">
        <v>10</v>
      </c>
      <c r="W338">
        <v>10</v>
      </c>
      <c r="X338">
        <v>9</v>
      </c>
      <c r="Y338">
        <v>2</v>
      </c>
      <c r="Z338">
        <v>7</v>
      </c>
      <c r="AA338">
        <v>2.4285709999999998</v>
      </c>
      <c r="AB338">
        <v>17</v>
      </c>
      <c r="AC338" t="s">
        <v>59</v>
      </c>
      <c r="AD338" t="s">
        <v>60</v>
      </c>
      <c r="AE338">
        <v>1</v>
      </c>
      <c r="AF338">
        <v>0</v>
      </c>
      <c r="AG338">
        <v>0</v>
      </c>
      <c r="AH338">
        <v>2</v>
      </c>
      <c r="AI338">
        <v>0</v>
      </c>
      <c r="AJ338">
        <v>0</v>
      </c>
      <c r="AK338">
        <v>3</v>
      </c>
      <c r="AL338">
        <v>0</v>
      </c>
      <c r="AM338">
        <v>1</v>
      </c>
      <c r="AN338">
        <v>0</v>
      </c>
      <c r="AO338">
        <v>7</v>
      </c>
      <c r="AP338">
        <v>0</v>
      </c>
      <c r="AQ338">
        <v>100</v>
      </c>
      <c r="AR338" s="2">
        <v>45755.557141203702</v>
      </c>
      <c r="AS338" s="2">
        <v>46081.145578703705</v>
      </c>
      <c r="AT338" t="s">
        <v>61</v>
      </c>
      <c r="AU338" t="s">
        <v>1357</v>
      </c>
      <c r="AV338">
        <v>326</v>
      </c>
    </row>
    <row r="339" spans="1:48" x14ac:dyDescent="0.25">
      <c r="A339">
        <v>52</v>
      </c>
      <c r="B339" t="s">
        <v>1513</v>
      </c>
      <c r="C339" t="s">
        <v>1514</v>
      </c>
      <c r="D339" t="s">
        <v>459</v>
      </c>
      <c r="E339" t="s">
        <v>1515</v>
      </c>
      <c r="F339">
        <v>9477113826</v>
      </c>
      <c r="G339" t="s">
        <v>104</v>
      </c>
      <c r="H339" s="1">
        <v>37947</v>
      </c>
      <c r="I339">
        <v>23</v>
      </c>
      <c r="J339">
        <v>2003</v>
      </c>
      <c r="K339" s="1">
        <v>45710</v>
      </c>
      <c r="L339">
        <v>2025</v>
      </c>
      <c r="M339" t="s">
        <v>111</v>
      </c>
      <c r="N339">
        <v>8</v>
      </c>
      <c r="O339" t="s">
        <v>125</v>
      </c>
      <c r="P339" t="s">
        <v>56</v>
      </c>
      <c r="Q339">
        <v>36</v>
      </c>
      <c r="R339">
        <v>3</v>
      </c>
      <c r="S339" t="s">
        <v>126</v>
      </c>
      <c r="T339" t="s">
        <v>127</v>
      </c>
      <c r="U339">
        <v>9</v>
      </c>
      <c r="V339">
        <v>10</v>
      </c>
      <c r="W339">
        <v>10</v>
      </c>
      <c r="X339">
        <v>10</v>
      </c>
      <c r="Y339">
        <v>2</v>
      </c>
      <c r="Z339">
        <v>10</v>
      </c>
      <c r="AA339">
        <v>1.85</v>
      </c>
      <c r="AB339">
        <v>18.5</v>
      </c>
      <c r="AC339" t="s">
        <v>70</v>
      </c>
      <c r="AD339" t="s">
        <v>60</v>
      </c>
      <c r="AE339">
        <v>1</v>
      </c>
      <c r="AF339">
        <v>0</v>
      </c>
      <c r="AG339">
        <v>1</v>
      </c>
      <c r="AH339">
        <v>1</v>
      </c>
      <c r="AI339">
        <v>0</v>
      </c>
      <c r="AJ339">
        <v>2</v>
      </c>
      <c r="AK339">
        <v>1</v>
      </c>
      <c r="AL339">
        <v>0</v>
      </c>
      <c r="AM339">
        <v>1</v>
      </c>
      <c r="AN339">
        <v>3</v>
      </c>
      <c r="AO339">
        <v>7</v>
      </c>
      <c r="AP339">
        <v>3</v>
      </c>
      <c r="AQ339">
        <v>70</v>
      </c>
      <c r="AR339" s="2">
        <v>45739.051655092589</v>
      </c>
      <c r="AS339" s="2">
        <v>46074.70652777778</v>
      </c>
      <c r="AT339" t="s">
        <v>61</v>
      </c>
      <c r="AU339" t="s">
        <v>62</v>
      </c>
      <c r="AV339">
        <v>335</v>
      </c>
    </row>
    <row r="340" spans="1:48" x14ac:dyDescent="0.25">
      <c r="A340">
        <v>929</v>
      </c>
      <c r="B340" t="s">
        <v>1516</v>
      </c>
      <c r="C340" t="s">
        <v>108</v>
      </c>
      <c r="D340" t="s">
        <v>1517</v>
      </c>
      <c r="E340" t="s">
        <v>1518</v>
      </c>
      <c r="F340" t="s">
        <v>1519</v>
      </c>
      <c r="G340" t="s">
        <v>104</v>
      </c>
      <c r="H340" s="1">
        <v>36319</v>
      </c>
      <c r="I340">
        <v>27</v>
      </c>
      <c r="J340">
        <v>1999</v>
      </c>
      <c r="K340" s="1">
        <v>45664</v>
      </c>
      <c r="L340">
        <v>2025</v>
      </c>
      <c r="M340" t="s">
        <v>54</v>
      </c>
      <c r="N340">
        <v>13</v>
      </c>
      <c r="O340" t="s">
        <v>146</v>
      </c>
      <c r="P340" t="s">
        <v>119</v>
      </c>
      <c r="Q340">
        <v>120</v>
      </c>
      <c r="R340">
        <v>5</v>
      </c>
      <c r="S340" t="s">
        <v>92</v>
      </c>
      <c r="T340" t="s">
        <v>93</v>
      </c>
      <c r="U340">
        <v>9</v>
      </c>
      <c r="V340">
        <v>10</v>
      </c>
      <c r="W340">
        <v>10</v>
      </c>
      <c r="X340">
        <v>10</v>
      </c>
      <c r="Y340">
        <v>3</v>
      </c>
      <c r="Z340">
        <v>9</v>
      </c>
      <c r="AA340">
        <v>2.2777769999999999</v>
      </c>
      <c r="AB340">
        <v>20.5</v>
      </c>
      <c r="AC340" t="s">
        <v>70</v>
      </c>
      <c r="AD340" t="s">
        <v>60</v>
      </c>
      <c r="AE340">
        <v>1</v>
      </c>
      <c r="AF340">
        <v>0</v>
      </c>
      <c r="AG340">
        <v>0</v>
      </c>
      <c r="AH340">
        <v>4</v>
      </c>
      <c r="AI340">
        <v>0</v>
      </c>
      <c r="AJ340">
        <v>1</v>
      </c>
      <c r="AK340">
        <v>0</v>
      </c>
      <c r="AL340">
        <v>0</v>
      </c>
      <c r="AM340">
        <v>2</v>
      </c>
      <c r="AN340">
        <v>1</v>
      </c>
      <c r="AO340">
        <v>8</v>
      </c>
      <c r="AP340">
        <v>1</v>
      </c>
      <c r="AQ340">
        <v>88.888888888888005</v>
      </c>
      <c r="AR340" s="2">
        <v>45724.164236111108</v>
      </c>
      <c r="AS340" s="2">
        <v>46074.621620370373</v>
      </c>
      <c r="AT340" t="s">
        <v>61</v>
      </c>
      <c r="AU340" t="s">
        <v>62</v>
      </c>
      <c r="AV340">
        <v>350</v>
      </c>
    </row>
    <row r="341" spans="1:48" x14ac:dyDescent="0.25">
      <c r="A341">
        <v>124</v>
      </c>
      <c r="B341" t="s">
        <v>1520</v>
      </c>
      <c r="C341" t="s">
        <v>1499</v>
      </c>
      <c r="D341" t="s">
        <v>532</v>
      </c>
      <c r="E341" t="s">
        <v>1521</v>
      </c>
      <c r="F341" t="s">
        <v>1522</v>
      </c>
      <c r="G341" t="s">
        <v>104</v>
      </c>
      <c r="H341" s="1">
        <v>37390</v>
      </c>
      <c r="I341">
        <v>24</v>
      </c>
      <c r="J341">
        <v>2002</v>
      </c>
      <c r="K341" s="1">
        <v>45478</v>
      </c>
      <c r="L341">
        <v>2024</v>
      </c>
      <c r="M341" t="s">
        <v>54</v>
      </c>
      <c r="N341">
        <v>5</v>
      </c>
      <c r="O341" t="s">
        <v>84</v>
      </c>
      <c r="P341" t="s">
        <v>56</v>
      </c>
      <c r="Q341">
        <v>36</v>
      </c>
      <c r="R341">
        <v>2</v>
      </c>
      <c r="S341" t="s">
        <v>85</v>
      </c>
      <c r="T341" t="s">
        <v>86</v>
      </c>
      <c r="U341">
        <v>10</v>
      </c>
      <c r="V341">
        <v>10</v>
      </c>
      <c r="W341">
        <v>10</v>
      </c>
      <c r="X341">
        <v>9</v>
      </c>
      <c r="Y341">
        <v>2</v>
      </c>
      <c r="Z341">
        <v>6</v>
      </c>
      <c r="AA341">
        <v>2.75</v>
      </c>
      <c r="AB341">
        <v>16.5</v>
      </c>
      <c r="AC341" t="s">
        <v>1061</v>
      </c>
      <c r="AD341" t="s">
        <v>112</v>
      </c>
      <c r="AE341">
        <v>0</v>
      </c>
      <c r="AF341">
        <v>0</v>
      </c>
      <c r="AG341">
        <v>1</v>
      </c>
      <c r="AH341">
        <v>3</v>
      </c>
      <c r="AI341">
        <v>0</v>
      </c>
      <c r="AJ341">
        <v>0</v>
      </c>
      <c r="AK341">
        <v>2</v>
      </c>
      <c r="AL341">
        <v>0</v>
      </c>
      <c r="AM341">
        <v>0</v>
      </c>
      <c r="AN341">
        <v>0</v>
      </c>
      <c r="AO341">
        <v>6</v>
      </c>
      <c r="AP341">
        <v>0</v>
      </c>
      <c r="AQ341">
        <v>100</v>
      </c>
      <c r="AR341" s="2">
        <v>45731.920289351852</v>
      </c>
      <c r="AS341" s="2">
        <v>46034.392337962963</v>
      </c>
      <c r="AT341" t="s">
        <v>61</v>
      </c>
      <c r="AU341" t="s">
        <v>1357</v>
      </c>
      <c r="AV341">
        <v>303</v>
      </c>
    </row>
    <row r="342" spans="1:48" x14ac:dyDescent="0.25">
      <c r="A342">
        <v>450</v>
      </c>
      <c r="B342" t="s">
        <v>1523</v>
      </c>
      <c r="C342" t="s">
        <v>404</v>
      </c>
      <c r="D342" t="s">
        <v>420</v>
      </c>
      <c r="E342" t="s">
        <v>1524</v>
      </c>
      <c r="F342" t="s">
        <v>1525</v>
      </c>
      <c r="G342" t="s">
        <v>104</v>
      </c>
      <c r="H342" s="1">
        <v>36114</v>
      </c>
      <c r="I342">
        <v>28</v>
      </c>
      <c r="J342">
        <v>1998</v>
      </c>
      <c r="K342" s="1">
        <v>45771</v>
      </c>
      <c r="L342">
        <v>2025</v>
      </c>
      <c r="M342" t="s">
        <v>54</v>
      </c>
      <c r="N342">
        <v>4</v>
      </c>
      <c r="O342" t="s">
        <v>215</v>
      </c>
      <c r="P342" t="s">
        <v>119</v>
      </c>
      <c r="Q342">
        <v>120</v>
      </c>
      <c r="R342">
        <v>2</v>
      </c>
      <c r="S342" t="s">
        <v>85</v>
      </c>
      <c r="T342" t="s">
        <v>86</v>
      </c>
      <c r="U342">
        <v>10</v>
      </c>
      <c r="V342">
        <v>10</v>
      </c>
      <c r="W342">
        <v>10</v>
      </c>
      <c r="X342">
        <v>10</v>
      </c>
      <c r="Y342">
        <v>2</v>
      </c>
      <c r="Z342">
        <v>10</v>
      </c>
      <c r="AA342">
        <v>2.2000000000000002</v>
      </c>
      <c r="AB342">
        <v>22</v>
      </c>
      <c r="AC342" t="s">
        <v>70</v>
      </c>
      <c r="AD342" t="s">
        <v>60</v>
      </c>
      <c r="AE342">
        <v>3</v>
      </c>
      <c r="AF342">
        <v>0</v>
      </c>
      <c r="AG342">
        <v>1</v>
      </c>
      <c r="AH342">
        <v>0</v>
      </c>
      <c r="AI342">
        <v>0</v>
      </c>
      <c r="AJ342">
        <v>1</v>
      </c>
      <c r="AK342">
        <v>1</v>
      </c>
      <c r="AL342">
        <v>0</v>
      </c>
      <c r="AM342">
        <v>2</v>
      </c>
      <c r="AN342">
        <v>2</v>
      </c>
      <c r="AO342">
        <v>8</v>
      </c>
      <c r="AP342">
        <v>2</v>
      </c>
      <c r="AQ342">
        <v>80</v>
      </c>
      <c r="AR342" s="2">
        <v>45734.137511574074</v>
      </c>
      <c r="AS342" s="2">
        <v>46086.307060185187</v>
      </c>
      <c r="AT342" t="s">
        <v>61</v>
      </c>
      <c r="AU342" t="s">
        <v>62</v>
      </c>
      <c r="AV342">
        <v>352</v>
      </c>
    </row>
    <row r="343" spans="1:48" x14ac:dyDescent="0.25">
      <c r="A343">
        <v>498</v>
      </c>
      <c r="B343" t="s">
        <v>1526</v>
      </c>
      <c r="C343" t="s">
        <v>1527</v>
      </c>
      <c r="D343" t="s">
        <v>919</v>
      </c>
      <c r="E343" t="s">
        <v>1528</v>
      </c>
      <c r="F343" t="s">
        <v>1529</v>
      </c>
      <c r="G343" t="s">
        <v>104</v>
      </c>
      <c r="H343" s="1">
        <v>38130</v>
      </c>
      <c r="I343">
        <v>22</v>
      </c>
      <c r="J343">
        <v>2004</v>
      </c>
      <c r="K343" s="1">
        <v>44824</v>
      </c>
      <c r="L343">
        <v>2022</v>
      </c>
      <c r="M343" t="s">
        <v>54</v>
      </c>
      <c r="N343">
        <v>17</v>
      </c>
      <c r="O343" t="s">
        <v>350</v>
      </c>
      <c r="P343" t="s">
        <v>56</v>
      </c>
      <c r="Q343">
        <v>36</v>
      </c>
      <c r="R343">
        <v>6</v>
      </c>
      <c r="S343" t="s">
        <v>140</v>
      </c>
      <c r="T343" t="s">
        <v>141</v>
      </c>
      <c r="U343">
        <v>10</v>
      </c>
      <c r="V343">
        <v>10</v>
      </c>
      <c r="W343">
        <v>10</v>
      </c>
      <c r="X343">
        <v>10</v>
      </c>
      <c r="Y343">
        <v>2</v>
      </c>
      <c r="Z343">
        <v>9</v>
      </c>
      <c r="AA343">
        <v>2.3888880000000001</v>
      </c>
      <c r="AB343">
        <v>21.5</v>
      </c>
      <c r="AC343" t="s">
        <v>70</v>
      </c>
      <c r="AD343" t="s">
        <v>60</v>
      </c>
      <c r="AE343">
        <v>2</v>
      </c>
      <c r="AF343">
        <v>0</v>
      </c>
      <c r="AG343">
        <v>2</v>
      </c>
      <c r="AH343">
        <v>1</v>
      </c>
      <c r="AI343">
        <v>0</v>
      </c>
      <c r="AJ343">
        <v>1</v>
      </c>
      <c r="AK343">
        <v>0</v>
      </c>
      <c r="AL343">
        <v>0</v>
      </c>
      <c r="AM343">
        <v>1</v>
      </c>
      <c r="AN343">
        <v>2</v>
      </c>
      <c r="AO343">
        <v>7</v>
      </c>
      <c r="AP343">
        <v>2</v>
      </c>
      <c r="AQ343">
        <v>77.777777777777004</v>
      </c>
      <c r="AR343" s="2">
        <v>45725.764884259261</v>
      </c>
      <c r="AS343" s="2">
        <v>46076.665601851855</v>
      </c>
      <c r="AT343" t="s">
        <v>1357</v>
      </c>
      <c r="AU343" t="s">
        <v>62</v>
      </c>
      <c r="AV343">
        <v>351</v>
      </c>
    </row>
    <row r="344" spans="1:48" x14ac:dyDescent="0.25">
      <c r="A344">
        <v>751</v>
      </c>
      <c r="B344" t="s">
        <v>1530</v>
      </c>
      <c r="C344" t="s">
        <v>336</v>
      </c>
      <c r="D344" t="s">
        <v>177</v>
      </c>
      <c r="E344" t="s">
        <v>1531</v>
      </c>
      <c r="F344" t="s">
        <v>1532</v>
      </c>
      <c r="G344" t="s">
        <v>104</v>
      </c>
      <c r="H344" s="1">
        <v>38405</v>
      </c>
      <c r="I344">
        <v>21</v>
      </c>
      <c r="J344">
        <v>2005</v>
      </c>
      <c r="K344" s="1">
        <v>44653</v>
      </c>
      <c r="L344">
        <v>2022</v>
      </c>
      <c r="M344" t="s">
        <v>54</v>
      </c>
      <c r="N344">
        <v>16</v>
      </c>
      <c r="O344" t="s">
        <v>280</v>
      </c>
      <c r="P344" t="s">
        <v>119</v>
      </c>
      <c r="Q344">
        <v>120</v>
      </c>
      <c r="R344">
        <v>6</v>
      </c>
      <c r="S344" t="s">
        <v>140</v>
      </c>
      <c r="T344" t="s">
        <v>141</v>
      </c>
      <c r="U344">
        <v>10</v>
      </c>
      <c r="V344">
        <v>10</v>
      </c>
      <c r="W344">
        <v>10</v>
      </c>
      <c r="X344">
        <v>9</v>
      </c>
      <c r="Y344">
        <v>3</v>
      </c>
      <c r="Z344">
        <v>8</v>
      </c>
      <c r="AA344">
        <v>2.5</v>
      </c>
      <c r="AB344">
        <v>20</v>
      </c>
      <c r="AC344" t="s">
        <v>70</v>
      </c>
      <c r="AD344" t="s">
        <v>60</v>
      </c>
      <c r="AE344">
        <v>2</v>
      </c>
      <c r="AF344">
        <v>0</v>
      </c>
      <c r="AG344">
        <v>1</v>
      </c>
      <c r="AH344">
        <v>1</v>
      </c>
      <c r="AI344">
        <v>0</v>
      </c>
      <c r="AJ344">
        <v>1</v>
      </c>
      <c r="AK344">
        <v>1</v>
      </c>
      <c r="AL344">
        <v>0</v>
      </c>
      <c r="AM344">
        <v>1</v>
      </c>
      <c r="AN344">
        <v>1</v>
      </c>
      <c r="AO344">
        <v>7</v>
      </c>
      <c r="AP344">
        <v>1</v>
      </c>
      <c r="AQ344">
        <v>87.5</v>
      </c>
      <c r="AR344" s="2">
        <v>45741.242280092592</v>
      </c>
      <c r="AS344" s="2">
        <v>46082.047627314816</v>
      </c>
      <c r="AT344" t="s">
        <v>61</v>
      </c>
      <c r="AU344" t="s">
        <v>62</v>
      </c>
      <c r="AV344">
        <v>341</v>
      </c>
    </row>
    <row r="345" spans="1:48" x14ac:dyDescent="0.25">
      <c r="A345">
        <v>25</v>
      </c>
      <c r="B345" t="s">
        <v>1533</v>
      </c>
      <c r="C345" t="s">
        <v>1534</v>
      </c>
      <c r="D345" t="s">
        <v>1535</v>
      </c>
      <c r="E345" t="s">
        <v>1536</v>
      </c>
      <c r="F345">
        <v>4676165726</v>
      </c>
      <c r="G345" t="s">
        <v>104</v>
      </c>
      <c r="H345" s="1">
        <v>37687</v>
      </c>
      <c r="I345">
        <v>23</v>
      </c>
      <c r="J345">
        <v>2003</v>
      </c>
      <c r="K345" s="1">
        <v>45968</v>
      </c>
      <c r="L345">
        <v>2025</v>
      </c>
      <c r="M345" t="s">
        <v>111</v>
      </c>
      <c r="N345">
        <v>16</v>
      </c>
      <c r="O345" t="s">
        <v>280</v>
      </c>
      <c r="P345" t="s">
        <v>119</v>
      </c>
      <c r="Q345">
        <v>120</v>
      </c>
      <c r="R345">
        <v>6</v>
      </c>
      <c r="S345" t="s">
        <v>140</v>
      </c>
      <c r="T345" t="s">
        <v>141</v>
      </c>
      <c r="U345">
        <v>9</v>
      </c>
      <c r="V345">
        <v>10</v>
      </c>
      <c r="W345">
        <v>10</v>
      </c>
      <c r="X345">
        <v>9</v>
      </c>
      <c r="Y345">
        <v>2</v>
      </c>
      <c r="Z345">
        <v>10</v>
      </c>
      <c r="AA345">
        <v>2.0499999999999998</v>
      </c>
      <c r="AB345">
        <v>20.5</v>
      </c>
      <c r="AC345" t="s">
        <v>70</v>
      </c>
      <c r="AD345" t="s">
        <v>112</v>
      </c>
      <c r="AE345">
        <v>0</v>
      </c>
      <c r="AF345">
        <v>0</v>
      </c>
      <c r="AG345">
        <v>2</v>
      </c>
      <c r="AH345">
        <v>2</v>
      </c>
      <c r="AI345">
        <v>0</v>
      </c>
      <c r="AJ345">
        <v>1</v>
      </c>
      <c r="AK345">
        <v>2</v>
      </c>
      <c r="AL345">
        <v>0</v>
      </c>
      <c r="AM345">
        <v>1</v>
      </c>
      <c r="AN345">
        <v>2</v>
      </c>
      <c r="AO345">
        <v>8</v>
      </c>
      <c r="AP345">
        <v>2</v>
      </c>
      <c r="AQ345">
        <v>80</v>
      </c>
      <c r="AR345" s="2">
        <v>45768.44630787037</v>
      </c>
      <c r="AS345" s="2">
        <v>46073.654930555553</v>
      </c>
      <c r="AT345" t="s">
        <v>61</v>
      </c>
      <c r="AU345" t="s">
        <v>62</v>
      </c>
      <c r="AV345">
        <v>305</v>
      </c>
    </row>
    <row r="346" spans="1:48" x14ac:dyDescent="0.25">
      <c r="A346">
        <v>868</v>
      </c>
      <c r="B346" t="s">
        <v>1537</v>
      </c>
      <c r="C346" t="s">
        <v>1538</v>
      </c>
      <c r="D346" t="s">
        <v>576</v>
      </c>
      <c r="E346" t="s">
        <v>1539</v>
      </c>
      <c r="F346" t="s">
        <v>1540</v>
      </c>
      <c r="G346" t="s">
        <v>53</v>
      </c>
      <c r="H346" s="1">
        <v>35945</v>
      </c>
      <c r="I346">
        <v>28</v>
      </c>
      <c r="J346">
        <v>1998</v>
      </c>
      <c r="K346" s="1">
        <v>45190</v>
      </c>
      <c r="L346">
        <v>2023</v>
      </c>
      <c r="M346" t="s">
        <v>54</v>
      </c>
      <c r="N346">
        <v>20</v>
      </c>
      <c r="O346" t="s">
        <v>180</v>
      </c>
      <c r="P346" t="s">
        <v>56</v>
      </c>
      <c r="Q346">
        <v>36</v>
      </c>
      <c r="R346">
        <v>7</v>
      </c>
      <c r="S346" t="s">
        <v>163</v>
      </c>
      <c r="T346" t="s">
        <v>164</v>
      </c>
      <c r="U346">
        <v>8</v>
      </c>
      <c r="V346">
        <v>10</v>
      </c>
      <c r="W346">
        <v>10</v>
      </c>
      <c r="X346">
        <v>10</v>
      </c>
      <c r="Y346">
        <v>2</v>
      </c>
      <c r="Z346">
        <v>8</v>
      </c>
      <c r="AA346">
        <v>2.5</v>
      </c>
      <c r="AB346">
        <v>20</v>
      </c>
      <c r="AC346" t="s">
        <v>70</v>
      </c>
      <c r="AD346" t="s">
        <v>60</v>
      </c>
      <c r="AE346">
        <v>1</v>
      </c>
      <c r="AF346">
        <v>0</v>
      </c>
      <c r="AG346">
        <v>1</v>
      </c>
      <c r="AH346">
        <v>1</v>
      </c>
      <c r="AI346">
        <v>0</v>
      </c>
      <c r="AJ346">
        <v>3</v>
      </c>
      <c r="AK346">
        <v>1</v>
      </c>
      <c r="AL346">
        <v>0</v>
      </c>
      <c r="AM346">
        <v>0</v>
      </c>
      <c r="AN346">
        <v>1</v>
      </c>
      <c r="AO346">
        <v>7</v>
      </c>
      <c r="AP346">
        <v>1</v>
      </c>
      <c r="AQ346">
        <v>87.5</v>
      </c>
      <c r="AR346" s="2">
        <v>45725.837604166663</v>
      </c>
      <c r="AS346" s="2">
        <v>46071.610405092593</v>
      </c>
      <c r="AT346" t="s">
        <v>1357</v>
      </c>
      <c r="AU346" t="s">
        <v>62</v>
      </c>
      <c r="AV346">
        <v>346</v>
      </c>
    </row>
    <row r="347" spans="1:48" x14ac:dyDescent="0.25">
      <c r="A347">
        <v>92</v>
      </c>
      <c r="B347" t="s">
        <v>358</v>
      </c>
      <c r="C347" t="s">
        <v>359</v>
      </c>
      <c r="D347" t="s">
        <v>360</v>
      </c>
      <c r="E347" t="s">
        <v>1541</v>
      </c>
      <c r="F347" t="s">
        <v>1542</v>
      </c>
      <c r="G347" t="s">
        <v>53</v>
      </c>
      <c r="H347" s="1">
        <v>39202</v>
      </c>
      <c r="I347">
        <v>19</v>
      </c>
      <c r="J347">
        <v>2007</v>
      </c>
      <c r="K347" s="1">
        <v>44954</v>
      </c>
      <c r="L347">
        <v>2023</v>
      </c>
      <c r="M347" t="s">
        <v>54</v>
      </c>
      <c r="N347">
        <v>3</v>
      </c>
      <c r="O347" t="s">
        <v>68</v>
      </c>
      <c r="P347" t="s">
        <v>69</v>
      </c>
      <c r="Q347">
        <v>60</v>
      </c>
      <c r="R347">
        <v>1</v>
      </c>
      <c r="S347" t="s">
        <v>57</v>
      </c>
      <c r="T347" t="s">
        <v>58</v>
      </c>
      <c r="U347">
        <v>10</v>
      </c>
      <c r="V347">
        <v>10</v>
      </c>
      <c r="W347">
        <v>10</v>
      </c>
      <c r="X347">
        <v>7</v>
      </c>
      <c r="Y347">
        <v>2</v>
      </c>
      <c r="Z347">
        <v>8</v>
      </c>
      <c r="AA347">
        <v>2</v>
      </c>
      <c r="AB347">
        <v>16</v>
      </c>
      <c r="AC347" t="s">
        <v>70</v>
      </c>
      <c r="AD347" t="s">
        <v>60</v>
      </c>
      <c r="AE347">
        <v>1</v>
      </c>
      <c r="AF347">
        <v>0</v>
      </c>
      <c r="AG347">
        <v>0</v>
      </c>
      <c r="AH347">
        <v>2</v>
      </c>
      <c r="AI347">
        <v>0</v>
      </c>
      <c r="AJ347">
        <v>2</v>
      </c>
      <c r="AK347">
        <v>0</v>
      </c>
      <c r="AL347">
        <v>0</v>
      </c>
      <c r="AM347">
        <v>1</v>
      </c>
      <c r="AN347">
        <v>2</v>
      </c>
      <c r="AO347">
        <v>6</v>
      </c>
      <c r="AP347">
        <v>2</v>
      </c>
      <c r="AQ347">
        <v>75</v>
      </c>
      <c r="AR347" s="2">
        <v>45906.989374999997</v>
      </c>
      <c r="AS347" s="2">
        <v>46075.836435185185</v>
      </c>
      <c r="AT347" t="s">
        <v>61</v>
      </c>
      <c r="AU347" t="s">
        <v>1357</v>
      </c>
      <c r="AV347">
        <v>169</v>
      </c>
    </row>
    <row r="348" spans="1:48" x14ac:dyDescent="0.25">
      <c r="A348">
        <v>561</v>
      </c>
      <c r="B348" t="s">
        <v>1543</v>
      </c>
      <c r="C348" t="s">
        <v>424</v>
      </c>
      <c r="D348" t="s">
        <v>253</v>
      </c>
      <c r="E348" t="s">
        <v>1544</v>
      </c>
      <c r="F348" t="s">
        <v>1545</v>
      </c>
      <c r="G348" t="s">
        <v>53</v>
      </c>
      <c r="H348" s="1">
        <v>37813</v>
      </c>
      <c r="I348">
        <v>23</v>
      </c>
      <c r="J348">
        <v>2003</v>
      </c>
      <c r="K348" s="1">
        <v>44988</v>
      </c>
      <c r="L348">
        <v>2023</v>
      </c>
      <c r="M348" t="s">
        <v>111</v>
      </c>
      <c r="N348">
        <v>4</v>
      </c>
      <c r="O348" t="s">
        <v>215</v>
      </c>
      <c r="P348" t="s">
        <v>119</v>
      </c>
      <c r="Q348">
        <v>120</v>
      </c>
      <c r="R348">
        <v>2</v>
      </c>
      <c r="S348" t="s">
        <v>85</v>
      </c>
      <c r="T348" t="s">
        <v>86</v>
      </c>
      <c r="U348">
        <v>9</v>
      </c>
      <c r="V348">
        <v>10</v>
      </c>
      <c r="W348">
        <v>10</v>
      </c>
      <c r="X348">
        <v>9</v>
      </c>
      <c r="Y348">
        <v>2</v>
      </c>
      <c r="Z348">
        <v>10</v>
      </c>
      <c r="AA348">
        <v>1.55</v>
      </c>
      <c r="AB348">
        <v>15.5</v>
      </c>
      <c r="AC348" t="s">
        <v>70</v>
      </c>
      <c r="AD348" t="s">
        <v>60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1</v>
      </c>
      <c r="AK348">
        <v>4</v>
      </c>
      <c r="AL348">
        <v>0</v>
      </c>
      <c r="AM348">
        <v>1</v>
      </c>
      <c r="AN348">
        <v>3</v>
      </c>
      <c r="AO348">
        <v>7</v>
      </c>
      <c r="AP348">
        <v>3</v>
      </c>
      <c r="AQ348">
        <v>70</v>
      </c>
      <c r="AR348" s="2">
        <v>45800.447245370371</v>
      </c>
      <c r="AS348" s="2">
        <v>46084.748194444444</v>
      </c>
      <c r="AT348" t="s">
        <v>61</v>
      </c>
      <c r="AU348" t="s">
        <v>62</v>
      </c>
      <c r="AV348">
        <v>284</v>
      </c>
    </row>
    <row r="349" spans="1:48" x14ac:dyDescent="0.25">
      <c r="A349">
        <v>107</v>
      </c>
      <c r="B349" t="s">
        <v>1546</v>
      </c>
      <c r="C349" t="s">
        <v>153</v>
      </c>
      <c r="D349" t="s">
        <v>1547</v>
      </c>
      <c r="E349" t="s">
        <v>1548</v>
      </c>
      <c r="F349" t="s">
        <v>1549</v>
      </c>
      <c r="G349" t="s">
        <v>104</v>
      </c>
      <c r="H349" s="1">
        <v>37852</v>
      </c>
      <c r="I349">
        <v>23</v>
      </c>
      <c r="J349">
        <v>2003</v>
      </c>
      <c r="K349" s="1">
        <v>45729</v>
      </c>
      <c r="L349">
        <v>2025</v>
      </c>
      <c r="M349" t="s">
        <v>54</v>
      </c>
      <c r="N349">
        <v>16</v>
      </c>
      <c r="O349" t="s">
        <v>280</v>
      </c>
      <c r="P349" t="s">
        <v>119</v>
      </c>
      <c r="Q349">
        <v>120</v>
      </c>
      <c r="R349">
        <v>6</v>
      </c>
      <c r="S349" t="s">
        <v>140</v>
      </c>
      <c r="T349" t="s">
        <v>141</v>
      </c>
      <c r="U349">
        <v>9</v>
      </c>
      <c r="V349">
        <v>10</v>
      </c>
      <c r="W349">
        <v>10</v>
      </c>
      <c r="X349">
        <v>8</v>
      </c>
      <c r="Y349">
        <v>2</v>
      </c>
      <c r="Z349">
        <v>10</v>
      </c>
      <c r="AA349">
        <v>2.25</v>
      </c>
      <c r="AB349">
        <v>22.5</v>
      </c>
      <c r="AC349" t="s">
        <v>70</v>
      </c>
      <c r="AD349" t="s">
        <v>60</v>
      </c>
      <c r="AE349">
        <v>1</v>
      </c>
      <c r="AF349">
        <v>0</v>
      </c>
      <c r="AG349">
        <v>1</v>
      </c>
      <c r="AH349">
        <v>0</v>
      </c>
      <c r="AI349">
        <v>0</v>
      </c>
      <c r="AJ349">
        <v>4</v>
      </c>
      <c r="AK349">
        <v>2</v>
      </c>
      <c r="AL349">
        <v>0</v>
      </c>
      <c r="AM349">
        <v>1</v>
      </c>
      <c r="AN349">
        <v>1</v>
      </c>
      <c r="AO349">
        <v>9</v>
      </c>
      <c r="AP349">
        <v>1</v>
      </c>
      <c r="AQ349">
        <v>90</v>
      </c>
      <c r="AR349" s="2">
        <v>45744.527881944443</v>
      </c>
      <c r="AS349" s="2">
        <v>46024.406284722223</v>
      </c>
      <c r="AT349" t="s">
        <v>1357</v>
      </c>
      <c r="AU349" t="s">
        <v>62</v>
      </c>
      <c r="AV349">
        <v>280</v>
      </c>
    </row>
    <row r="350" spans="1:48" x14ac:dyDescent="0.25">
      <c r="A350">
        <v>933</v>
      </c>
      <c r="B350" t="s">
        <v>1550</v>
      </c>
      <c r="C350" t="s">
        <v>64</v>
      </c>
      <c r="D350" t="s">
        <v>1058</v>
      </c>
      <c r="E350" t="s">
        <v>1551</v>
      </c>
      <c r="F350" t="s">
        <v>1552</v>
      </c>
      <c r="G350" t="s">
        <v>53</v>
      </c>
      <c r="H350" s="1">
        <v>37102</v>
      </c>
      <c r="I350">
        <v>25</v>
      </c>
      <c r="J350">
        <v>2001</v>
      </c>
      <c r="K350" s="1">
        <v>44972</v>
      </c>
      <c r="L350">
        <v>2023</v>
      </c>
      <c r="M350" t="s">
        <v>54</v>
      </c>
      <c r="N350">
        <v>20</v>
      </c>
      <c r="O350" t="s">
        <v>180</v>
      </c>
      <c r="P350" t="s">
        <v>56</v>
      </c>
      <c r="Q350">
        <v>36</v>
      </c>
      <c r="R350">
        <v>7</v>
      </c>
      <c r="S350" t="s">
        <v>163</v>
      </c>
      <c r="T350" t="s">
        <v>164</v>
      </c>
      <c r="U350">
        <v>10</v>
      </c>
      <c r="V350">
        <v>10</v>
      </c>
      <c r="W350">
        <v>10</v>
      </c>
      <c r="X350">
        <v>10</v>
      </c>
      <c r="Y350">
        <v>2</v>
      </c>
      <c r="Z350">
        <v>10</v>
      </c>
      <c r="AA350">
        <v>2.5</v>
      </c>
      <c r="AB350">
        <v>25</v>
      </c>
      <c r="AC350" t="s">
        <v>70</v>
      </c>
      <c r="AD350" t="s">
        <v>60</v>
      </c>
      <c r="AE350">
        <v>2</v>
      </c>
      <c r="AF350">
        <v>0</v>
      </c>
      <c r="AG350">
        <v>1</v>
      </c>
      <c r="AH350">
        <v>0</v>
      </c>
      <c r="AI350">
        <v>0</v>
      </c>
      <c r="AJ350">
        <v>5</v>
      </c>
      <c r="AK350">
        <v>0</v>
      </c>
      <c r="AL350">
        <v>0</v>
      </c>
      <c r="AM350">
        <v>1</v>
      </c>
      <c r="AN350">
        <v>1</v>
      </c>
      <c r="AO350">
        <v>9</v>
      </c>
      <c r="AP350">
        <v>1</v>
      </c>
      <c r="AQ350">
        <v>90</v>
      </c>
      <c r="AR350" s="2">
        <v>45756.287511574075</v>
      </c>
      <c r="AS350" s="2">
        <v>46044.16201388889</v>
      </c>
      <c r="AT350" t="s">
        <v>61</v>
      </c>
      <c r="AU350" t="s">
        <v>62</v>
      </c>
      <c r="AV350">
        <v>288</v>
      </c>
    </row>
    <row r="351" spans="1:48" x14ac:dyDescent="0.25">
      <c r="A351">
        <v>313</v>
      </c>
      <c r="B351" t="s">
        <v>1553</v>
      </c>
      <c r="C351" t="s">
        <v>1554</v>
      </c>
      <c r="D351" t="s">
        <v>1555</v>
      </c>
      <c r="E351" t="s">
        <v>1556</v>
      </c>
      <c r="F351" t="s">
        <v>1557</v>
      </c>
      <c r="G351" t="s">
        <v>53</v>
      </c>
      <c r="H351" s="1">
        <v>35321</v>
      </c>
      <c r="I351">
        <v>30</v>
      </c>
      <c r="J351">
        <v>1996</v>
      </c>
      <c r="K351" s="1">
        <v>44817</v>
      </c>
      <c r="L351">
        <v>2022</v>
      </c>
      <c r="M351" t="s">
        <v>54</v>
      </c>
      <c r="N351">
        <v>3</v>
      </c>
      <c r="O351" t="s">
        <v>68</v>
      </c>
      <c r="P351" t="s">
        <v>69</v>
      </c>
      <c r="Q351">
        <v>60</v>
      </c>
      <c r="R351">
        <v>1</v>
      </c>
      <c r="S351" t="s">
        <v>57</v>
      </c>
      <c r="T351" t="s">
        <v>58</v>
      </c>
      <c r="U351">
        <v>10</v>
      </c>
      <c r="V351">
        <v>10</v>
      </c>
      <c r="W351">
        <v>10</v>
      </c>
      <c r="X351">
        <v>8</v>
      </c>
      <c r="Y351">
        <v>3</v>
      </c>
      <c r="Z351">
        <v>9</v>
      </c>
      <c r="AA351">
        <v>1.7222219999999999</v>
      </c>
      <c r="AB351">
        <v>15.5</v>
      </c>
      <c r="AC351" t="s">
        <v>70</v>
      </c>
      <c r="AD351" t="s">
        <v>112</v>
      </c>
      <c r="AE351">
        <v>0</v>
      </c>
      <c r="AF351">
        <v>0</v>
      </c>
      <c r="AG351">
        <v>1</v>
      </c>
      <c r="AH351">
        <v>1</v>
      </c>
      <c r="AI351">
        <v>0</v>
      </c>
      <c r="AJ351">
        <v>2</v>
      </c>
      <c r="AK351">
        <v>1</v>
      </c>
      <c r="AL351">
        <v>0</v>
      </c>
      <c r="AM351">
        <v>2</v>
      </c>
      <c r="AN351">
        <v>2</v>
      </c>
      <c r="AO351">
        <v>7</v>
      </c>
      <c r="AP351">
        <v>2</v>
      </c>
      <c r="AQ351">
        <v>77.777777777777004</v>
      </c>
      <c r="AR351" s="2">
        <v>45748.028321759259</v>
      </c>
      <c r="AS351" s="2">
        <v>46058.610821759263</v>
      </c>
      <c r="AT351" t="s">
        <v>61</v>
      </c>
      <c r="AU351" t="s">
        <v>62</v>
      </c>
      <c r="AV351">
        <v>310</v>
      </c>
    </row>
    <row r="352" spans="1:48" x14ac:dyDescent="0.25">
      <c r="A352">
        <v>179</v>
      </c>
      <c r="B352" t="s">
        <v>1558</v>
      </c>
      <c r="C352" t="s">
        <v>172</v>
      </c>
      <c r="D352" t="s">
        <v>1559</v>
      </c>
      <c r="E352" t="s">
        <v>1560</v>
      </c>
      <c r="F352" t="s">
        <v>1561</v>
      </c>
      <c r="G352" t="s">
        <v>104</v>
      </c>
      <c r="H352" s="1">
        <v>38736</v>
      </c>
      <c r="I352">
        <v>20</v>
      </c>
      <c r="J352">
        <v>2006</v>
      </c>
      <c r="K352" s="1">
        <v>45808</v>
      </c>
      <c r="L352">
        <v>2025</v>
      </c>
      <c r="M352" t="s">
        <v>54</v>
      </c>
      <c r="N352">
        <v>17</v>
      </c>
      <c r="O352" t="s">
        <v>350</v>
      </c>
      <c r="P352" t="s">
        <v>56</v>
      </c>
      <c r="Q352">
        <v>36</v>
      </c>
      <c r="R352">
        <v>6</v>
      </c>
      <c r="S352" t="s">
        <v>140</v>
      </c>
      <c r="T352" t="s">
        <v>141</v>
      </c>
      <c r="U352">
        <v>10</v>
      </c>
      <c r="V352">
        <v>10</v>
      </c>
      <c r="W352">
        <v>10</v>
      </c>
      <c r="X352">
        <v>10</v>
      </c>
      <c r="Y352">
        <v>2</v>
      </c>
      <c r="Z352">
        <v>7</v>
      </c>
      <c r="AA352">
        <v>2.7142849999999998</v>
      </c>
      <c r="AB352">
        <v>19</v>
      </c>
      <c r="AC352" t="s">
        <v>70</v>
      </c>
      <c r="AD352" t="s">
        <v>60</v>
      </c>
      <c r="AE352">
        <v>1</v>
      </c>
      <c r="AF352">
        <v>0</v>
      </c>
      <c r="AG352">
        <v>2</v>
      </c>
      <c r="AH352">
        <v>2</v>
      </c>
      <c r="AI352">
        <v>0</v>
      </c>
      <c r="AJ352">
        <v>0</v>
      </c>
      <c r="AK352">
        <v>1</v>
      </c>
      <c r="AL352">
        <v>0</v>
      </c>
      <c r="AM352">
        <v>0</v>
      </c>
      <c r="AN352">
        <v>1</v>
      </c>
      <c r="AO352">
        <v>6</v>
      </c>
      <c r="AP352">
        <v>1</v>
      </c>
      <c r="AQ352">
        <v>85.714285714284998</v>
      </c>
      <c r="AR352" s="2">
        <v>45723.214988425927</v>
      </c>
      <c r="AS352" s="2">
        <v>46030.95212962963</v>
      </c>
      <c r="AT352" t="s">
        <v>1357</v>
      </c>
      <c r="AU352" t="s">
        <v>62</v>
      </c>
      <c r="AV352">
        <v>307</v>
      </c>
    </row>
    <row r="353" spans="1:48" x14ac:dyDescent="0.25">
      <c r="A353">
        <v>502</v>
      </c>
      <c r="B353" t="s">
        <v>1562</v>
      </c>
      <c r="C353" t="s">
        <v>1563</v>
      </c>
      <c r="D353" t="s">
        <v>1564</v>
      </c>
      <c r="E353" t="s">
        <v>1565</v>
      </c>
      <c r="F353" t="s">
        <v>1566</v>
      </c>
      <c r="G353" t="s">
        <v>53</v>
      </c>
      <c r="H353" s="1">
        <v>35336</v>
      </c>
      <c r="I353">
        <v>30</v>
      </c>
      <c r="J353">
        <v>1996</v>
      </c>
      <c r="K353" s="1">
        <v>44937</v>
      </c>
      <c r="L353">
        <v>2023</v>
      </c>
      <c r="M353" t="s">
        <v>54</v>
      </c>
      <c r="N353">
        <v>1</v>
      </c>
      <c r="O353" t="s">
        <v>157</v>
      </c>
      <c r="P353" t="s">
        <v>119</v>
      </c>
      <c r="Q353">
        <v>120</v>
      </c>
      <c r="R353">
        <v>1</v>
      </c>
      <c r="S353" t="s">
        <v>57</v>
      </c>
      <c r="T353" t="s">
        <v>58</v>
      </c>
      <c r="U353">
        <v>9</v>
      </c>
      <c r="V353">
        <v>10</v>
      </c>
      <c r="W353">
        <v>10</v>
      </c>
      <c r="X353">
        <v>9</v>
      </c>
      <c r="Y353">
        <v>3</v>
      </c>
      <c r="Z353">
        <v>10</v>
      </c>
      <c r="AA353">
        <v>1.9</v>
      </c>
      <c r="AB353">
        <v>19</v>
      </c>
      <c r="AC353" t="s">
        <v>70</v>
      </c>
      <c r="AD353" t="s">
        <v>60</v>
      </c>
      <c r="AE353">
        <v>1</v>
      </c>
      <c r="AF353">
        <v>0</v>
      </c>
      <c r="AG353">
        <v>1</v>
      </c>
      <c r="AH353">
        <v>1</v>
      </c>
      <c r="AI353">
        <v>0</v>
      </c>
      <c r="AJ353">
        <v>1</v>
      </c>
      <c r="AK353">
        <v>2</v>
      </c>
      <c r="AL353">
        <v>0</v>
      </c>
      <c r="AM353">
        <v>2</v>
      </c>
      <c r="AN353">
        <v>2</v>
      </c>
      <c r="AO353">
        <v>8</v>
      </c>
      <c r="AP353">
        <v>2</v>
      </c>
      <c r="AQ353">
        <v>80</v>
      </c>
      <c r="AR353" s="2">
        <v>45746.944976851853</v>
      </c>
      <c r="AS353" s="2">
        <v>46046.68105324074</v>
      </c>
      <c r="AT353" t="s">
        <v>61</v>
      </c>
      <c r="AU353" t="s">
        <v>62</v>
      </c>
      <c r="AV353">
        <v>300</v>
      </c>
    </row>
    <row r="354" spans="1:48" x14ac:dyDescent="0.25">
      <c r="A354">
        <v>857</v>
      </c>
      <c r="B354" t="s">
        <v>1567</v>
      </c>
      <c r="C354" t="s">
        <v>300</v>
      </c>
      <c r="D354" t="s">
        <v>108</v>
      </c>
      <c r="E354" t="s">
        <v>1568</v>
      </c>
      <c r="F354" t="s">
        <v>1569</v>
      </c>
      <c r="G354" t="s">
        <v>104</v>
      </c>
      <c r="H354" s="1">
        <v>38524</v>
      </c>
      <c r="I354">
        <v>21</v>
      </c>
      <c r="J354">
        <v>2005</v>
      </c>
      <c r="K354" s="1">
        <v>45670</v>
      </c>
      <c r="L354">
        <v>2025</v>
      </c>
      <c r="M354" t="s">
        <v>54</v>
      </c>
      <c r="N354">
        <v>8</v>
      </c>
      <c r="O354" t="s">
        <v>125</v>
      </c>
      <c r="P354" t="s">
        <v>56</v>
      </c>
      <c r="Q354">
        <v>36</v>
      </c>
      <c r="R354">
        <v>3</v>
      </c>
      <c r="S354" t="s">
        <v>126</v>
      </c>
      <c r="T354" t="s">
        <v>127</v>
      </c>
      <c r="U354">
        <v>10</v>
      </c>
      <c r="V354">
        <v>10</v>
      </c>
      <c r="W354">
        <v>10</v>
      </c>
      <c r="X354">
        <v>9</v>
      </c>
      <c r="Y354">
        <v>3</v>
      </c>
      <c r="Z354">
        <v>8</v>
      </c>
      <c r="AA354">
        <v>1.75</v>
      </c>
      <c r="AB354">
        <v>14</v>
      </c>
      <c r="AC354" t="s">
        <v>70</v>
      </c>
      <c r="AD354" t="s">
        <v>60</v>
      </c>
      <c r="AE354">
        <v>2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1</v>
      </c>
      <c r="AL354">
        <v>0</v>
      </c>
      <c r="AM354">
        <v>1</v>
      </c>
      <c r="AN354">
        <v>3</v>
      </c>
      <c r="AO354">
        <v>5</v>
      </c>
      <c r="AP354">
        <v>3</v>
      </c>
      <c r="AQ354">
        <v>62.5</v>
      </c>
      <c r="AR354" s="2">
        <v>45737.796956018516</v>
      </c>
      <c r="AS354" s="2">
        <v>46043.070914351854</v>
      </c>
      <c r="AT354" t="s">
        <v>61</v>
      </c>
      <c r="AU354" t="s">
        <v>62</v>
      </c>
      <c r="AV354">
        <v>306</v>
      </c>
    </row>
    <row r="355" spans="1:48" x14ac:dyDescent="0.25">
      <c r="A355">
        <v>245</v>
      </c>
      <c r="B355" t="s">
        <v>1570</v>
      </c>
      <c r="C355" t="s">
        <v>1571</v>
      </c>
      <c r="D355" t="s">
        <v>659</v>
      </c>
      <c r="E355" t="s">
        <v>1572</v>
      </c>
      <c r="F355" t="s">
        <v>1573</v>
      </c>
      <c r="G355" t="s">
        <v>104</v>
      </c>
      <c r="H355" s="1">
        <v>37215</v>
      </c>
      <c r="I355">
        <v>25</v>
      </c>
      <c r="J355">
        <v>2001</v>
      </c>
      <c r="K355" s="1">
        <v>45140</v>
      </c>
      <c r="L355">
        <v>2023</v>
      </c>
      <c r="M355" t="s">
        <v>54</v>
      </c>
      <c r="N355">
        <v>5</v>
      </c>
      <c r="O355" t="s">
        <v>84</v>
      </c>
      <c r="P355" t="s">
        <v>56</v>
      </c>
      <c r="Q355">
        <v>36</v>
      </c>
      <c r="R355">
        <v>2</v>
      </c>
      <c r="S355" t="s">
        <v>85</v>
      </c>
      <c r="T355" t="s">
        <v>86</v>
      </c>
      <c r="U355">
        <v>10</v>
      </c>
      <c r="V355">
        <v>10</v>
      </c>
      <c r="W355">
        <v>10</v>
      </c>
      <c r="X355">
        <v>9</v>
      </c>
      <c r="Y355">
        <v>2</v>
      </c>
      <c r="Z355">
        <v>8</v>
      </c>
      <c r="AA355">
        <v>2</v>
      </c>
      <c r="AB355">
        <v>16</v>
      </c>
      <c r="AC355" t="s">
        <v>70</v>
      </c>
      <c r="AD355" t="s">
        <v>60</v>
      </c>
      <c r="AE355">
        <v>1</v>
      </c>
      <c r="AF355">
        <v>0</v>
      </c>
      <c r="AG355">
        <v>1</v>
      </c>
      <c r="AH355">
        <v>1</v>
      </c>
      <c r="AI355">
        <v>0</v>
      </c>
      <c r="AJ355">
        <v>1</v>
      </c>
      <c r="AK355">
        <v>1</v>
      </c>
      <c r="AL355">
        <v>0</v>
      </c>
      <c r="AM355">
        <v>1</v>
      </c>
      <c r="AN355">
        <v>2</v>
      </c>
      <c r="AO355">
        <v>6</v>
      </c>
      <c r="AP355">
        <v>2</v>
      </c>
      <c r="AQ355">
        <v>75</v>
      </c>
      <c r="AR355" s="2">
        <v>45752.089328703703</v>
      </c>
      <c r="AS355" s="2">
        <v>46060.990659722222</v>
      </c>
      <c r="AT355" t="s">
        <v>61</v>
      </c>
      <c r="AU355" t="s">
        <v>1357</v>
      </c>
      <c r="AV355">
        <v>308</v>
      </c>
    </row>
    <row r="356" spans="1:48" x14ac:dyDescent="0.25">
      <c r="A356">
        <v>296</v>
      </c>
      <c r="B356" t="s">
        <v>1574</v>
      </c>
      <c r="C356" t="s">
        <v>201</v>
      </c>
      <c r="D356" t="s">
        <v>311</v>
      </c>
      <c r="E356" t="s">
        <v>1575</v>
      </c>
      <c r="F356" t="s">
        <v>1576</v>
      </c>
      <c r="G356" t="s">
        <v>53</v>
      </c>
      <c r="H356" s="1">
        <v>35913</v>
      </c>
      <c r="I356">
        <v>28</v>
      </c>
      <c r="J356">
        <v>1998</v>
      </c>
      <c r="K356" s="1">
        <v>45014</v>
      </c>
      <c r="L356">
        <v>2023</v>
      </c>
      <c r="M356" t="s">
        <v>54</v>
      </c>
      <c r="N356">
        <v>18</v>
      </c>
      <c r="O356" t="s">
        <v>139</v>
      </c>
      <c r="P356" t="s">
        <v>69</v>
      </c>
      <c r="Q356">
        <v>60</v>
      </c>
      <c r="R356">
        <v>6</v>
      </c>
      <c r="S356" t="s">
        <v>140</v>
      </c>
      <c r="T356" t="s">
        <v>141</v>
      </c>
      <c r="U356">
        <v>10</v>
      </c>
      <c r="V356">
        <v>10</v>
      </c>
      <c r="W356">
        <v>10</v>
      </c>
      <c r="X356">
        <v>9</v>
      </c>
      <c r="Y356">
        <v>3</v>
      </c>
      <c r="Z356">
        <v>8</v>
      </c>
      <c r="AA356">
        <v>3.125</v>
      </c>
      <c r="AB356">
        <v>25</v>
      </c>
      <c r="AC356" t="s">
        <v>540</v>
      </c>
      <c r="AD356" t="s">
        <v>60</v>
      </c>
      <c r="AE356">
        <v>1</v>
      </c>
      <c r="AF356">
        <v>0</v>
      </c>
      <c r="AG356">
        <v>2</v>
      </c>
      <c r="AH356">
        <v>3</v>
      </c>
      <c r="AI356">
        <v>0</v>
      </c>
      <c r="AJ356">
        <v>2</v>
      </c>
      <c r="AK356">
        <v>0</v>
      </c>
      <c r="AL356">
        <v>0</v>
      </c>
      <c r="AM356">
        <v>0</v>
      </c>
      <c r="AN356">
        <v>0</v>
      </c>
      <c r="AO356">
        <v>8</v>
      </c>
      <c r="AP356">
        <v>0</v>
      </c>
      <c r="AQ356">
        <v>100</v>
      </c>
      <c r="AR356" s="2">
        <v>45754.723194444443</v>
      </c>
      <c r="AS356" s="2">
        <v>46062.263032407405</v>
      </c>
      <c r="AT356" t="s">
        <v>61</v>
      </c>
      <c r="AU356" t="s">
        <v>62</v>
      </c>
      <c r="AV356">
        <v>308</v>
      </c>
    </row>
    <row r="357" spans="1:48" x14ac:dyDescent="0.25">
      <c r="A357">
        <v>840</v>
      </c>
      <c r="B357" t="s">
        <v>1577</v>
      </c>
      <c r="C357" t="s">
        <v>1578</v>
      </c>
      <c r="D357" t="s">
        <v>1579</v>
      </c>
      <c r="E357" t="s">
        <v>1580</v>
      </c>
      <c r="F357" t="s">
        <v>1581</v>
      </c>
      <c r="G357" t="s">
        <v>53</v>
      </c>
      <c r="H357" s="1">
        <v>36897</v>
      </c>
      <c r="I357">
        <v>25</v>
      </c>
      <c r="J357">
        <v>2001</v>
      </c>
      <c r="K357" s="1">
        <v>45760</v>
      </c>
      <c r="L357">
        <v>2025</v>
      </c>
      <c r="M357" t="s">
        <v>54</v>
      </c>
      <c r="N357">
        <v>20</v>
      </c>
      <c r="O357" t="s">
        <v>180</v>
      </c>
      <c r="P357" t="s">
        <v>56</v>
      </c>
      <c r="Q357">
        <v>36</v>
      </c>
      <c r="R357">
        <v>7</v>
      </c>
      <c r="S357" t="s">
        <v>163</v>
      </c>
      <c r="T357" t="s">
        <v>164</v>
      </c>
      <c r="U357">
        <v>10</v>
      </c>
      <c r="V357">
        <v>10</v>
      </c>
      <c r="W357">
        <v>10</v>
      </c>
      <c r="X357">
        <v>10</v>
      </c>
      <c r="Y357">
        <v>3</v>
      </c>
      <c r="Z357">
        <v>8</v>
      </c>
      <c r="AA357">
        <v>2.8125</v>
      </c>
      <c r="AB357">
        <v>22.5</v>
      </c>
      <c r="AC357" t="s">
        <v>59</v>
      </c>
      <c r="AD357" t="s">
        <v>60</v>
      </c>
      <c r="AE357">
        <v>1</v>
      </c>
      <c r="AF357">
        <v>0</v>
      </c>
      <c r="AG357">
        <v>2</v>
      </c>
      <c r="AH357">
        <v>2</v>
      </c>
      <c r="AI357">
        <v>0</v>
      </c>
      <c r="AJ357">
        <v>1</v>
      </c>
      <c r="AK357">
        <v>1</v>
      </c>
      <c r="AL357">
        <v>0</v>
      </c>
      <c r="AM357">
        <v>1</v>
      </c>
      <c r="AN357">
        <v>0</v>
      </c>
      <c r="AO357">
        <v>8</v>
      </c>
      <c r="AP357">
        <v>0</v>
      </c>
      <c r="AQ357">
        <v>100</v>
      </c>
      <c r="AR357" s="2">
        <v>45753.775127314817</v>
      </c>
      <c r="AS357" s="2">
        <v>46085.121412037035</v>
      </c>
      <c r="AT357" t="s">
        <v>61</v>
      </c>
      <c r="AU357" t="s">
        <v>62</v>
      </c>
      <c r="AV357">
        <v>332</v>
      </c>
    </row>
    <row r="358" spans="1:48" x14ac:dyDescent="0.25">
      <c r="A358">
        <v>31</v>
      </c>
      <c r="B358" t="s">
        <v>1582</v>
      </c>
      <c r="C358" t="s">
        <v>523</v>
      </c>
      <c r="D358" t="s">
        <v>1583</v>
      </c>
      <c r="E358" t="s">
        <v>1584</v>
      </c>
      <c r="F358" t="s">
        <v>1585</v>
      </c>
      <c r="G358" t="s">
        <v>53</v>
      </c>
      <c r="H358" s="1">
        <v>37413</v>
      </c>
      <c r="I358">
        <v>24</v>
      </c>
      <c r="J358">
        <v>2002</v>
      </c>
      <c r="K358" s="1">
        <v>45233</v>
      </c>
      <c r="L358">
        <v>2023</v>
      </c>
      <c r="M358" t="s">
        <v>54</v>
      </c>
      <c r="N358">
        <v>11</v>
      </c>
      <c r="O358" t="s">
        <v>378</v>
      </c>
      <c r="P358" t="s">
        <v>56</v>
      </c>
      <c r="Q358">
        <v>36</v>
      </c>
      <c r="R358">
        <v>4</v>
      </c>
      <c r="S358" t="s">
        <v>77</v>
      </c>
      <c r="T358" t="s">
        <v>78</v>
      </c>
      <c r="U358">
        <v>10</v>
      </c>
      <c r="V358">
        <v>10</v>
      </c>
      <c r="W358">
        <v>10</v>
      </c>
      <c r="X358">
        <v>8</v>
      </c>
      <c r="Y358">
        <v>2</v>
      </c>
      <c r="Z358">
        <v>10</v>
      </c>
      <c r="AA358">
        <v>1.9</v>
      </c>
      <c r="AB358">
        <v>19</v>
      </c>
      <c r="AC358" t="s">
        <v>70</v>
      </c>
      <c r="AD358" t="s">
        <v>112</v>
      </c>
      <c r="AE358">
        <v>0</v>
      </c>
      <c r="AF358">
        <v>0</v>
      </c>
      <c r="AG358">
        <v>1</v>
      </c>
      <c r="AH358">
        <v>1</v>
      </c>
      <c r="AI358">
        <v>0</v>
      </c>
      <c r="AJ358">
        <v>3</v>
      </c>
      <c r="AK358">
        <v>2</v>
      </c>
      <c r="AL358">
        <v>0</v>
      </c>
      <c r="AM358">
        <v>1</v>
      </c>
      <c r="AN358">
        <v>2</v>
      </c>
      <c r="AO358">
        <v>8</v>
      </c>
      <c r="AP358">
        <v>2</v>
      </c>
      <c r="AQ358">
        <v>80</v>
      </c>
      <c r="AR358" s="2">
        <v>45744.347314814811</v>
      </c>
      <c r="AS358" s="2">
        <v>46071.520532407405</v>
      </c>
      <c r="AT358" t="s">
        <v>61</v>
      </c>
      <c r="AU358" t="s">
        <v>62</v>
      </c>
      <c r="AV358">
        <v>327</v>
      </c>
    </row>
    <row r="359" spans="1:48" x14ac:dyDescent="0.25">
      <c r="A359">
        <v>221</v>
      </c>
      <c r="B359" t="s">
        <v>1586</v>
      </c>
      <c r="C359" t="s">
        <v>1587</v>
      </c>
      <c r="D359" t="s">
        <v>468</v>
      </c>
      <c r="E359" t="s">
        <v>1588</v>
      </c>
      <c r="F359" t="s">
        <v>1589</v>
      </c>
      <c r="G359" t="s">
        <v>53</v>
      </c>
      <c r="H359" s="1">
        <v>35786</v>
      </c>
      <c r="I359">
        <v>29</v>
      </c>
      <c r="J359">
        <v>1997</v>
      </c>
      <c r="K359" s="1">
        <v>45829</v>
      </c>
      <c r="L359">
        <v>2025</v>
      </c>
      <c r="M359" t="s">
        <v>54</v>
      </c>
      <c r="N359">
        <v>15</v>
      </c>
      <c r="O359" t="s">
        <v>91</v>
      </c>
      <c r="P359" t="s">
        <v>69</v>
      </c>
      <c r="Q359">
        <v>60</v>
      </c>
      <c r="R359">
        <v>5</v>
      </c>
      <c r="S359" t="s">
        <v>92</v>
      </c>
      <c r="T359" t="s">
        <v>93</v>
      </c>
      <c r="U359">
        <v>9</v>
      </c>
      <c r="V359">
        <v>10</v>
      </c>
      <c r="W359">
        <v>10</v>
      </c>
      <c r="X359">
        <v>9</v>
      </c>
      <c r="Y359">
        <v>2</v>
      </c>
      <c r="Z359">
        <v>6</v>
      </c>
      <c r="AA359">
        <v>2.5833330000000001</v>
      </c>
      <c r="AB359">
        <v>15.5</v>
      </c>
      <c r="AC359" t="s">
        <v>70</v>
      </c>
      <c r="AD359" t="s">
        <v>60</v>
      </c>
      <c r="AE359">
        <v>2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2</v>
      </c>
      <c r="AL359">
        <v>0</v>
      </c>
      <c r="AM359">
        <v>0</v>
      </c>
      <c r="AN359">
        <v>1</v>
      </c>
      <c r="AO359">
        <v>5</v>
      </c>
      <c r="AP359">
        <v>1</v>
      </c>
      <c r="AQ359">
        <v>83.333333333333002</v>
      </c>
      <c r="AR359" s="2">
        <v>45753.650208333333</v>
      </c>
      <c r="AS359" s="2">
        <v>46071.153900462959</v>
      </c>
      <c r="AT359" t="s">
        <v>61</v>
      </c>
      <c r="AU359" t="s">
        <v>1357</v>
      </c>
      <c r="AV359">
        <v>318</v>
      </c>
    </row>
    <row r="360" spans="1:48" x14ac:dyDescent="0.25">
      <c r="A360">
        <v>504</v>
      </c>
      <c r="B360" t="s">
        <v>1590</v>
      </c>
      <c r="C360" t="s">
        <v>556</v>
      </c>
      <c r="D360" t="s">
        <v>636</v>
      </c>
      <c r="E360" t="s">
        <v>1591</v>
      </c>
      <c r="F360">
        <f>1-792-441-9562</f>
        <v>-10794</v>
      </c>
      <c r="G360" t="s">
        <v>104</v>
      </c>
      <c r="H360" s="1">
        <v>37780</v>
      </c>
      <c r="I360">
        <v>23</v>
      </c>
      <c r="J360">
        <v>2003</v>
      </c>
      <c r="K360" s="1">
        <v>45916</v>
      </c>
      <c r="L360">
        <v>2025</v>
      </c>
      <c r="M360" t="s">
        <v>54</v>
      </c>
      <c r="N360">
        <v>19</v>
      </c>
      <c r="O360" t="s">
        <v>162</v>
      </c>
      <c r="P360" t="s">
        <v>119</v>
      </c>
      <c r="Q360">
        <v>120</v>
      </c>
      <c r="R360">
        <v>7</v>
      </c>
      <c r="S360" t="s">
        <v>163</v>
      </c>
      <c r="T360" t="s">
        <v>164</v>
      </c>
      <c r="U360">
        <v>10</v>
      </c>
      <c r="V360">
        <v>10</v>
      </c>
      <c r="W360">
        <v>10</v>
      </c>
      <c r="X360">
        <v>9</v>
      </c>
      <c r="Y360">
        <v>2</v>
      </c>
      <c r="Z360">
        <v>7</v>
      </c>
      <c r="AA360">
        <v>2.9285709999999998</v>
      </c>
      <c r="AB360">
        <v>20.5</v>
      </c>
      <c r="AC360" t="s">
        <v>59</v>
      </c>
      <c r="AD360" t="s">
        <v>60</v>
      </c>
      <c r="AE360">
        <v>2</v>
      </c>
      <c r="AF360">
        <v>0</v>
      </c>
      <c r="AG360">
        <v>1</v>
      </c>
      <c r="AH360">
        <v>1</v>
      </c>
      <c r="AI360">
        <v>0</v>
      </c>
      <c r="AJ360">
        <v>2</v>
      </c>
      <c r="AK360">
        <v>0</v>
      </c>
      <c r="AL360">
        <v>0</v>
      </c>
      <c r="AM360">
        <v>1</v>
      </c>
      <c r="AN360">
        <v>0</v>
      </c>
      <c r="AO360">
        <v>7</v>
      </c>
      <c r="AP360">
        <v>0</v>
      </c>
      <c r="AQ360">
        <v>100</v>
      </c>
      <c r="AR360" s="2">
        <v>45842.633379629631</v>
      </c>
      <c r="AS360" s="2">
        <v>46077.313703703701</v>
      </c>
      <c r="AT360" t="s">
        <v>1357</v>
      </c>
      <c r="AU360" t="s">
        <v>62</v>
      </c>
      <c r="AV360">
        <v>235</v>
      </c>
    </row>
    <row r="361" spans="1:48" x14ac:dyDescent="0.25">
      <c r="A361">
        <v>384</v>
      </c>
      <c r="B361" t="s">
        <v>1592</v>
      </c>
      <c r="C361" t="s">
        <v>1386</v>
      </c>
      <c r="D361" t="s">
        <v>1593</v>
      </c>
      <c r="E361" t="s">
        <v>1594</v>
      </c>
      <c r="F361" t="s">
        <v>1595</v>
      </c>
      <c r="G361" t="s">
        <v>53</v>
      </c>
      <c r="H361" s="1">
        <v>34898</v>
      </c>
      <c r="I361">
        <v>31</v>
      </c>
      <c r="J361">
        <v>1995</v>
      </c>
      <c r="K361" s="1">
        <v>45742</v>
      </c>
      <c r="L361">
        <v>2025</v>
      </c>
      <c r="M361" t="s">
        <v>54</v>
      </c>
      <c r="N361">
        <v>4</v>
      </c>
      <c r="O361" t="s">
        <v>215</v>
      </c>
      <c r="P361" t="s">
        <v>119</v>
      </c>
      <c r="Q361">
        <v>120</v>
      </c>
      <c r="R361">
        <v>2</v>
      </c>
      <c r="S361" t="s">
        <v>85</v>
      </c>
      <c r="T361" t="s">
        <v>86</v>
      </c>
      <c r="U361">
        <v>8</v>
      </c>
      <c r="V361">
        <v>10</v>
      </c>
      <c r="W361">
        <v>10</v>
      </c>
      <c r="X361">
        <v>9</v>
      </c>
      <c r="Y361">
        <v>2</v>
      </c>
      <c r="Z361">
        <v>7</v>
      </c>
      <c r="AA361">
        <v>2.071428</v>
      </c>
      <c r="AB361">
        <v>14.5</v>
      </c>
      <c r="AC361" t="s">
        <v>70</v>
      </c>
      <c r="AD361" t="s">
        <v>60</v>
      </c>
      <c r="AE361">
        <v>1</v>
      </c>
      <c r="AF361">
        <v>0</v>
      </c>
      <c r="AG361">
        <v>1</v>
      </c>
      <c r="AH361">
        <v>0</v>
      </c>
      <c r="AI361">
        <v>0</v>
      </c>
      <c r="AJ361">
        <v>2</v>
      </c>
      <c r="AK361">
        <v>1</v>
      </c>
      <c r="AL361">
        <v>0</v>
      </c>
      <c r="AM361">
        <v>0</v>
      </c>
      <c r="AN361">
        <v>2</v>
      </c>
      <c r="AO361">
        <v>5</v>
      </c>
      <c r="AP361">
        <v>2</v>
      </c>
      <c r="AQ361">
        <v>71.428571428571004</v>
      </c>
      <c r="AR361" s="2">
        <v>45757.581331018519</v>
      </c>
      <c r="AS361" s="2">
        <v>46076.800416666665</v>
      </c>
      <c r="AT361" t="s">
        <v>61</v>
      </c>
      <c r="AU361" t="s">
        <v>1357</v>
      </c>
      <c r="AV361">
        <v>319</v>
      </c>
    </row>
    <row r="362" spans="1:48" x14ac:dyDescent="0.25">
      <c r="A362">
        <v>176</v>
      </c>
      <c r="B362" t="s">
        <v>1596</v>
      </c>
      <c r="C362" t="s">
        <v>595</v>
      </c>
      <c r="D362" t="s">
        <v>1597</v>
      </c>
      <c r="E362" t="s">
        <v>1598</v>
      </c>
      <c r="F362" t="s">
        <v>1599</v>
      </c>
      <c r="G362" t="s">
        <v>104</v>
      </c>
      <c r="H362" s="1">
        <v>37814</v>
      </c>
      <c r="I362">
        <v>23</v>
      </c>
      <c r="J362">
        <v>2003</v>
      </c>
      <c r="K362" s="1">
        <v>45789</v>
      </c>
      <c r="L362">
        <v>2025</v>
      </c>
      <c r="M362" t="s">
        <v>54</v>
      </c>
      <c r="N362">
        <v>9</v>
      </c>
      <c r="O362" t="s">
        <v>151</v>
      </c>
      <c r="P362" t="s">
        <v>69</v>
      </c>
      <c r="Q362">
        <v>60</v>
      </c>
      <c r="R362">
        <v>3</v>
      </c>
      <c r="S362" t="s">
        <v>126</v>
      </c>
      <c r="T362" t="s">
        <v>127</v>
      </c>
      <c r="U362">
        <v>10</v>
      </c>
      <c r="V362">
        <v>10</v>
      </c>
      <c r="W362">
        <v>10</v>
      </c>
      <c r="X362">
        <v>10</v>
      </c>
      <c r="Y362">
        <v>3</v>
      </c>
      <c r="Z362">
        <v>10</v>
      </c>
      <c r="AA362">
        <v>2.75</v>
      </c>
      <c r="AB362">
        <v>27.5</v>
      </c>
      <c r="AC362" t="s">
        <v>70</v>
      </c>
      <c r="AD362" t="s">
        <v>60</v>
      </c>
      <c r="AE362">
        <v>2</v>
      </c>
      <c r="AF362">
        <v>0</v>
      </c>
      <c r="AG362">
        <v>3</v>
      </c>
      <c r="AH362">
        <v>0</v>
      </c>
      <c r="AI362">
        <v>0</v>
      </c>
      <c r="AJ362">
        <v>2</v>
      </c>
      <c r="AK362">
        <v>2</v>
      </c>
      <c r="AL362">
        <v>0</v>
      </c>
      <c r="AM362">
        <v>0</v>
      </c>
      <c r="AN362">
        <v>1</v>
      </c>
      <c r="AO362">
        <v>9</v>
      </c>
      <c r="AP362">
        <v>1</v>
      </c>
      <c r="AQ362">
        <v>90</v>
      </c>
      <c r="AR362" s="2">
        <v>45767.541307870371</v>
      </c>
      <c r="AS362" s="2">
        <v>46029.967268518521</v>
      </c>
      <c r="AT362" t="s">
        <v>61</v>
      </c>
      <c r="AU362" t="s">
        <v>62</v>
      </c>
      <c r="AV362">
        <v>262</v>
      </c>
    </row>
    <row r="363" spans="1:48" x14ac:dyDescent="0.25">
      <c r="A363">
        <v>141</v>
      </c>
      <c r="B363" t="s">
        <v>1600</v>
      </c>
      <c r="C363" t="s">
        <v>463</v>
      </c>
      <c r="D363" t="s">
        <v>532</v>
      </c>
      <c r="E363" t="s">
        <v>1601</v>
      </c>
      <c r="F363" t="s">
        <v>1602</v>
      </c>
      <c r="G363" t="s">
        <v>53</v>
      </c>
      <c r="H363" s="1">
        <v>35259</v>
      </c>
      <c r="I363">
        <v>30</v>
      </c>
      <c r="J363">
        <v>1996</v>
      </c>
      <c r="K363" s="1">
        <v>45232</v>
      </c>
      <c r="L363">
        <v>2023</v>
      </c>
      <c r="M363" t="s">
        <v>54</v>
      </c>
      <c r="N363">
        <v>15</v>
      </c>
      <c r="O363" t="s">
        <v>91</v>
      </c>
      <c r="P363" t="s">
        <v>69</v>
      </c>
      <c r="Q363">
        <v>60</v>
      </c>
      <c r="R363">
        <v>5</v>
      </c>
      <c r="S363" t="s">
        <v>92</v>
      </c>
      <c r="T363" t="s">
        <v>93</v>
      </c>
      <c r="U363">
        <v>10</v>
      </c>
      <c r="V363">
        <v>10</v>
      </c>
      <c r="W363">
        <v>10</v>
      </c>
      <c r="X363">
        <v>9</v>
      </c>
      <c r="Y363">
        <v>3</v>
      </c>
      <c r="Z363">
        <v>7</v>
      </c>
      <c r="AA363">
        <v>2.5</v>
      </c>
      <c r="AB363">
        <v>17.5</v>
      </c>
      <c r="AC363" t="s">
        <v>59</v>
      </c>
      <c r="AD363" t="s">
        <v>60</v>
      </c>
      <c r="AE363">
        <v>3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0</v>
      </c>
      <c r="AM363">
        <v>3</v>
      </c>
      <c r="AN363">
        <v>0</v>
      </c>
      <c r="AO363">
        <v>7</v>
      </c>
      <c r="AP363">
        <v>0</v>
      </c>
      <c r="AQ363">
        <v>100</v>
      </c>
      <c r="AR363" s="2">
        <v>45725.683437500003</v>
      </c>
      <c r="AS363" s="2">
        <v>46043.1797337963</v>
      </c>
      <c r="AT363" t="s">
        <v>61</v>
      </c>
      <c r="AU363" t="s">
        <v>62</v>
      </c>
      <c r="AV363">
        <v>318</v>
      </c>
    </row>
    <row r="364" spans="1:48" x14ac:dyDescent="0.25">
      <c r="A364">
        <v>48</v>
      </c>
      <c r="B364" t="s">
        <v>1603</v>
      </c>
      <c r="C364" t="s">
        <v>686</v>
      </c>
      <c r="D364" t="s">
        <v>1173</v>
      </c>
      <c r="E364" t="s">
        <v>1604</v>
      </c>
      <c r="F364" t="s">
        <v>1605</v>
      </c>
      <c r="G364" t="s">
        <v>53</v>
      </c>
      <c r="H364" s="1">
        <v>37786</v>
      </c>
      <c r="I364">
        <v>23</v>
      </c>
      <c r="J364">
        <v>2003</v>
      </c>
      <c r="K364" s="1">
        <v>45532</v>
      </c>
      <c r="L364">
        <v>2024</v>
      </c>
      <c r="M364" t="s">
        <v>54</v>
      </c>
      <c r="N364">
        <v>21</v>
      </c>
      <c r="O364" t="s">
        <v>339</v>
      </c>
      <c r="P364" t="s">
        <v>69</v>
      </c>
      <c r="Q364">
        <v>60</v>
      </c>
      <c r="R364">
        <v>7</v>
      </c>
      <c r="S364" t="s">
        <v>163</v>
      </c>
      <c r="T364" t="s">
        <v>164</v>
      </c>
      <c r="U364">
        <v>9</v>
      </c>
      <c r="V364">
        <v>10</v>
      </c>
      <c r="W364">
        <v>10</v>
      </c>
      <c r="X364">
        <v>6</v>
      </c>
      <c r="Y364">
        <v>2</v>
      </c>
      <c r="Z364">
        <v>7</v>
      </c>
      <c r="AA364">
        <v>2.1428569999999998</v>
      </c>
      <c r="AB364">
        <v>15</v>
      </c>
      <c r="AC364" t="s">
        <v>59</v>
      </c>
      <c r="AD364" t="s">
        <v>281</v>
      </c>
      <c r="AE364">
        <v>0</v>
      </c>
      <c r="AF364">
        <v>0</v>
      </c>
      <c r="AG364">
        <v>2</v>
      </c>
      <c r="AH364">
        <v>0</v>
      </c>
      <c r="AI364">
        <v>0</v>
      </c>
      <c r="AJ364">
        <v>0</v>
      </c>
      <c r="AK364">
        <v>3</v>
      </c>
      <c r="AL364">
        <v>0</v>
      </c>
      <c r="AM364">
        <v>2</v>
      </c>
      <c r="AN364">
        <v>0</v>
      </c>
      <c r="AO364">
        <v>7</v>
      </c>
      <c r="AP364">
        <v>0</v>
      </c>
      <c r="AQ364">
        <v>100</v>
      </c>
      <c r="AR364" s="2">
        <v>45745.623032407406</v>
      </c>
      <c r="AS364" s="2">
        <v>46058.318229166667</v>
      </c>
      <c r="AT364" t="s">
        <v>61</v>
      </c>
      <c r="AU364" t="s">
        <v>1357</v>
      </c>
      <c r="AV364">
        <v>313</v>
      </c>
    </row>
    <row r="365" spans="1:48" x14ac:dyDescent="0.25">
      <c r="A365">
        <v>351</v>
      </c>
      <c r="B365" t="s">
        <v>1606</v>
      </c>
      <c r="C365" t="s">
        <v>248</v>
      </c>
      <c r="D365" t="s">
        <v>1607</v>
      </c>
      <c r="E365" t="s">
        <v>1608</v>
      </c>
      <c r="F365" t="s">
        <v>1609</v>
      </c>
      <c r="G365" t="s">
        <v>104</v>
      </c>
      <c r="H365" s="1">
        <v>37919</v>
      </c>
      <c r="I365">
        <v>23</v>
      </c>
      <c r="J365">
        <v>2003</v>
      </c>
      <c r="K365" s="1">
        <v>45014</v>
      </c>
      <c r="L365">
        <v>2023</v>
      </c>
      <c r="M365" t="s">
        <v>54</v>
      </c>
      <c r="N365">
        <v>10</v>
      </c>
      <c r="O365" t="s">
        <v>118</v>
      </c>
      <c r="P365" t="s">
        <v>119</v>
      </c>
      <c r="Q365">
        <v>120</v>
      </c>
      <c r="R365">
        <v>4</v>
      </c>
      <c r="S365" t="s">
        <v>77</v>
      </c>
      <c r="T365" t="s">
        <v>78</v>
      </c>
      <c r="U365">
        <v>9</v>
      </c>
      <c r="V365">
        <v>10</v>
      </c>
      <c r="W365">
        <v>10</v>
      </c>
      <c r="X365">
        <v>8</v>
      </c>
      <c r="Y365">
        <v>2</v>
      </c>
      <c r="Z365">
        <v>8</v>
      </c>
      <c r="AA365">
        <v>2.125</v>
      </c>
      <c r="AB365">
        <v>17</v>
      </c>
      <c r="AC365" t="s">
        <v>70</v>
      </c>
      <c r="AD365" t="s">
        <v>60</v>
      </c>
      <c r="AE365">
        <v>1</v>
      </c>
      <c r="AF365">
        <v>0</v>
      </c>
      <c r="AG365">
        <v>0</v>
      </c>
      <c r="AH365">
        <v>2</v>
      </c>
      <c r="AI365">
        <v>0</v>
      </c>
      <c r="AJ365">
        <v>0</v>
      </c>
      <c r="AK365">
        <v>3</v>
      </c>
      <c r="AL365">
        <v>0</v>
      </c>
      <c r="AM365">
        <v>1</v>
      </c>
      <c r="AN365">
        <v>1</v>
      </c>
      <c r="AO365">
        <v>7</v>
      </c>
      <c r="AP365">
        <v>1</v>
      </c>
      <c r="AQ365">
        <v>87.5</v>
      </c>
      <c r="AR365" s="2">
        <v>45721.918703703705</v>
      </c>
      <c r="AS365" s="2">
        <v>46077.901423611111</v>
      </c>
      <c r="AT365" t="s">
        <v>1357</v>
      </c>
      <c r="AU365" t="s">
        <v>62</v>
      </c>
      <c r="AV365">
        <v>356</v>
      </c>
    </row>
    <row r="366" spans="1:48" x14ac:dyDescent="0.25">
      <c r="A366">
        <v>76</v>
      </c>
      <c r="B366" t="s">
        <v>1610</v>
      </c>
      <c r="C366" t="s">
        <v>453</v>
      </c>
      <c r="D366" t="s">
        <v>600</v>
      </c>
      <c r="E366" t="s">
        <v>1611</v>
      </c>
      <c r="F366" t="s">
        <v>1612</v>
      </c>
      <c r="G366" t="s">
        <v>53</v>
      </c>
      <c r="H366" s="1">
        <v>38642</v>
      </c>
      <c r="I366">
        <v>21</v>
      </c>
      <c r="J366">
        <v>2005</v>
      </c>
      <c r="K366" s="1">
        <v>45795</v>
      </c>
      <c r="L366">
        <v>2025</v>
      </c>
      <c r="M366" t="s">
        <v>225</v>
      </c>
      <c r="N366">
        <v>10</v>
      </c>
      <c r="O366" t="s">
        <v>118</v>
      </c>
      <c r="P366" t="s">
        <v>119</v>
      </c>
      <c r="Q366">
        <v>120</v>
      </c>
      <c r="R366">
        <v>4</v>
      </c>
      <c r="S366" t="s">
        <v>77</v>
      </c>
      <c r="T366" t="s">
        <v>78</v>
      </c>
      <c r="U366">
        <v>9</v>
      </c>
      <c r="V366">
        <v>10</v>
      </c>
      <c r="W366">
        <v>10</v>
      </c>
      <c r="X366">
        <v>10</v>
      </c>
      <c r="Y366">
        <v>2</v>
      </c>
      <c r="Z366">
        <v>10</v>
      </c>
      <c r="AA366">
        <v>2.2999999999999998</v>
      </c>
      <c r="AB366">
        <v>23</v>
      </c>
      <c r="AC366" t="s">
        <v>59</v>
      </c>
      <c r="AD366" t="s">
        <v>60</v>
      </c>
      <c r="AE366">
        <v>1</v>
      </c>
      <c r="AF366">
        <v>0</v>
      </c>
      <c r="AG366">
        <v>1</v>
      </c>
      <c r="AH366">
        <v>3</v>
      </c>
      <c r="AI366">
        <v>0</v>
      </c>
      <c r="AJ366">
        <v>1</v>
      </c>
      <c r="AK366">
        <v>0</v>
      </c>
      <c r="AL366">
        <v>0</v>
      </c>
      <c r="AM366">
        <v>4</v>
      </c>
      <c r="AN366">
        <v>0</v>
      </c>
      <c r="AO366">
        <v>10</v>
      </c>
      <c r="AP366">
        <v>0</v>
      </c>
      <c r="AQ366">
        <v>100</v>
      </c>
      <c r="AR366" s="2">
        <v>45723.364675925928</v>
      </c>
      <c r="AS366" s="2">
        <v>46039.918692129628</v>
      </c>
      <c r="AT366" t="s">
        <v>61</v>
      </c>
      <c r="AU366" t="s">
        <v>62</v>
      </c>
      <c r="AV366">
        <v>316</v>
      </c>
    </row>
    <row r="367" spans="1:48" x14ac:dyDescent="0.25">
      <c r="A367">
        <v>648</v>
      </c>
      <c r="B367" t="s">
        <v>1613</v>
      </c>
      <c r="C367" t="s">
        <v>627</v>
      </c>
      <c r="D367" t="s">
        <v>347</v>
      </c>
      <c r="E367" t="s">
        <v>1614</v>
      </c>
      <c r="F367" t="s">
        <v>1615</v>
      </c>
      <c r="G367" t="s">
        <v>104</v>
      </c>
      <c r="H367" s="1">
        <v>37700</v>
      </c>
      <c r="I367">
        <v>23</v>
      </c>
      <c r="J367">
        <v>2003</v>
      </c>
      <c r="K367" s="1">
        <v>45422</v>
      </c>
      <c r="L367">
        <v>2024</v>
      </c>
      <c r="M367" t="s">
        <v>54</v>
      </c>
      <c r="N367">
        <v>13</v>
      </c>
      <c r="O367" t="s">
        <v>146</v>
      </c>
      <c r="P367" t="s">
        <v>119</v>
      </c>
      <c r="Q367">
        <v>120</v>
      </c>
      <c r="R367">
        <v>5</v>
      </c>
      <c r="S367" t="s">
        <v>92</v>
      </c>
      <c r="T367" t="s">
        <v>93</v>
      </c>
      <c r="U367">
        <v>10</v>
      </c>
      <c r="V367">
        <v>10</v>
      </c>
      <c r="W367">
        <v>10</v>
      </c>
      <c r="X367">
        <v>9</v>
      </c>
      <c r="Y367">
        <v>3</v>
      </c>
      <c r="Z367">
        <v>9</v>
      </c>
      <c r="AA367">
        <v>2.6111110000000002</v>
      </c>
      <c r="AB367">
        <v>23.5</v>
      </c>
      <c r="AC367" t="s">
        <v>59</v>
      </c>
      <c r="AD367" t="s">
        <v>60</v>
      </c>
      <c r="AE367">
        <v>2</v>
      </c>
      <c r="AF367">
        <v>0</v>
      </c>
      <c r="AG367">
        <v>0</v>
      </c>
      <c r="AH367">
        <v>2</v>
      </c>
      <c r="AI367">
        <v>0</v>
      </c>
      <c r="AJ367">
        <v>3</v>
      </c>
      <c r="AK367">
        <v>0</v>
      </c>
      <c r="AL367">
        <v>0</v>
      </c>
      <c r="AM367">
        <v>2</v>
      </c>
      <c r="AN367">
        <v>0</v>
      </c>
      <c r="AO367">
        <v>9</v>
      </c>
      <c r="AP367">
        <v>0</v>
      </c>
      <c r="AQ367">
        <v>100</v>
      </c>
      <c r="AR367" s="2">
        <v>45742.801296296297</v>
      </c>
      <c r="AS367" s="2">
        <v>46023.945925925924</v>
      </c>
      <c r="AT367" t="s">
        <v>61</v>
      </c>
      <c r="AU367" t="s">
        <v>62</v>
      </c>
      <c r="AV367">
        <v>281</v>
      </c>
    </row>
    <row r="368" spans="1:48" x14ac:dyDescent="0.25">
      <c r="A368">
        <v>247</v>
      </c>
      <c r="B368" t="s">
        <v>1616</v>
      </c>
      <c r="C368" t="s">
        <v>1049</v>
      </c>
      <c r="D368" t="s">
        <v>1617</v>
      </c>
      <c r="E368" t="s">
        <v>1618</v>
      </c>
      <c r="F368" t="s">
        <v>1619</v>
      </c>
      <c r="G368" t="s">
        <v>104</v>
      </c>
      <c r="H368" s="1">
        <v>37752</v>
      </c>
      <c r="I368">
        <v>23</v>
      </c>
      <c r="J368">
        <v>2003</v>
      </c>
      <c r="K368" s="1">
        <v>44682</v>
      </c>
      <c r="L368">
        <v>2022</v>
      </c>
      <c r="M368" t="s">
        <v>225</v>
      </c>
      <c r="N368">
        <v>11</v>
      </c>
      <c r="O368" t="s">
        <v>378</v>
      </c>
      <c r="P368" t="s">
        <v>56</v>
      </c>
      <c r="Q368">
        <v>36</v>
      </c>
      <c r="R368">
        <v>4</v>
      </c>
      <c r="S368" t="s">
        <v>77</v>
      </c>
      <c r="T368" t="s">
        <v>78</v>
      </c>
      <c r="U368">
        <v>10</v>
      </c>
      <c r="V368">
        <v>10</v>
      </c>
      <c r="W368">
        <v>10</v>
      </c>
      <c r="X368">
        <v>7</v>
      </c>
      <c r="Y368">
        <v>3</v>
      </c>
      <c r="Z368">
        <v>8</v>
      </c>
      <c r="AA368">
        <v>1.9375</v>
      </c>
      <c r="AB368">
        <v>15.5</v>
      </c>
      <c r="AC368" t="s">
        <v>70</v>
      </c>
      <c r="AD368" t="s">
        <v>281</v>
      </c>
      <c r="AE368">
        <v>0</v>
      </c>
      <c r="AF368">
        <v>0</v>
      </c>
      <c r="AG368">
        <v>1</v>
      </c>
      <c r="AH368">
        <v>0</v>
      </c>
      <c r="AI368">
        <v>0</v>
      </c>
      <c r="AJ368">
        <v>4</v>
      </c>
      <c r="AK368">
        <v>0</v>
      </c>
      <c r="AL368">
        <v>0</v>
      </c>
      <c r="AM368">
        <v>2</v>
      </c>
      <c r="AN368">
        <v>1</v>
      </c>
      <c r="AO368">
        <v>7</v>
      </c>
      <c r="AP368">
        <v>1</v>
      </c>
      <c r="AQ368">
        <v>87.5</v>
      </c>
      <c r="AR368" s="2">
        <v>45790.239328703705</v>
      </c>
      <c r="AS368" s="2">
        <v>46079.192395833335</v>
      </c>
      <c r="AT368" t="s">
        <v>61</v>
      </c>
      <c r="AU368" t="s">
        <v>62</v>
      </c>
      <c r="AV368">
        <v>289</v>
      </c>
    </row>
    <row r="369" spans="1:48" x14ac:dyDescent="0.25">
      <c r="A369">
        <v>269</v>
      </c>
      <c r="B369" t="s">
        <v>1620</v>
      </c>
      <c r="C369" t="s">
        <v>305</v>
      </c>
      <c r="D369" t="s">
        <v>1621</v>
      </c>
      <c r="E369" t="s">
        <v>1622</v>
      </c>
      <c r="F369" t="s">
        <v>1623</v>
      </c>
      <c r="G369" t="s">
        <v>53</v>
      </c>
      <c r="H369" s="1">
        <v>35138</v>
      </c>
      <c r="I369">
        <v>30</v>
      </c>
      <c r="J369">
        <v>1996</v>
      </c>
      <c r="K369" s="1">
        <v>45127</v>
      </c>
      <c r="L369">
        <v>2023</v>
      </c>
      <c r="M369" t="s">
        <v>54</v>
      </c>
      <c r="N369">
        <v>8</v>
      </c>
      <c r="O369" t="s">
        <v>125</v>
      </c>
      <c r="P369" t="s">
        <v>56</v>
      </c>
      <c r="Q369">
        <v>36</v>
      </c>
      <c r="R369">
        <v>3</v>
      </c>
      <c r="S369" t="s">
        <v>126</v>
      </c>
      <c r="T369" t="s">
        <v>127</v>
      </c>
      <c r="U369">
        <v>9</v>
      </c>
      <c r="V369">
        <v>10</v>
      </c>
      <c r="W369">
        <v>10</v>
      </c>
      <c r="X369">
        <v>9</v>
      </c>
      <c r="Y369">
        <v>3</v>
      </c>
      <c r="Z369">
        <v>8</v>
      </c>
      <c r="AA369">
        <v>2.125</v>
      </c>
      <c r="AB369">
        <v>17</v>
      </c>
      <c r="AC369" t="s">
        <v>70</v>
      </c>
      <c r="AD369" t="s">
        <v>60</v>
      </c>
      <c r="AE369">
        <v>1</v>
      </c>
      <c r="AF369">
        <v>0</v>
      </c>
      <c r="AG369">
        <v>0</v>
      </c>
      <c r="AH369">
        <v>2</v>
      </c>
      <c r="AI369">
        <v>0</v>
      </c>
      <c r="AJ369">
        <v>0</v>
      </c>
      <c r="AK369">
        <v>3</v>
      </c>
      <c r="AL369">
        <v>0</v>
      </c>
      <c r="AM369">
        <v>1</v>
      </c>
      <c r="AN369">
        <v>1</v>
      </c>
      <c r="AO369">
        <v>7</v>
      </c>
      <c r="AP369">
        <v>1</v>
      </c>
      <c r="AQ369">
        <v>87.5</v>
      </c>
      <c r="AR369" s="2">
        <v>45730.61409722222</v>
      </c>
      <c r="AS369" s="2">
        <v>46041.067002314812</v>
      </c>
      <c r="AT369" t="s">
        <v>61</v>
      </c>
      <c r="AU369" t="s">
        <v>62</v>
      </c>
      <c r="AV369">
        <v>311</v>
      </c>
    </row>
    <row r="370" spans="1:48" x14ac:dyDescent="0.25">
      <c r="A370">
        <v>732</v>
      </c>
      <c r="B370" t="s">
        <v>1624</v>
      </c>
      <c r="C370" t="s">
        <v>238</v>
      </c>
      <c r="D370" t="s">
        <v>1625</v>
      </c>
      <c r="E370" t="s">
        <v>1626</v>
      </c>
      <c r="F370" t="s">
        <v>1627</v>
      </c>
      <c r="G370" t="s">
        <v>104</v>
      </c>
      <c r="H370" s="1">
        <v>36711</v>
      </c>
      <c r="I370">
        <v>26</v>
      </c>
      <c r="J370">
        <v>2000</v>
      </c>
      <c r="K370" s="1">
        <v>45554</v>
      </c>
      <c r="L370">
        <v>2024</v>
      </c>
      <c r="M370" t="s">
        <v>54</v>
      </c>
      <c r="N370">
        <v>19</v>
      </c>
      <c r="O370" t="s">
        <v>162</v>
      </c>
      <c r="P370" t="s">
        <v>119</v>
      </c>
      <c r="Q370">
        <v>120</v>
      </c>
      <c r="R370">
        <v>7</v>
      </c>
      <c r="S370" t="s">
        <v>163</v>
      </c>
      <c r="T370" t="s">
        <v>164</v>
      </c>
      <c r="U370">
        <v>10</v>
      </c>
      <c r="V370">
        <v>10</v>
      </c>
      <c r="W370">
        <v>10</v>
      </c>
      <c r="X370">
        <v>9</v>
      </c>
      <c r="Y370">
        <v>3</v>
      </c>
      <c r="Z370">
        <v>9</v>
      </c>
      <c r="AA370">
        <v>1.2777769999999999</v>
      </c>
      <c r="AB370">
        <v>11.5</v>
      </c>
      <c r="AC370" t="s">
        <v>70</v>
      </c>
      <c r="AD370" t="s">
        <v>281</v>
      </c>
      <c r="AE370">
        <v>0</v>
      </c>
      <c r="AF370">
        <v>0</v>
      </c>
      <c r="AG370">
        <v>1</v>
      </c>
      <c r="AH370">
        <v>0</v>
      </c>
      <c r="AI370">
        <v>0</v>
      </c>
      <c r="AJ370">
        <v>2</v>
      </c>
      <c r="AK370">
        <v>1</v>
      </c>
      <c r="AL370">
        <v>0</v>
      </c>
      <c r="AM370">
        <v>1</v>
      </c>
      <c r="AN370">
        <v>4</v>
      </c>
      <c r="AO370">
        <v>5</v>
      </c>
      <c r="AP370">
        <v>4</v>
      </c>
      <c r="AQ370">
        <v>55.555555555555003</v>
      </c>
      <c r="AR370" s="2">
        <v>45769.678506944445</v>
      </c>
      <c r="AS370" s="2">
        <v>46077.923726851855</v>
      </c>
      <c r="AT370" t="s">
        <v>61</v>
      </c>
      <c r="AU370" t="s">
        <v>62</v>
      </c>
      <c r="AV370">
        <v>308</v>
      </c>
    </row>
    <row r="371" spans="1:48" x14ac:dyDescent="0.25">
      <c r="A371">
        <v>723</v>
      </c>
      <c r="B371" t="s">
        <v>1628</v>
      </c>
      <c r="C371" t="s">
        <v>1192</v>
      </c>
      <c r="D371" t="s">
        <v>1629</v>
      </c>
      <c r="E371" t="s">
        <v>1630</v>
      </c>
      <c r="F371">
        <v>3913508632</v>
      </c>
      <c r="G371" t="s">
        <v>104</v>
      </c>
      <c r="H371" s="1">
        <v>35361</v>
      </c>
      <c r="I371">
        <v>30</v>
      </c>
      <c r="J371">
        <v>1996</v>
      </c>
      <c r="K371" s="1">
        <v>44836</v>
      </c>
      <c r="L371">
        <v>2022</v>
      </c>
      <c r="M371" t="s">
        <v>54</v>
      </c>
      <c r="N371">
        <v>15</v>
      </c>
      <c r="O371" t="s">
        <v>91</v>
      </c>
      <c r="P371" t="s">
        <v>69</v>
      </c>
      <c r="Q371">
        <v>60</v>
      </c>
      <c r="R371">
        <v>5</v>
      </c>
      <c r="S371" t="s">
        <v>92</v>
      </c>
      <c r="T371" t="s">
        <v>93</v>
      </c>
      <c r="U371">
        <v>9</v>
      </c>
      <c r="V371">
        <v>10</v>
      </c>
      <c r="W371">
        <v>10</v>
      </c>
      <c r="X371">
        <v>9</v>
      </c>
      <c r="Y371">
        <v>3</v>
      </c>
      <c r="Z371">
        <v>9</v>
      </c>
      <c r="AA371">
        <v>1.7777769999999999</v>
      </c>
      <c r="AB371">
        <v>16</v>
      </c>
      <c r="AC371" t="s">
        <v>70</v>
      </c>
      <c r="AD371" t="s">
        <v>112</v>
      </c>
      <c r="AE371">
        <v>0</v>
      </c>
      <c r="AF371">
        <v>0</v>
      </c>
      <c r="AG371">
        <v>0</v>
      </c>
      <c r="AH371">
        <v>3</v>
      </c>
      <c r="AI371">
        <v>0</v>
      </c>
      <c r="AJ371">
        <v>0</v>
      </c>
      <c r="AK371">
        <v>3</v>
      </c>
      <c r="AL371">
        <v>0</v>
      </c>
      <c r="AM371">
        <v>1</v>
      </c>
      <c r="AN371">
        <v>2</v>
      </c>
      <c r="AO371">
        <v>7</v>
      </c>
      <c r="AP371">
        <v>2</v>
      </c>
      <c r="AQ371">
        <v>77.777777777777004</v>
      </c>
      <c r="AR371" s="2">
        <v>45740.879780092589</v>
      </c>
      <c r="AS371" s="2">
        <v>46081.295104166667</v>
      </c>
      <c r="AT371" t="s">
        <v>61</v>
      </c>
      <c r="AU371" t="s">
        <v>62</v>
      </c>
      <c r="AV371">
        <v>341</v>
      </c>
    </row>
    <row r="372" spans="1:48" x14ac:dyDescent="0.25">
      <c r="A372">
        <v>248</v>
      </c>
      <c r="B372" t="s">
        <v>1631</v>
      </c>
      <c r="C372" t="s">
        <v>877</v>
      </c>
      <c r="D372" t="s">
        <v>342</v>
      </c>
      <c r="E372" t="s">
        <v>1632</v>
      </c>
      <c r="F372" t="s">
        <v>1633</v>
      </c>
      <c r="G372" t="s">
        <v>104</v>
      </c>
      <c r="H372" s="1">
        <v>35573</v>
      </c>
      <c r="I372">
        <v>29</v>
      </c>
      <c r="J372">
        <v>1997</v>
      </c>
      <c r="K372" s="1">
        <v>45838</v>
      </c>
      <c r="L372">
        <v>2025</v>
      </c>
      <c r="M372" t="s">
        <v>54</v>
      </c>
      <c r="N372">
        <v>20</v>
      </c>
      <c r="O372" t="s">
        <v>180</v>
      </c>
      <c r="P372" t="s">
        <v>56</v>
      </c>
      <c r="Q372">
        <v>36</v>
      </c>
      <c r="R372">
        <v>7</v>
      </c>
      <c r="S372" t="s">
        <v>163</v>
      </c>
      <c r="T372" t="s">
        <v>164</v>
      </c>
      <c r="U372">
        <v>9</v>
      </c>
      <c r="V372">
        <v>9</v>
      </c>
      <c r="W372">
        <v>9</v>
      </c>
      <c r="X372">
        <v>9</v>
      </c>
      <c r="Y372">
        <v>2</v>
      </c>
      <c r="Z372">
        <v>8</v>
      </c>
      <c r="AA372">
        <v>2.5</v>
      </c>
      <c r="AB372">
        <v>20</v>
      </c>
      <c r="AC372" t="s">
        <v>70</v>
      </c>
      <c r="AD372" t="s">
        <v>60</v>
      </c>
      <c r="AE372">
        <v>2</v>
      </c>
      <c r="AF372">
        <v>0</v>
      </c>
      <c r="AG372">
        <v>1</v>
      </c>
      <c r="AH372">
        <v>1</v>
      </c>
      <c r="AI372">
        <v>0</v>
      </c>
      <c r="AJ372">
        <v>1</v>
      </c>
      <c r="AK372">
        <v>1</v>
      </c>
      <c r="AL372">
        <v>0</v>
      </c>
      <c r="AM372">
        <v>1</v>
      </c>
      <c r="AN372">
        <v>1</v>
      </c>
      <c r="AO372">
        <v>7</v>
      </c>
      <c r="AP372">
        <v>1</v>
      </c>
      <c r="AQ372">
        <v>87.5</v>
      </c>
      <c r="AR372" s="2">
        <v>45724.485763888886</v>
      </c>
      <c r="AS372" s="2">
        <v>46043.533148148148</v>
      </c>
      <c r="AT372" t="s">
        <v>61</v>
      </c>
      <c r="AU372" t="s">
        <v>1357</v>
      </c>
      <c r="AV372">
        <v>319</v>
      </c>
    </row>
    <row r="373" spans="1:48" x14ac:dyDescent="0.25">
      <c r="A373">
        <v>555</v>
      </c>
      <c r="B373" t="s">
        <v>1634</v>
      </c>
      <c r="C373" t="s">
        <v>153</v>
      </c>
      <c r="D373" t="s">
        <v>1635</v>
      </c>
      <c r="E373" t="s">
        <v>1636</v>
      </c>
      <c r="F373" t="s">
        <v>1637</v>
      </c>
      <c r="G373" t="s">
        <v>104</v>
      </c>
      <c r="H373" s="1">
        <v>35640</v>
      </c>
      <c r="I373">
        <v>29</v>
      </c>
      <c r="J373">
        <v>1997</v>
      </c>
      <c r="K373" s="1">
        <v>46010</v>
      </c>
      <c r="L373">
        <v>2025</v>
      </c>
      <c r="M373" t="s">
        <v>54</v>
      </c>
      <c r="N373">
        <v>16</v>
      </c>
      <c r="O373" t="s">
        <v>280</v>
      </c>
      <c r="P373" t="s">
        <v>119</v>
      </c>
      <c r="Q373">
        <v>120</v>
      </c>
      <c r="R373">
        <v>6</v>
      </c>
      <c r="S373" t="s">
        <v>140</v>
      </c>
      <c r="T373" t="s">
        <v>141</v>
      </c>
      <c r="U373">
        <v>8</v>
      </c>
      <c r="V373">
        <v>9</v>
      </c>
      <c r="W373">
        <v>9</v>
      </c>
      <c r="X373">
        <v>8</v>
      </c>
      <c r="Y373">
        <v>2</v>
      </c>
      <c r="Z373">
        <v>6</v>
      </c>
      <c r="AA373">
        <v>3</v>
      </c>
      <c r="AB373">
        <v>18</v>
      </c>
      <c r="AC373" t="s">
        <v>70</v>
      </c>
      <c r="AD373" t="s">
        <v>60</v>
      </c>
      <c r="AE373">
        <v>3</v>
      </c>
      <c r="AF373">
        <v>0</v>
      </c>
      <c r="AG373">
        <v>0</v>
      </c>
      <c r="AH373">
        <v>2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5</v>
      </c>
      <c r="AP373">
        <v>1</v>
      </c>
      <c r="AQ373">
        <v>83.333333333333002</v>
      </c>
      <c r="AR373" s="2">
        <v>45749.257754629631</v>
      </c>
      <c r="AS373" s="2">
        <v>46071.69023148148</v>
      </c>
      <c r="AT373" t="s">
        <v>1357</v>
      </c>
      <c r="AU373" t="s">
        <v>62</v>
      </c>
      <c r="AV373">
        <v>322</v>
      </c>
    </row>
    <row r="374" spans="1:48" x14ac:dyDescent="0.25">
      <c r="A374">
        <v>722</v>
      </c>
      <c r="B374" t="s">
        <v>1638</v>
      </c>
      <c r="C374" t="s">
        <v>409</v>
      </c>
      <c r="D374" t="s">
        <v>1639</v>
      </c>
      <c r="E374" t="s">
        <v>1640</v>
      </c>
      <c r="F374">
        <v>6954465408</v>
      </c>
      <c r="G374" t="s">
        <v>53</v>
      </c>
      <c r="H374" s="1">
        <v>36155</v>
      </c>
      <c r="I374">
        <v>28</v>
      </c>
      <c r="J374">
        <v>1998</v>
      </c>
      <c r="K374" s="1">
        <v>45234</v>
      </c>
      <c r="L374">
        <v>2023</v>
      </c>
      <c r="M374" t="s">
        <v>54</v>
      </c>
      <c r="N374">
        <v>18</v>
      </c>
      <c r="O374" t="s">
        <v>139</v>
      </c>
      <c r="P374" t="s">
        <v>69</v>
      </c>
      <c r="Q374">
        <v>60</v>
      </c>
      <c r="R374">
        <v>6</v>
      </c>
      <c r="S374" t="s">
        <v>140</v>
      </c>
      <c r="T374" t="s">
        <v>141</v>
      </c>
      <c r="U374">
        <v>9</v>
      </c>
      <c r="V374">
        <v>9</v>
      </c>
      <c r="W374">
        <v>9</v>
      </c>
      <c r="X374">
        <v>8</v>
      </c>
      <c r="Y374">
        <v>2</v>
      </c>
      <c r="Z374">
        <v>6</v>
      </c>
      <c r="AA374">
        <v>2.5</v>
      </c>
      <c r="AB374">
        <v>15</v>
      </c>
      <c r="AC374" t="s">
        <v>59</v>
      </c>
      <c r="AD374" t="s">
        <v>112</v>
      </c>
      <c r="AE374">
        <v>0</v>
      </c>
      <c r="AF374">
        <v>0</v>
      </c>
      <c r="AG374">
        <v>1</v>
      </c>
      <c r="AH374">
        <v>1</v>
      </c>
      <c r="AI374">
        <v>0</v>
      </c>
      <c r="AJ374">
        <v>3</v>
      </c>
      <c r="AK374">
        <v>0</v>
      </c>
      <c r="AL374">
        <v>0</v>
      </c>
      <c r="AM374">
        <v>1</v>
      </c>
      <c r="AN374">
        <v>0</v>
      </c>
      <c r="AO374">
        <v>6</v>
      </c>
      <c r="AP374">
        <v>0</v>
      </c>
      <c r="AQ374">
        <v>100</v>
      </c>
      <c r="AR374" s="2">
        <v>45795.776053240741</v>
      </c>
      <c r="AS374" s="2">
        <v>46075.952557870369</v>
      </c>
      <c r="AT374" t="s">
        <v>61</v>
      </c>
      <c r="AU374" t="s">
        <v>1357</v>
      </c>
      <c r="AV374">
        <v>280</v>
      </c>
    </row>
    <row r="375" spans="1:48" x14ac:dyDescent="0.25">
      <c r="A375">
        <v>18</v>
      </c>
      <c r="B375" t="s">
        <v>1641</v>
      </c>
      <c r="C375" t="s">
        <v>1527</v>
      </c>
      <c r="D375" t="s">
        <v>1642</v>
      </c>
      <c r="E375" t="s">
        <v>1643</v>
      </c>
      <c r="F375">
        <f>1-972-577-4348</f>
        <v>-5896</v>
      </c>
      <c r="G375" t="s">
        <v>104</v>
      </c>
      <c r="H375" s="1">
        <v>36067</v>
      </c>
      <c r="I375">
        <v>28</v>
      </c>
      <c r="J375">
        <v>1998</v>
      </c>
      <c r="K375" s="1">
        <v>44738</v>
      </c>
      <c r="L375">
        <v>2022</v>
      </c>
      <c r="M375" t="s">
        <v>54</v>
      </c>
      <c r="N375">
        <v>7</v>
      </c>
      <c r="O375" t="s">
        <v>231</v>
      </c>
      <c r="P375" t="s">
        <v>119</v>
      </c>
      <c r="Q375">
        <v>120</v>
      </c>
      <c r="R375">
        <v>3</v>
      </c>
      <c r="S375" t="s">
        <v>126</v>
      </c>
      <c r="T375" t="s">
        <v>127</v>
      </c>
      <c r="U375">
        <v>9</v>
      </c>
      <c r="V375">
        <v>9</v>
      </c>
      <c r="W375">
        <v>9</v>
      </c>
      <c r="X375">
        <v>8</v>
      </c>
      <c r="Y375">
        <v>3</v>
      </c>
      <c r="Z375">
        <v>6</v>
      </c>
      <c r="AA375">
        <v>2.5833330000000001</v>
      </c>
      <c r="AB375">
        <v>15.5</v>
      </c>
      <c r="AC375" t="s">
        <v>70</v>
      </c>
      <c r="AD375" t="s">
        <v>60</v>
      </c>
      <c r="AE375">
        <v>1</v>
      </c>
      <c r="AF375">
        <v>0</v>
      </c>
      <c r="AG375">
        <v>1</v>
      </c>
      <c r="AH375">
        <v>2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1</v>
      </c>
      <c r="AO375">
        <v>5</v>
      </c>
      <c r="AP375">
        <v>1</v>
      </c>
      <c r="AQ375">
        <v>83.333333333333002</v>
      </c>
      <c r="AR375" s="2">
        <v>45760.529861111114</v>
      </c>
      <c r="AS375" s="2">
        <v>45987.603321759256</v>
      </c>
      <c r="AT375" t="s">
        <v>61</v>
      </c>
      <c r="AU375" t="s">
        <v>62</v>
      </c>
      <c r="AV375">
        <v>227</v>
      </c>
    </row>
    <row r="376" spans="1:48" x14ac:dyDescent="0.25">
      <c r="A376">
        <v>895</v>
      </c>
      <c r="B376" t="s">
        <v>1644</v>
      </c>
      <c r="C376" t="s">
        <v>695</v>
      </c>
      <c r="D376" t="s">
        <v>1645</v>
      </c>
      <c r="E376" t="s">
        <v>1646</v>
      </c>
      <c r="F376" t="s">
        <v>1647</v>
      </c>
      <c r="G376" t="s">
        <v>53</v>
      </c>
      <c r="H376" s="1">
        <v>39332</v>
      </c>
      <c r="I376">
        <v>19</v>
      </c>
      <c r="J376">
        <v>2007</v>
      </c>
      <c r="K376" s="1">
        <v>46003</v>
      </c>
      <c r="L376">
        <v>2025</v>
      </c>
      <c r="M376" t="s">
        <v>111</v>
      </c>
      <c r="N376">
        <v>7</v>
      </c>
      <c r="O376" t="s">
        <v>231</v>
      </c>
      <c r="P376" t="s">
        <v>119</v>
      </c>
      <c r="Q376">
        <v>120</v>
      </c>
      <c r="R376">
        <v>3</v>
      </c>
      <c r="S376" t="s">
        <v>126</v>
      </c>
      <c r="T376" t="s">
        <v>127</v>
      </c>
      <c r="U376">
        <v>9</v>
      </c>
      <c r="V376">
        <v>9</v>
      </c>
      <c r="W376">
        <v>9</v>
      </c>
      <c r="X376">
        <v>9</v>
      </c>
      <c r="Y376">
        <v>3</v>
      </c>
      <c r="Z376">
        <v>8</v>
      </c>
      <c r="AA376">
        <v>2.8125</v>
      </c>
      <c r="AB376">
        <v>22.5</v>
      </c>
      <c r="AC376" t="s">
        <v>59</v>
      </c>
      <c r="AD376" t="s">
        <v>60</v>
      </c>
      <c r="AE376">
        <v>1</v>
      </c>
      <c r="AF376">
        <v>0</v>
      </c>
      <c r="AG376">
        <v>2</v>
      </c>
      <c r="AH376">
        <v>2</v>
      </c>
      <c r="AI376">
        <v>0</v>
      </c>
      <c r="AJ376">
        <v>1</v>
      </c>
      <c r="AK376">
        <v>1</v>
      </c>
      <c r="AL376">
        <v>0</v>
      </c>
      <c r="AM376">
        <v>1</v>
      </c>
      <c r="AN376">
        <v>0</v>
      </c>
      <c r="AO376">
        <v>8</v>
      </c>
      <c r="AP376">
        <v>0</v>
      </c>
      <c r="AQ376">
        <v>100</v>
      </c>
      <c r="AR376" s="2">
        <v>45725.512824074074</v>
      </c>
      <c r="AS376" s="2">
        <v>46084.225138888891</v>
      </c>
      <c r="AT376" t="s">
        <v>61</v>
      </c>
      <c r="AU376" t="s">
        <v>62</v>
      </c>
      <c r="AV376">
        <v>359</v>
      </c>
    </row>
    <row r="377" spans="1:48" x14ac:dyDescent="0.25">
      <c r="A377">
        <v>513</v>
      </c>
      <c r="B377" t="s">
        <v>1648</v>
      </c>
      <c r="C377" t="s">
        <v>1023</v>
      </c>
      <c r="D377" t="s">
        <v>1649</v>
      </c>
      <c r="E377" t="s">
        <v>1650</v>
      </c>
      <c r="F377" t="s">
        <v>1651</v>
      </c>
      <c r="G377" t="s">
        <v>53</v>
      </c>
      <c r="H377" s="1">
        <v>35937</v>
      </c>
      <c r="I377">
        <v>28</v>
      </c>
      <c r="J377">
        <v>1998</v>
      </c>
      <c r="K377" s="1">
        <v>45469</v>
      </c>
      <c r="L377">
        <v>2024</v>
      </c>
      <c r="M377" t="s">
        <v>54</v>
      </c>
      <c r="N377">
        <v>4</v>
      </c>
      <c r="O377" t="s">
        <v>215</v>
      </c>
      <c r="P377" t="s">
        <v>119</v>
      </c>
      <c r="Q377">
        <v>120</v>
      </c>
      <c r="R377">
        <v>2</v>
      </c>
      <c r="S377" t="s">
        <v>85</v>
      </c>
      <c r="T377" t="s">
        <v>86</v>
      </c>
      <c r="U377">
        <v>9</v>
      </c>
      <c r="V377">
        <v>9</v>
      </c>
      <c r="W377">
        <v>9</v>
      </c>
      <c r="X377">
        <v>8</v>
      </c>
      <c r="Y377">
        <v>2</v>
      </c>
      <c r="Z377">
        <v>7</v>
      </c>
      <c r="AA377">
        <v>1.785714</v>
      </c>
      <c r="AB377">
        <v>12.5</v>
      </c>
      <c r="AC377" t="s">
        <v>59</v>
      </c>
      <c r="AD377" t="s">
        <v>60</v>
      </c>
      <c r="AE377">
        <v>1</v>
      </c>
      <c r="AF377">
        <v>0</v>
      </c>
      <c r="AG377">
        <v>0</v>
      </c>
      <c r="AH377">
        <v>0</v>
      </c>
      <c r="AI377">
        <v>0</v>
      </c>
      <c r="AJ377">
        <v>1</v>
      </c>
      <c r="AK377">
        <v>1</v>
      </c>
      <c r="AL377">
        <v>0</v>
      </c>
      <c r="AM377">
        <v>4</v>
      </c>
      <c r="AN377">
        <v>0</v>
      </c>
      <c r="AO377">
        <v>7</v>
      </c>
      <c r="AP377">
        <v>0</v>
      </c>
      <c r="AQ377">
        <v>100</v>
      </c>
      <c r="AR377" s="2">
        <v>45775.752534722225</v>
      </c>
      <c r="AS377" s="2">
        <v>45988.683159722219</v>
      </c>
      <c r="AT377" t="s">
        <v>61</v>
      </c>
      <c r="AU377" t="s">
        <v>1357</v>
      </c>
      <c r="AV377">
        <v>213</v>
      </c>
    </row>
    <row r="378" spans="1:48" x14ac:dyDescent="0.25">
      <c r="A378">
        <v>123</v>
      </c>
      <c r="B378" t="s">
        <v>1652</v>
      </c>
      <c r="C378" t="s">
        <v>135</v>
      </c>
      <c r="D378" t="s">
        <v>1653</v>
      </c>
      <c r="E378" t="s">
        <v>1654</v>
      </c>
      <c r="F378" t="s">
        <v>1655</v>
      </c>
      <c r="G378" t="s">
        <v>53</v>
      </c>
      <c r="H378" s="1">
        <v>36570</v>
      </c>
      <c r="I378">
        <v>26</v>
      </c>
      <c r="J378">
        <v>2000</v>
      </c>
      <c r="K378" s="1">
        <v>45404</v>
      </c>
      <c r="L378">
        <v>2024</v>
      </c>
      <c r="M378" t="s">
        <v>54</v>
      </c>
      <c r="N378">
        <v>6</v>
      </c>
      <c r="O378" t="s">
        <v>133</v>
      </c>
      <c r="P378" t="s">
        <v>69</v>
      </c>
      <c r="Q378">
        <v>60</v>
      </c>
      <c r="R378">
        <v>2</v>
      </c>
      <c r="S378" t="s">
        <v>85</v>
      </c>
      <c r="T378" t="s">
        <v>86</v>
      </c>
      <c r="U378">
        <v>9</v>
      </c>
      <c r="V378">
        <v>9</v>
      </c>
      <c r="W378">
        <v>9</v>
      </c>
      <c r="X378">
        <v>9</v>
      </c>
      <c r="Y378">
        <v>2</v>
      </c>
      <c r="Z378">
        <v>5</v>
      </c>
      <c r="AA378">
        <v>1.9</v>
      </c>
      <c r="AB378">
        <v>9.5</v>
      </c>
      <c r="AC378" t="s">
        <v>70</v>
      </c>
      <c r="AD378" t="s">
        <v>112</v>
      </c>
      <c r="AE378">
        <v>0</v>
      </c>
      <c r="AF378">
        <v>0</v>
      </c>
      <c r="AG378">
        <v>1</v>
      </c>
      <c r="AH378">
        <v>1</v>
      </c>
      <c r="AI378">
        <v>0</v>
      </c>
      <c r="AJ378">
        <v>0</v>
      </c>
      <c r="AK378">
        <v>1</v>
      </c>
      <c r="AL378">
        <v>0</v>
      </c>
      <c r="AM378">
        <v>1</v>
      </c>
      <c r="AN378">
        <v>1</v>
      </c>
      <c r="AO378">
        <v>4</v>
      </c>
      <c r="AP378">
        <v>1</v>
      </c>
      <c r="AQ378">
        <v>80</v>
      </c>
      <c r="AR378" s="2">
        <v>45726.611064814817</v>
      </c>
      <c r="AS378" s="2">
        <v>46047.331435185188</v>
      </c>
      <c r="AT378" t="s">
        <v>61</v>
      </c>
      <c r="AU378" t="s">
        <v>1357</v>
      </c>
      <c r="AV378">
        <v>321</v>
      </c>
    </row>
    <row r="379" spans="1:48" x14ac:dyDescent="0.25">
      <c r="A379">
        <v>782</v>
      </c>
      <c r="B379" t="s">
        <v>1656</v>
      </c>
      <c r="C379" t="s">
        <v>1410</v>
      </c>
      <c r="D379" t="s">
        <v>1657</v>
      </c>
      <c r="E379" t="s">
        <v>1658</v>
      </c>
      <c r="F379" t="s">
        <v>1659</v>
      </c>
      <c r="G379" t="s">
        <v>104</v>
      </c>
      <c r="H379" s="1">
        <v>37836</v>
      </c>
      <c r="I379">
        <v>23</v>
      </c>
      <c r="J379">
        <v>2003</v>
      </c>
      <c r="K379" s="1">
        <v>45268</v>
      </c>
      <c r="L379">
        <v>2023</v>
      </c>
      <c r="M379" t="s">
        <v>111</v>
      </c>
      <c r="N379">
        <v>19</v>
      </c>
      <c r="O379" t="s">
        <v>162</v>
      </c>
      <c r="P379" t="s">
        <v>119</v>
      </c>
      <c r="Q379">
        <v>120</v>
      </c>
      <c r="R379">
        <v>7</v>
      </c>
      <c r="S379" t="s">
        <v>163</v>
      </c>
      <c r="T379" t="s">
        <v>164</v>
      </c>
      <c r="U379">
        <v>9</v>
      </c>
      <c r="V379">
        <v>9</v>
      </c>
      <c r="W379">
        <v>9</v>
      </c>
      <c r="X379">
        <v>8</v>
      </c>
      <c r="Y379">
        <v>2</v>
      </c>
      <c r="Z379">
        <v>6</v>
      </c>
      <c r="AA379">
        <v>3.1666660000000002</v>
      </c>
      <c r="AB379">
        <v>19</v>
      </c>
      <c r="AC379" t="s">
        <v>59</v>
      </c>
      <c r="AD379" t="s">
        <v>60</v>
      </c>
      <c r="AE379">
        <v>3</v>
      </c>
      <c r="AF379">
        <v>0</v>
      </c>
      <c r="AG379">
        <v>1</v>
      </c>
      <c r="AH379">
        <v>0</v>
      </c>
      <c r="AI379">
        <v>0</v>
      </c>
      <c r="AJ379">
        <v>1</v>
      </c>
      <c r="AK379">
        <v>0</v>
      </c>
      <c r="AL379">
        <v>0</v>
      </c>
      <c r="AM379">
        <v>1</v>
      </c>
      <c r="AN379">
        <v>0</v>
      </c>
      <c r="AO379">
        <v>6</v>
      </c>
      <c r="AP379">
        <v>0</v>
      </c>
      <c r="AQ379">
        <v>100</v>
      </c>
      <c r="AR379" s="2">
        <v>45722.722071759257</v>
      </c>
      <c r="AS379" s="2">
        <v>46056.778414351851</v>
      </c>
      <c r="AT379" t="s">
        <v>1357</v>
      </c>
      <c r="AU379" t="s">
        <v>62</v>
      </c>
      <c r="AV379">
        <v>334</v>
      </c>
    </row>
    <row r="380" spans="1:48" x14ac:dyDescent="0.25">
      <c r="A380">
        <v>470</v>
      </c>
      <c r="B380" t="s">
        <v>1660</v>
      </c>
      <c r="C380" t="s">
        <v>1661</v>
      </c>
      <c r="D380" t="s">
        <v>311</v>
      </c>
      <c r="E380" t="s">
        <v>1662</v>
      </c>
      <c r="F380" t="s">
        <v>1663</v>
      </c>
      <c r="G380" t="s">
        <v>104</v>
      </c>
      <c r="H380" s="1">
        <v>36264</v>
      </c>
      <c r="I380">
        <v>27</v>
      </c>
      <c r="J380">
        <v>1999</v>
      </c>
      <c r="K380" s="1">
        <v>45197</v>
      </c>
      <c r="L380">
        <v>2023</v>
      </c>
      <c r="M380" t="s">
        <v>111</v>
      </c>
      <c r="N380">
        <v>1</v>
      </c>
      <c r="O380" t="s">
        <v>157</v>
      </c>
      <c r="P380" t="s">
        <v>119</v>
      </c>
      <c r="Q380">
        <v>120</v>
      </c>
      <c r="R380">
        <v>1</v>
      </c>
      <c r="S380" t="s">
        <v>57</v>
      </c>
      <c r="T380" t="s">
        <v>58</v>
      </c>
      <c r="U380">
        <v>8</v>
      </c>
      <c r="V380">
        <v>9</v>
      </c>
      <c r="W380">
        <v>9</v>
      </c>
      <c r="X380">
        <v>8</v>
      </c>
      <c r="Y380">
        <v>2</v>
      </c>
      <c r="Z380">
        <v>9</v>
      </c>
      <c r="AA380">
        <v>2.3888880000000001</v>
      </c>
      <c r="AB380">
        <v>21.5</v>
      </c>
      <c r="AC380" t="s">
        <v>70</v>
      </c>
      <c r="AD380" t="s">
        <v>60</v>
      </c>
      <c r="AE380">
        <v>1</v>
      </c>
      <c r="AF380">
        <v>0</v>
      </c>
      <c r="AG380">
        <v>2</v>
      </c>
      <c r="AH380">
        <v>2</v>
      </c>
      <c r="AI380">
        <v>0</v>
      </c>
      <c r="AJ380">
        <v>1</v>
      </c>
      <c r="AK380">
        <v>1</v>
      </c>
      <c r="AL380">
        <v>0</v>
      </c>
      <c r="AM380">
        <v>0</v>
      </c>
      <c r="AN380">
        <v>2</v>
      </c>
      <c r="AO380">
        <v>7</v>
      </c>
      <c r="AP380">
        <v>2</v>
      </c>
      <c r="AQ380">
        <v>77.777777777777004</v>
      </c>
      <c r="AR380" s="2">
        <v>45770.873368055552</v>
      </c>
      <c r="AS380" s="2">
        <v>46071.427256944444</v>
      </c>
      <c r="AT380" t="s">
        <v>61</v>
      </c>
      <c r="AU380" t="s">
        <v>62</v>
      </c>
      <c r="AV380">
        <v>301</v>
      </c>
    </row>
    <row r="381" spans="1:48" x14ac:dyDescent="0.25">
      <c r="A381">
        <v>633</v>
      </c>
      <c r="B381" t="s">
        <v>1664</v>
      </c>
      <c r="C381" t="s">
        <v>797</v>
      </c>
      <c r="D381" t="s">
        <v>1665</v>
      </c>
      <c r="E381" t="s">
        <v>1666</v>
      </c>
      <c r="F381" t="s">
        <v>1667</v>
      </c>
      <c r="G381" t="s">
        <v>104</v>
      </c>
      <c r="H381" s="1">
        <v>36676</v>
      </c>
      <c r="I381">
        <v>26</v>
      </c>
      <c r="J381">
        <v>2000</v>
      </c>
      <c r="K381" s="1">
        <v>44633</v>
      </c>
      <c r="L381">
        <v>2022</v>
      </c>
      <c r="M381" t="s">
        <v>54</v>
      </c>
      <c r="N381">
        <v>13</v>
      </c>
      <c r="O381" t="s">
        <v>146</v>
      </c>
      <c r="P381" t="s">
        <v>119</v>
      </c>
      <c r="Q381">
        <v>120</v>
      </c>
      <c r="R381">
        <v>5</v>
      </c>
      <c r="S381" t="s">
        <v>92</v>
      </c>
      <c r="T381" t="s">
        <v>93</v>
      </c>
      <c r="U381">
        <v>9</v>
      </c>
      <c r="V381">
        <v>9</v>
      </c>
      <c r="W381">
        <v>9</v>
      </c>
      <c r="X381">
        <v>8</v>
      </c>
      <c r="Y381">
        <v>2</v>
      </c>
      <c r="Z381">
        <v>9</v>
      </c>
      <c r="AA381">
        <v>2.3333330000000001</v>
      </c>
      <c r="AB381">
        <v>21</v>
      </c>
      <c r="AC381" t="s">
        <v>70</v>
      </c>
      <c r="AD381" t="s">
        <v>112</v>
      </c>
      <c r="AE381">
        <v>0</v>
      </c>
      <c r="AF381">
        <v>0</v>
      </c>
      <c r="AG381">
        <v>1</v>
      </c>
      <c r="AH381">
        <v>4</v>
      </c>
      <c r="AI381">
        <v>0</v>
      </c>
      <c r="AJ381">
        <v>1</v>
      </c>
      <c r="AK381">
        <v>1</v>
      </c>
      <c r="AL381">
        <v>0</v>
      </c>
      <c r="AM381">
        <v>1</v>
      </c>
      <c r="AN381">
        <v>1</v>
      </c>
      <c r="AO381">
        <v>8</v>
      </c>
      <c r="AP381">
        <v>1</v>
      </c>
      <c r="AQ381">
        <v>88.888888888888005</v>
      </c>
      <c r="AR381" s="2">
        <v>45727.213113425925</v>
      </c>
      <c r="AS381" s="2">
        <v>46066.01085648148</v>
      </c>
      <c r="AT381" t="s">
        <v>61</v>
      </c>
      <c r="AU381" t="s">
        <v>62</v>
      </c>
      <c r="AV381">
        <v>339</v>
      </c>
    </row>
    <row r="382" spans="1:48" x14ac:dyDescent="0.25">
      <c r="A382">
        <v>709</v>
      </c>
      <c r="B382" t="s">
        <v>1668</v>
      </c>
      <c r="C382" t="s">
        <v>1669</v>
      </c>
      <c r="D382" t="s">
        <v>1670</v>
      </c>
      <c r="E382" t="s">
        <v>1671</v>
      </c>
      <c r="F382" t="s">
        <v>1672</v>
      </c>
      <c r="G382" t="s">
        <v>104</v>
      </c>
      <c r="H382" s="1">
        <v>35194</v>
      </c>
      <c r="I382">
        <v>30</v>
      </c>
      <c r="J382">
        <v>1996</v>
      </c>
      <c r="K382" s="1">
        <v>45754</v>
      </c>
      <c r="L382">
        <v>2025</v>
      </c>
      <c r="M382" t="s">
        <v>54</v>
      </c>
      <c r="N382">
        <v>12</v>
      </c>
      <c r="O382" t="s">
        <v>76</v>
      </c>
      <c r="P382" t="s">
        <v>69</v>
      </c>
      <c r="Q382">
        <v>60</v>
      </c>
      <c r="R382">
        <v>4</v>
      </c>
      <c r="S382" t="s">
        <v>77</v>
      </c>
      <c r="T382" t="s">
        <v>78</v>
      </c>
      <c r="U382">
        <v>9</v>
      </c>
      <c r="V382">
        <v>9</v>
      </c>
      <c r="W382">
        <v>9</v>
      </c>
      <c r="X382">
        <v>9</v>
      </c>
      <c r="Y382">
        <v>2</v>
      </c>
      <c r="Z382">
        <v>9</v>
      </c>
      <c r="AA382">
        <v>2.6111110000000002</v>
      </c>
      <c r="AB382">
        <v>23.5</v>
      </c>
      <c r="AC382" t="s">
        <v>70</v>
      </c>
      <c r="AD382" t="s">
        <v>60</v>
      </c>
      <c r="AE382">
        <v>3</v>
      </c>
      <c r="AF382">
        <v>0</v>
      </c>
      <c r="AG382">
        <v>1</v>
      </c>
      <c r="AH382">
        <v>2</v>
      </c>
      <c r="AI382">
        <v>0</v>
      </c>
      <c r="AJ382">
        <v>0</v>
      </c>
      <c r="AK382">
        <v>1</v>
      </c>
      <c r="AL382">
        <v>0</v>
      </c>
      <c r="AM382">
        <v>0</v>
      </c>
      <c r="AN382">
        <v>2</v>
      </c>
      <c r="AO382">
        <v>7</v>
      </c>
      <c r="AP382">
        <v>2</v>
      </c>
      <c r="AQ382">
        <v>77.777777777777004</v>
      </c>
      <c r="AR382" s="2">
        <v>45838.738900462966</v>
      </c>
      <c r="AS382" s="2">
        <v>46078.374432870369</v>
      </c>
      <c r="AT382" t="s">
        <v>61</v>
      </c>
      <c r="AU382" t="s">
        <v>62</v>
      </c>
      <c r="AV382">
        <v>240</v>
      </c>
    </row>
    <row r="383" spans="1:48" x14ac:dyDescent="0.25">
      <c r="A383">
        <v>686</v>
      </c>
      <c r="B383" t="s">
        <v>1673</v>
      </c>
      <c r="C383" t="s">
        <v>414</v>
      </c>
      <c r="D383" t="s">
        <v>207</v>
      </c>
      <c r="E383" t="s">
        <v>1674</v>
      </c>
      <c r="F383">
        <f>1-563-242-5563</f>
        <v>-6367</v>
      </c>
      <c r="G383" t="s">
        <v>104</v>
      </c>
      <c r="H383" s="1">
        <v>34934</v>
      </c>
      <c r="I383">
        <v>31</v>
      </c>
      <c r="J383">
        <v>1995</v>
      </c>
      <c r="K383" s="1">
        <v>44654</v>
      </c>
      <c r="L383">
        <v>2022</v>
      </c>
      <c r="M383" t="s">
        <v>111</v>
      </c>
      <c r="N383">
        <v>21</v>
      </c>
      <c r="O383" t="s">
        <v>339</v>
      </c>
      <c r="P383" t="s">
        <v>69</v>
      </c>
      <c r="Q383">
        <v>60</v>
      </c>
      <c r="R383">
        <v>7</v>
      </c>
      <c r="S383" t="s">
        <v>163</v>
      </c>
      <c r="T383" t="s">
        <v>164</v>
      </c>
      <c r="U383">
        <v>9</v>
      </c>
      <c r="V383">
        <v>9</v>
      </c>
      <c r="W383">
        <v>9</v>
      </c>
      <c r="X383">
        <v>8</v>
      </c>
      <c r="Y383">
        <v>2</v>
      </c>
      <c r="Z383">
        <v>9</v>
      </c>
      <c r="AA383">
        <v>2.7222219999999999</v>
      </c>
      <c r="AB383">
        <v>24.5</v>
      </c>
      <c r="AC383" t="s">
        <v>70</v>
      </c>
      <c r="AD383" t="s">
        <v>60</v>
      </c>
      <c r="AE383">
        <v>3</v>
      </c>
      <c r="AF383">
        <v>0</v>
      </c>
      <c r="AG383">
        <v>2</v>
      </c>
      <c r="AH383">
        <v>1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2</v>
      </c>
      <c r="AO383">
        <v>7</v>
      </c>
      <c r="AP383">
        <v>2</v>
      </c>
      <c r="AQ383">
        <v>77.777777777777004</v>
      </c>
      <c r="AR383" s="2">
        <v>45747.910543981481</v>
      </c>
      <c r="AS383" s="2">
        <v>46081.226840277777</v>
      </c>
      <c r="AT383" t="s">
        <v>61</v>
      </c>
      <c r="AU383" t="s">
        <v>62</v>
      </c>
      <c r="AV383">
        <v>334</v>
      </c>
    </row>
    <row r="384" spans="1:48" x14ac:dyDescent="0.25">
      <c r="A384">
        <v>792</v>
      </c>
      <c r="B384" t="s">
        <v>1675</v>
      </c>
      <c r="C384" t="s">
        <v>1676</v>
      </c>
      <c r="D384" t="s">
        <v>1677</v>
      </c>
      <c r="E384" t="s">
        <v>1678</v>
      </c>
      <c r="F384" t="s">
        <v>1679</v>
      </c>
      <c r="G384" t="s">
        <v>53</v>
      </c>
      <c r="H384" s="1">
        <v>38107</v>
      </c>
      <c r="I384">
        <v>22</v>
      </c>
      <c r="J384">
        <v>2004</v>
      </c>
      <c r="K384" s="1">
        <v>46002</v>
      </c>
      <c r="L384">
        <v>2025</v>
      </c>
      <c r="M384" t="s">
        <v>54</v>
      </c>
      <c r="N384">
        <v>21</v>
      </c>
      <c r="O384" t="s">
        <v>339</v>
      </c>
      <c r="P384" t="s">
        <v>69</v>
      </c>
      <c r="Q384">
        <v>60</v>
      </c>
      <c r="R384">
        <v>7</v>
      </c>
      <c r="S384" t="s">
        <v>163</v>
      </c>
      <c r="T384" t="s">
        <v>164</v>
      </c>
      <c r="U384">
        <v>8</v>
      </c>
      <c r="V384">
        <v>9</v>
      </c>
      <c r="W384">
        <v>9</v>
      </c>
      <c r="X384">
        <v>7</v>
      </c>
      <c r="Y384">
        <v>2</v>
      </c>
      <c r="Z384">
        <v>7</v>
      </c>
      <c r="AA384">
        <v>2.6428569999999998</v>
      </c>
      <c r="AB384">
        <v>18.5</v>
      </c>
      <c r="AC384" t="s">
        <v>70</v>
      </c>
      <c r="AD384" t="s">
        <v>60</v>
      </c>
      <c r="AE384">
        <v>3</v>
      </c>
      <c r="AF384">
        <v>0</v>
      </c>
      <c r="AG384">
        <v>1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2</v>
      </c>
      <c r="AO384">
        <v>5</v>
      </c>
      <c r="AP384">
        <v>2</v>
      </c>
      <c r="AQ384">
        <v>71.428571428571004</v>
      </c>
      <c r="AR384" s="2">
        <v>45732.470150462963</v>
      </c>
      <c r="AS384" s="2">
        <v>46012.578842592593</v>
      </c>
      <c r="AT384" t="s">
        <v>1357</v>
      </c>
      <c r="AU384" t="s">
        <v>62</v>
      </c>
      <c r="AV384">
        <v>280</v>
      </c>
    </row>
    <row r="385" spans="1:48" x14ac:dyDescent="0.25">
      <c r="A385">
        <v>488</v>
      </c>
      <c r="B385" t="s">
        <v>1680</v>
      </c>
      <c r="C385" t="s">
        <v>1681</v>
      </c>
      <c r="D385" t="s">
        <v>659</v>
      </c>
      <c r="E385" t="s">
        <v>1682</v>
      </c>
      <c r="F385" t="s">
        <v>1683</v>
      </c>
      <c r="G385" t="s">
        <v>53</v>
      </c>
      <c r="H385" s="1">
        <v>37869</v>
      </c>
      <c r="I385">
        <v>23</v>
      </c>
      <c r="J385">
        <v>2003</v>
      </c>
      <c r="K385" s="1">
        <v>46070</v>
      </c>
      <c r="L385">
        <v>2026</v>
      </c>
      <c r="M385" t="s">
        <v>111</v>
      </c>
      <c r="N385">
        <v>14</v>
      </c>
      <c r="O385" t="s">
        <v>105</v>
      </c>
      <c r="P385" t="s">
        <v>56</v>
      </c>
      <c r="Q385">
        <v>36</v>
      </c>
      <c r="R385">
        <v>5</v>
      </c>
      <c r="S385" t="s">
        <v>92</v>
      </c>
      <c r="T385" t="s">
        <v>93</v>
      </c>
      <c r="U385">
        <v>9</v>
      </c>
      <c r="V385">
        <v>9</v>
      </c>
      <c r="W385">
        <v>9</v>
      </c>
      <c r="X385">
        <v>9</v>
      </c>
      <c r="Y385">
        <v>2</v>
      </c>
      <c r="Z385">
        <v>7</v>
      </c>
      <c r="AA385">
        <v>2.4285709999999998</v>
      </c>
      <c r="AB385">
        <v>17</v>
      </c>
      <c r="AC385" t="s">
        <v>59</v>
      </c>
      <c r="AD385" t="s">
        <v>112</v>
      </c>
      <c r="AE385">
        <v>0</v>
      </c>
      <c r="AF385">
        <v>0</v>
      </c>
      <c r="AG385">
        <v>1</v>
      </c>
      <c r="AH385">
        <v>2</v>
      </c>
      <c r="AI385">
        <v>0</v>
      </c>
      <c r="AJ385">
        <v>1</v>
      </c>
      <c r="AK385">
        <v>2</v>
      </c>
      <c r="AL385">
        <v>0</v>
      </c>
      <c r="AM385">
        <v>1</v>
      </c>
      <c r="AN385">
        <v>0</v>
      </c>
      <c r="AO385">
        <v>7</v>
      </c>
      <c r="AP385">
        <v>0</v>
      </c>
      <c r="AQ385">
        <v>100</v>
      </c>
      <c r="AR385" s="2">
        <v>45721.912256944444</v>
      </c>
      <c r="AS385" s="2">
        <v>46064.255486111113</v>
      </c>
      <c r="AT385" t="s">
        <v>61</v>
      </c>
      <c r="AU385" t="s">
        <v>1357</v>
      </c>
      <c r="AV385">
        <v>343</v>
      </c>
    </row>
    <row r="386" spans="1:48" x14ac:dyDescent="0.25">
      <c r="A386">
        <v>103</v>
      </c>
      <c r="B386" t="s">
        <v>1684</v>
      </c>
      <c r="C386" t="s">
        <v>1669</v>
      </c>
      <c r="D386" t="s">
        <v>172</v>
      </c>
      <c r="E386" t="s">
        <v>1685</v>
      </c>
      <c r="F386" t="s">
        <v>1686</v>
      </c>
      <c r="G386" t="s">
        <v>104</v>
      </c>
      <c r="H386" s="1">
        <v>38114</v>
      </c>
      <c r="I386">
        <v>22</v>
      </c>
      <c r="J386">
        <v>2004</v>
      </c>
      <c r="K386" s="1">
        <v>45382</v>
      </c>
      <c r="L386">
        <v>2024</v>
      </c>
      <c r="M386" t="s">
        <v>54</v>
      </c>
      <c r="N386">
        <v>4</v>
      </c>
      <c r="O386" t="s">
        <v>215</v>
      </c>
      <c r="P386" t="s">
        <v>119</v>
      </c>
      <c r="Q386">
        <v>120</v>
      </c>
      <c r="R386">
        <v>2</v>
      </c>
      <c r="S386" t="s">
        <v>85</v>
      </c>
      <c r="T386" t="s">
        <v>86</v>
      </c>
      <c r="U386">
        <v>9</v>
      </c>
      <c r="V386">
        <v>9</v>
      </c>
      <c r="W386">
        <v>9</v>
      </c>
      <c r="X386">
        <v>7</v>
      </c>
      <c r="Y386">
        <v>2</v>
      </c>
      <c r="Z386">
        <v>8</v>
      </c>
      <c r="AA386">
        <v>2.0625</v>
      </c>
      <c r="AB386">
        <v>16.5</v>
      </c>
      <c r="AC386" t="s">
        <v>70</v>
      </c>
      <c r="AD386" t="s">
        <v>281</v>
      </c>
      <c r="AE386">
        <v>0</v>
      </c>
      <c r="AF386">
        <v>0</v>
      </c>
      <c r="AG386">
        <v>2</v>
      </c>
      <c r="AH386">
        <v>0</v>
      </c>
      <c r="AI386">
        <v>0</v>
      </c>
      <c r="AJ386">
        <v>1</v>
      </c>
      <c r="AK386">
        <v>3</v>
      </c>
      <c r="AL386">
        <v>0</v>
      </c>
      <c r="AM386">
        <v>1</v>
      </c>
      <c r="AN386">
        <v>1</v>
      </c>
      <c r="AO386">
        <v>7</v>
      </c>
      <c r="AP386">
        <v>1</v>
      </c>
      <c r="AQ386">
        <v>87.5</v>
      </c>
      <c r="AR386" s="2">
        <v>45725.61037037037</v>
      </c>
      <c r="AS386" s="2">
        <v>45944.823287037034</v>
      </c>
      <c r="AT386" t="s">
        <v>61</v>
      </c>
      <c r="AU386" t="s">
        <v>1357</v>
      </c>
      <c r="AV386">
        <v>219</v>
      </c>
    </row>
    <row r="387" spans="1:48" x14ac:dyDescent="0.25">
      <c r="A387">
        <v>790</v>
      </c>
      <c r="B387" t="s">
        <v>1687</v>
      </c>
      <c r="C387" t="s">
        <v>1688</v>
      </c>
      <c r="D387" t="s">
        <v>1285</v>
      </c>
      <c r="E387" t="s">
        <v>1689</v>
      </c>
      <c r="F387" t="s">
        <v>1690</v>
      </c>
      <c r="G387" t="s">
        <v>104</v>
      </c>
      <c r="H387" s="1">
        <v>38170</v>
      </c>
      <c r="I387">
        <v>22</v>
      </c>
      <c r="J387">
        <v>2004</v>
      </c>
      <c r="K387" s="1">
        <v>45567</v>
      </c>
      <c r="L387">
        <v>2024</v>
      </c>
      <c r="M387" t="s">
        <v>54</v>
      </c>
      <c r="N387">
        <v>8</v>
      </c>
      <c r="O387" t="s">
        <v>125</v>
      </c>
      <c r="P387" t="s">
        <v>56</v>
      </c>
      <c r="Q387">
        <v>36</v>
      </c>
      <c r="R387">
        <v>3</v>
      </c>
      <c r="S387" t="s">
        <v>126</v>
      </c>
      <c r="T387" t="s">
        <v>127</v>
      </c>
      <c r="U387">
        <v>9</v>
      </c>
      <c r="V387">
        <v>9</v>
      </c>
      <c r="W387">
        <v>9</v>
      </c>
      <c r="X387">
        <v>8</v>
      </c>
      <c r="Y387">
        <v>2</v>
      </c>
      <c r="Z387">
        <v>9</v>
      </c>
      <c r="AA387">
        <v>1.555555</v>
      </c>
      <c r="AB387">
        <v>14</v>
      </c>
      <c r="AC387" t="s">
        <v>70</v>
      </c>
      <c r="AD387" t="s">
        <v>281</v>
      </c>
      <c r="AE387">
        <v>0</v>
      </c>
      <c r="AF387">
        <v>0</v>
      </c>
      <c r="AG387">
        <v>2</v>
      </c>
      <c r="AH387">
        <v>0</v>
      </c>
      <c r="AI387">
        <v>0</v>
      </c>
      <c r="AJ387">
        <v>0</v>
      </c>
      <c r="AK387">
        <v>3</v>
      </c>
      <c r="AL387">
        <v>0</v>
      </c>
      <c r="AM387">
        <v>1</v>
      </c>
      <c r="AN387">
        <v>3</v>
      </c>
      <c r="AO387">
        <v>6</v>
      </c>
      <c r="AP387">
        <v>3</v>
      </c>
      <c r="AQ387">
        <v>66.666666666666003</v>
      </c>
      <c r="AR387" s="2">
        <v>45727.572928240741</v>
      </c>
      <c r="AS387" s="2">
        <v>46085.918287037035</v>
      </c>
      <c r="AT387" t="s">
        <v>61</v>
      </c>
      <c r="AU387" t="s">
        <v>62</v>
      </c>
      <c r="AV387">
        <v>358</v>
      </c>
    </row>
    <row r="388" spans="1:48" x14ac:dyDescent="0.25">
      <c r="A388">
        <v>62</v>
      </c>
      <c r="B388" t="s">
        <v>1691</v>
      </c>
      <c r="C388" t="s">
        <v>1692</v>
      </c>
      <c r="D388" t="s">
        <v>1693</v>
      </c>
      <c r="E388" t="s">
        <v>1694</v>
      </c>
      <c r="F388">
        <f>1-699-680-9402</f>
        <v>-10780</v>
      </c>
      <c r="G388" t="s">
        <v>104</v>
      </c>
      <c r="H388" s="1">
        <v>39139</v>
      </c>
      <c r="I388">
        <v>19</v>
      </c>
      <c r="J388">
        <v>2007</v>
      </c>
      <c r="K388" s="1">
        <v>45137</v>
      </c>
      <c r="L388">
        <v>2023</v>
      </c>
      <c r="M388" t="s">
        <v>54</v>
      </c>
      <c r="N388">
        <v>20</v>
      </c>
      <c r="O388" t="s">
        <v>180</v>
      </c>
      <c r="P388" t="s">
        <v>56</v>
      </c>
      <c r="Q388">
        <v>36</v>
      </c>
      <c r="R388">
        <v>7</v>
      </c>
      <c r="S388" t="s">
        <v>163</v>
      </c>
      <c r="T388" t="s">
        <v>164</v>
      </c>
      <c r="U388">
        <v>9</v>
      </c>
      <c r="V388">
        <v>9</v>
      </c>
      <c r="W388">
        <v>9</v>
      </c>
      <c r="X388">
        <v>9</v>
      </c>
      <c r="Y388">
        <v>2</v>
      </c>
      <c r="Z388">
        <v>9</v>
      </c>
      <c r="AA388">
        <v>1.7222219999999999</v>
      </c>
      <c r="AB388">
        <v>15.5</v>
      </c>
      <c r="AC388" t="s">
        <v>70</v>
      </c>
      <c r="AD388" t="s">
        <v>60</v>
      </c>
      <c r="AE388">
        <v>1</v>
      </c>
      <c r="AF388">
        <v>0</v>
      </c>
      <c r="AG388">
        <v>1</v>
      </c>
      <c r="AH388">
        <v>0</v>
      </c>
      <c r="AI388">
        <v>0</v>
      </c>
      <c r="AJ388">
        <v>2</v>
      </c>
      <c r="AK388">
        <v>1</v>
      </c>
      <c r="AL388">
        <v>0</v>
      </c>
      <c r="AM388">
        <v>1</v>
      </c>
      <c r="AN388">
        <v>3</v>
      </c>
      <c r="AO388">
        <v>6</v>
      </c>
      <c r="AP388">
        <v>3</v>
      </c>
      <c r="AQ388">
        <v>66.666666666666003</v>
      </c>
      <c r="AR388" s="2">
        <v>45743.395266203705</v>
      </c>
      <c r="AS388" s="2">
        <v>45983.917500000003</v>
      </c>
      <c r="AT388" t="s">
        <v>61</v>
      </c>
      <c r="AU388" t="s">
        <v>62</v>
      </c>
      <c r="AV388">
        <v>240</v>
      </c>
    </row>
    <row r="389" spans="1:48" x14ac:dyDescent="0.25">
      <c r="A389">
        <v>397</v>
      </c>
      <c r="B389" t="s">
        <v>1695</v>
      </c>
      <c r="C389" t="s">
        <v>695</v>
      </c>
      <c r="D389" t="s">
        <v>1696</v>
      </c>
      <c r="E389" t="s">
        <v>1697</v>
      </c>
      <c r="F389" t="s">
        <v>1698</v>
      </c>
      <c r="G389" t="s">
        <v>53</v>
      </c>
      <c r="H389" s="1">
        <v>37086</v>
      </c>
      <c r="I389">
        <v>25</v>
      </c>
      <c r="J389">
        <v>2001</v>
      </c>
      <c r="K389" s="1">
        <v>44962</v>
      </c>
      <c r="L389">
        <v>2023</v>
      </c>
      <c r="M389" t="s">
        <v>54</v>
      </c>
      <c r="N389">
        <v>10</v>
      </c>
      <c r="O389" t="s">
        <v>118</v>
      </c>
      <c r="P389" t="s">
        <v>119</v>
      </c>
      <c r="Q389">
        <v>120</v>
      </c>
      <c r="R389">
        <v>4</v>
      </c>
      <c r="S389" t="s">
        <v>77</v>
      </c>
      <c r="T389" t="s">
        <v>78</v>
      </c>
      <c r="U389">
        <v>9</v>
      </c>
      <c r="V389">
        <v>9</v>
      </c>
      <c r="W389">
        <v>9</v>
      </c>
      <c r="X389">
        <v>8</v>
      </c>
      <c r="Y389">
        <v>2</v>
      </c>
      <c r="Z389">
        <v>9</v>
      </c>
      <c r="AA389">
        <v>2.055555</v>
      </c>
      <c r="AB389">
        <v>18.5</v>
      </c>
      <c r="AC389" t="s">
        <v>70</v>
      </c>
      <c r="AD389" t="s">
        <v>112</v>
      </c>
      <c r="AE389">
        <v>0</v>
      </c>
      <c r="AF389">
        <v>0</v>
      </c>
      <c r="AG389">
        <v>1</v>
      </c>
      <c r="AH389">
        <v>2</v>
      </c>
      <c r="AI389">
        <v>0</v>
      </c>
      <c r="AJ389">
        <v>2</v>
      </c>
      <c r="AK389">
        <v>2</v>
      </c>
      <c r="AL389">
        <v>0</v>
      </c>
      <c r="AM389">
        <v>0</v>
      </c>
      <c r="AN389">
        <v>2</v>
      </c>
      <c r="AO389">
        <v>7</v>
      </c>
      <c r="AP389">
        <v>2</v>
      </c>
      <c r="AQ389">
        <v>77.777777777777004</v>
      </c>
      <c r="AR389" s="2">
        <v>45743.723101851851</v>
      </c>
      <c r="AS389" s="2">
        <v>46028.121145833335</v>
      </c>
      <c r="AT389" t="s">
        <v>61</v>
      </c>
      <c r="AU389" t="s">
        <v>62</v>
      </c>
      <c r="AV389">
        <v>285</v>
      </c>
    </row>
    <row r="390" spans="1:48" x14ac:dyDescent="0.25">
      <c r="A390">
        <v>59</v>
      </c>
      <c r="B390" t="s">
        <v>1699</v>
      </c>
      <c r="C390" t="s">
        <v>380</v>
      </c>
      <c r="D390" t="s">
        <v>1272</v>
      </c>
      <c r="E390" t="s">
        <v>1700</v>
      </c>
      <c r="F390" t="s">
        <v>1701</v>
      </c>
      <c r="G390" t="s">
        <v>104</v>
      </c>
      <c r="H390" s="1">
        <v>36738</v>
      </c>
      <c r="I390">
        <v>26</v>
      </c>
      <c r="J390">
        <v>2000</v>
      </c>
      <c r="K390" s="1">
        <v>44763</v>
      </c>
      <c r="L390">
        <v>2022</v>
      </c>
      <c r="M390" t="s">
        <v>54</v>
      </c>
      <c r="N390">
        <v>8</v>
      </c>
      <c r="O390" t="s">
        <v>125</v>
      </c>
      <c r="P390" t="s">
        <v>56</v>
      </c>
      <c r="Q390">
        <v>36</v>
      </c>
      <c r="R390">
        <v>3</v>
      </c>
      <c r="S390" t="s">
        <v>126</v>
      </c>
      <c r="T390" t="s">
        <v>127</v>
      </c>
      <c r="U390">
        <v>9</v>
      </c>
      <c r="V390">
        <v>9</v>
      </c>
      <c r="W390">
        <v>9</v>
      </c>
      <c r="X390">
        <v>9</v>
      </c>
      <c r="Y390">
        <v>2</v>
      </c>
      <c r="Z390">
        <v>6</v>
      </c>
      <c r="AA390">
        <v>1.75</v>
      </c>
      <c r="AB390">
        <v>10.5</v>
      </c>
      <c r="AC390" t="s">
        <v>70</v>
      </c>
      <c r="AD390" t="s">
        <v>60</v>
      </c>
      <c r="AE390">
        <v>1</v>
      </c>
      <c r="AF390">
        <v>0</v>
      </c>
      <c r="AG390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3</v>
      </c>
      <c r="AN390">
        <v>1</v>
      </c>
      <c r="AO390">
        <v>5</v>
      </c>
      <c r="AP390">
        <v>1</v>
      </c>
      <c r="AQ390">
        <v>83.333333333333002</v>
      </c>
      <c r="AR390" s="2">
        <v>45745.48027777778</v>
      </c>
      <c r="AS390" s="2">
        <v>46028.040347222224</v>
      </c>
      <c r="AT390" t="s">
        <v>1357</v>
      </c>
      <c r="AU390" t="s">
        <v>62</v>
      </c>
      <c r="AV390">
        <v>283</v>
      </c>
    </row>
    <row r="391" spans="1:48" x14ac:dyDescent="0.25">
      <c r="A391">
        <v>96</v>
      </c>
      <c r="B391" t="s">
        <v>1702</v>
      </c>
      <c r="C391" t="s">
        <v>1329</v>
      </c>
      <c r="D391" t="s">
        <v>1703</v>
      </c>
      <c r="E391" t="s">
        <v>1704</v>
      </c>
      <c r="F391" t="s">
        <v>1705</v>
      </c>
      <c r="G391" t="s">
        <v>53</v>
      </c>
      <c r="H391" s="1">
        <v>35003</v>
      </c>
      <c r="I391">
        <v>31</v>
      </c>
      <c r="J391">
        <v>1995</v>
      </c>
      <c r="K391" s="1">
        <v>46006</v>
      </c>
      <c r="L391">
        <v>2025</v>
      </c>
      <c r="M391" t="s">
        <v>111</v>
      </c>
      <c r="N391">
        <v>4</v>
      </c>
      <c r="O391" t="s">
        <v>215</v>
      </c>
      <c r="P391" t="s">
        <v>119</v>
      </c>
      <c r="Q391">
        <v>120</v>
      </c>
      <c r="R391">
        <v>2</v>
      </c>
      <c r="S391" t="s">
        <v>85</v>
      </c>
      <c r="T391" t="s">
        <v>86</v>
      </c>
      <c r="U391">
        <v>9</v>
      </c>
      <c r="V391">
        <v>9</v>
      </c>
      <c r="W391">
        <v>9</v>
      </c>
      <c r="X391">
        <v>7</v>
      </c>
      <c r="Y391">
        <v>2</v>
      </c>
      <c r="Z391">
        <v>9</v>
      </c>
      <c r="AA391">
        <v>2.5</v>
      </c>
      <c r="AB391">
        <v>22.5</v>
      </c>
      <c r="AC391" t="s">
        <v>59</v>
      </c>
      <c r="AD391" t="s">
        <v>281</v>
      </c>
      <c r="AE391">
        <v>0</v>
      </c>
      <c r="AF391">
        <v>0</v>
      </c>
      <c r="AG391">
        <v>3</v>
      </c>
      <c r="AH391">
        <v>0</v>
      </c>
      <c r="AI391">
        <v>0</v>
      </c>
      <c r="AJ391">
        <v>2</v>
      </c>
      <c r="AK391">
        <v>3</v>
      </c>
      <c r="AL391">
        <v>0</v>
      </c>
      <c r="AM391">
        <v>1</v>
      </c>
      <c r="AN391">
        <v>0</v>
      </c>
      <c r="AO391">
        <v>9</v>
      </c>
      <c r="AP391">
        <v>0</v>
      </c>
      <c r="AQ391">
        <v>100</v>
      </c>
      <c r="AR391" s="2">
        <v>45738.469409722224</v>
      </c>
      <c r="AS391" s="2">
        <v>46029.116550925923</v>
      </c>
      <c r="AT391" t="s">
        <v>61</v>
      </c>
      <c r="AU391" t="s">
        <v>62</v>
      </c>
      <c r="AV391">
        <v>291</v>
      </c>
    </row>
    <row r="392" spans="1:48" x14ac:dyDescent="0.25">
      <c r="A392">
        <v>897</v>
      </c>
      <c r="B392" t="s">
        <v>1706</v>
      </c>
      <c r="C392" t="s">
        <v>172</v>
      </c>
      <c r="D392" t="s">
        <v>1629</v>
      </c>
      <c r="E392" t="s">
        <v>1707</v>
      </c>
      <c r="F392">
        <v>4576303627</v>
      </c>
      <c r="G392" t="s">
        <v>104</v>
      </c>
      <c r="H392" s="1">
        <v>36645</v>
      </c>
      <c r="I392">
        <v>26</v>
      </c>
      <c r="J392">
        <v>2000</v>
      </c>
      <c r="K392" s="1">
        <v>44832</v>
      </c>
      <c r="L392">
        <v>2022</v>
      </c>
      <c r="M392" t="s">
        <v>111</v>
      </c>
      <c r="N392">
        <v>13</v>
      </c>
      <c r="O392" t="s">
        <v>146</v>
      </c>
      <c r="P392" t="s">
        <v>119</v>
      </c>
      <c r="Q392">
        <v>120</v>
      </c>
      <c r="R392">
        <v>5</v>
      </c>
      <c r="S392" t="s">
        <v>92</v>
      </c>
      <c r="T392" t="s">
        <v>93</v>
      </c>
      <c r="U392">
        <v>9</v>
      </c>
      <c r="V392">
        <v>9</v>
      </c>
      <c r="W392">
        <v>9</v>
      </c>
      <c r="X392">
        <v>9</v>
      </c>
      <c r="Y392">
        <v>2</v>
      </c>
      <c r="Z392">
        <v>8</v>
      </c>
      <c r="AA392">
        <v>2.5625</v>
      </c>
      <c r="AB392">
        <v>20.5</v>
      </c>
      <c r="AC392" t="s">
        <v>59</v>
      </c>
      <c r="AD392" t="s">
        <v>60</v>
      </c>
      <c r="AE392">
        <v>2</v>
      </c>
      <c r="AF392">
        <v>0</v>
      </c>
      <c r="AG392">
        <v>0</v>
      </c>
      <c r="AH392">
        <v>2</v>
      </c>
      <c r="AI392">
        <v>0</v>
      </c>
      <c r="AJ392">
        <v>1</v>
      </c>
      <c r="AK392">
        <v>1</v>
      </c>
      <c r="AL392">
        <v>0</v>
      </c>
      <c r="AM392">
        <v>2</v>
      </c>
      <c r="AN392">
        <v>0</v>
      </c>
      <c r="AO392">
        <v>8</v>
      </c>
      <c r="AP392">
        <v>0</v>
      </c>
      <c r="AQ392">
        <v>100</v>
      </c>
      <c r="AR392" s="2">
        <v>45731.426689814813</v>
      </c>
      <c r="AS392" s="2">
        <v>46070.512824074074</v>
      </c>
      <c r="AT392" t="s">
        <v>61</v>
      </c>
      <c r="AU392" t="s">
        <v>1357</v>
      </c>
      <c r="AV392">
        <v>339</v>
      </c>
    </row>
    <row r="393" spans="1:48" x14ac:dyDescent="0.25">
      <c r="A393">
        <v>61</v>
      </c>
      <c r="B393" t="s">
        <v>1708</v>
      </c>
      <c r="C393" t="s">
        <v>1709</v>
      </c>
      <c r="D393" t="s">
        <v>1710</v>
      </c>
      <c r="E393" t="s">
        <v>1711</v>
      </c>
      <c r="F393" t="s">
        <v>1712</v>
      </c>
      <c r="G393" t="s">
        <v>104</v>
      </c>
      <c r="H393" s="1">
        <v>35308</v>
      </c>
      <c r="I393">
        <v>30</v>
      </c>
      <c r="J393">
        <v>1996</v>
      </c>
      <c r="K393" s="1">
        <v>45031</v>
      </c>
      <c r="L393">
        <v>2023</v>
      </c>
      <c r="M393" t="s">
        <v>54</v>
      </c>
      <c r="N393">
        <v>6</v>
      </c>
      <c r="O393" t="s">
        <v>133</v>
      </c>
      <c r="P393" t="s">
        <v>69</v>
      </c>
      <c r="Q393">
        <v>60</v>
      </c>
      <c r="R393">
        <v>2</v>
      </c>
      <c r="S393" t="s">
        <v>85</v>
      </c>
      <c r="T393" t="s">
        <v>86</v>
      </c>
      <c r="U393">
        <v>9</v>
      </c>
      <c r="V393">
        <v>9</v>
      </c>
      <c r="W393">
        <v>9</v>
      </c>
      <c r="X393">
        <v>9</v>
      </c>
      <c r="Y393">
        <v>3</v>
      </c>
      <c r="Z393">
        <v>9</v>
      </c>
      <c r="AA393">
        <v>2.1666660000000002</v>
      </c>
      <c r="AB393">
        <v>19.5</v>
      </c>
      <c r="AC393" t="s">
        <v>70</v>
      </c>
      <c r="AD393" t="s">
        <v>112</v>
      </c>
      <c r="AE393">
        <v>0</v>
      </c>
      <c r="AF393">
        <v>0</v>
      </c>
      <c r="AG393">
        <v>1</v>
      </c>
      <c r="AH393">
        <v>2</v>
      </c>
      <c r="AI393">
        <v>0</v>
      </c>
      <c r="AJ393">
        <v>2</v>
      </c>
      <c r="AK393">
        <v>2</v>
      </c>
      <c r="AL393">
        <v>0</v>
      </c>
      <c r="AM393">
        <v>1</v>
      </c>
      <c r="AN393">
        <v>1</v>
      </c>
      <c r="AO393">
        <v>8</v>
      </c>
      <c r="AP393">
        <v>1</v>
      </c>
      <c r="AQ393">
        <v>88.888888888888005</v>
      </c>
      <c r="AR393" s="2">
        <v>45730.734803240739</v>
      </c>
      <c r="AS393" s="2">
        <v>46082.9921412037</v>
      </c>
      <c r="AT393" t="s">
        <v>61</v>
      </c>
      <c r="AU393" t="s">
        <v>62</v>
      </c>
      <c r="AV393">
        <v>352</v>
      </c>
    </row>
    <row r="394" spans="1:48" x14ac:dyDescent="0.25">
      <c r="A394">
        <v>618</v>
      </c>
      <c r="B394" t="s">
        <v>1713</v>
      </c>
      <c r="C394" t="s">
        <v>1714</v>
      </c>
      <c r="D394" t="s">
        <v>1715</v>
      </c>
      <c r="E394" t="s">
        <v>1716</v>
      </c>
      <c r="F394" t="s">
        <v>1717</v>
      </c>
      <c r="G394" t="s">
        <v>53</v>
      </c>
      <c r="H394" s="1">
        <v>34841</v>
      </c>
      <c r="I394">
        <v>31</v>
      </c>
      <c r="J394">
        <v>1995</v>
      </c>
      <c r="K394" s="1">
        <v>45298</v>
      </c>
      <c r="L394">
        <v>2024</v>
      </c>
      <c r="M394" t="s">
        <v>111</v>
      </c>
      <c r="N394">
        <v>8</v>
      </c>
      <c r="O394" t="s">
        <v>125</v>
      </c>
      <c r="P394" t="s">
        <v>56</v>
      </c>
      <c r="Q394">
        <v>36</v>
      </c>
      <c r="R394">
        <v>3</v>
      </c>
      <c r="S394" t="s">
        <v>126</v>
      </c>
      <c r="T394" t="s">
        <v>127</v>
      </c>
      <c r="U394">
        <v>9</v>
      </c>
      <c r="V394">
        <v>9</v>
      </c>
      <c r="W394">
        <v>9</v>
      </c>
      <c r="X394">
        <v>8</v>
      </c>
      <c r="Y394">
        <v>2</v>
      </c>
      <c r="Z394">
        <v>8</v>
      </c>
      <c r="AA394">
        <v>3.0625</v>
      </c>
      <c r="AB394">
        <v>24.5</v>
      </c>
      <c r="AC394" t="s">
        <v>540</v>
      </c>
      <c r="AD394" t="s">
        <v>60</v>
      </c>
      <c r="AE394">
        <v>2</v>
      </c>
      <c r="AF394">
        <v>0</v>
      </c>
      <c r="AG394">
        <v>2</v>
      </c>
      <c r="AH394">
        <v>1</v>
      </c>
      <c r="AI394">
        <v>0</v>
      </c>
      <c r="AJ394">
        <v>1</v>
      </c>
      <c r="AK394">
        <v>2</v>
      </c>
      <c r="AL394">
        <v>0</v>
      </c>
      <c r="AM394">
        <v>0</v>
      </c>
      <c r="AN394">
        <v>0</v>
      </c>
      <c r="AO394">
        <v>8</v>
      </c>
      <c r="AP394">
        <v>0</v>
      </c>
      <c r="AQ394">
        <v>100</v>
      </c>
      <c r="AR394" s="2">
        <v>45811.101597222223</v>
      </c>
      <c r="AS394" s="2">
        <v>46009.199421296296</v>
      </c>
      <c r="AT394" t="s">
        <v>1357</v>
      </c>
      <c r="AU394" t="s">
        <v>62</v>
      </c>
      <c r="AV394">
        <v>198</v>
      </c>
    </row>
    <row r="395" spans="1:48" x14ac:dyDescent="0.25">
      <c r="A395">
        <v>593</v>
      </c>
      <c r="B395" t="s">
        <v>1718</v>
      </c>
      <c r="C395" t="s">
        <v>1514</v>
      </c>
      <c r="D395" t="s">
        <v>1719</v>
      </c>
      <c r="E395" t="s">
        <v>1720</v>
      </c>
      <c r="F395" t="s">
        <v>1721</v>
      </c>
      <c r="G395" t="s">
        <v>104</v>
      </c>
      <c r="H395" s="1">
        <v>34839</v>
      </c>
      <c r="I395">
        <v>31</v>
      </c>
      <c r="J395">
        <v>1995</v>
      </c>
      <c r="K395" s="1">
        <v>45935</v>
      </c>
      <c r="L395">
        <v>2025</v>
      </c>
      <c r="M395" t="s">
        <v>111</v>
      </c>
      <c r="N395">
        <v>21</v>
      </c>
      <c r="O395" t="s">
        <v>339</v>
      </c>
      <c r="P395" t="s">
        <v>69</v>
      </c>
      <c r="Q395">
        <v>60</v>
      </c>
      <c r="R395">
        <v>7</v>
      </c>
      <c r="S395" t="s">
        <v>163</v>
      </c>
      <c r="T395" t="s">
        <v>164</v>
      </c>
      <c r="U395">
        <v>9</v>
      </c>
      <c r="V395">
        <v>9</v>
      </c>
      <c r="W395">
        <v>9</v>
      </c>
      <c r="X395">
        <v>9</v>
      </c>
      <c r="Y395">
        <v>3</v>
      </c>
      <c r="Z395">
        <v>7</v>
      </c>
      <c r="AA395">
        <v>2.571428</v>
      </c>
      <c r="AB395">
        <v>18</v>
      </c>
      <c r="AC395" t="s">
        <v>540</v>
      </c>
      <c r="AD395" t="s">
        <v>60</v>
      </c>
      <c r="AE395">
        <v>1</v>
      </c>
      <c r="AF395">
        <v>0</v>
      </c>
      <c r="AG395">
        <v>0</v>
      </c>
      <c r="AH395">
        <v>1</v>
      </c>
      <c r="AI395">
        <v>0</v>
      </c>
      <c r="AJ395">
        <v>2</v>
      </c>
      <c r="AK395">
        <v>3</v>
      </c>
      <c r="AL395">
        <v>0</v>
      </c>
      <c r="AM395">
        <v>0</v>
      </c>
      <c r="AN395">
        <v>0</v>
      </c>
      <c r="AO395">
        <v>7</v>
      </c>
      <c r="AP395">
        <v>0</v>
      </c>
      <c r="AQ395">
        <v>100</v>
      </c>
      <c r="AR395" s="2">
        <v>45733.265509259261</v>
      </c>
      <c r="AS395" s="2">
        <v>46049.628298611111</v>
      </c>
      <c r="AT395" t="s">
        <v>61</v>
      </c>
      <c r="AU395" t="s">
        <v>62</v>
      </c>
      <c r="AV395">
        <v>316</v>
      </c>
    </row>
    <row r="396" spans="1:48" x14ac:dyDescent="0.25">
      <c r="A396">
        <v>298</v>
      </c>
      <c r="B396" t="s">
        <v>1722</v>
      </c>
      <c r="C396" t="s">
        <v>1676</v>
      </c>
      <c r="D396" t="s">
        <v>552</v>
      </c>
      <c r="E396" t="s">
        <v>1723</v>
      </c>
      <c r="F396" t="s">
        <v>1724</v>
      </c>
      <c r="G396" t="s">
        <v>53</v>
      </c>
      <c r="H396" s="1">
        <v>38888</v>
      </c>
      <c r="I396">
        <v>20</v>
      </c>
      <c r="J396">
        <v>2006</v>
      </c>
      <c r="K396" s="1">
        <v>45823</v>
      </c>
      <c r="L396">
        <v>2025</v>
      </c>
      <c r="M396" t="s">
        <v>54</v>
      </c>
      <c r="N396">
        <v>21</v>
      </c>
      <c r="O396" t="s">
        <v>339</v>
      </c>
      <c r="P396" t="s">
        <v>69</v>
      </c>
      <c r="Q396">
        <v>60</v>
      </c>
      <c r="R396">
        <v>7</v>
      </c>
      <c r="S396" t="s">
        <v>163</v>
      </c>
      <c r="T396" t="s">
        <v>164</v>
      </c>
      <c r="U396">
        <v>8</v>
      </c>
      <c r="V396">
        <v>9</v>
      </c>
      <c r="W396">
        <v>9</v>
      </c>
      <c r="X396">
        <v>8</v>
      </c>
      <c r="Y396">
        <v>3</v>
      </c>
      <c r="Z396">
        <v>7</v>
      </c>
      <c r="AA396">
        <v>2.5</v>
      </c>
      <c r="AB396">
        <v>17.5</v>
      </c>
      <c r="AC396" t="s">
        <v>70</v>
      </c>
      <c r="AD396" t="s">
        <v>60</v>
      </c>
      <c r="AE396">
        <v>1</v>
      </c>
      <c r="AF396">
        <v>0</v>
      </c>
      <c r="AG396">
        <v>2</v>
      </c>
      <c r="AH396">
        <v>1</v>
      </c>
      <c r="AI396">
        <v>0</v>
      </c>
      <c r="AJ396">
        <v>1</v>
      </c>
      <c r="AK396">
        <v>0</v>
      </c>
      <c r="AL396">
        <v>0</v>
      </c>
      <c r="AM396">
        <v>1</v>
      </c>
      <c r="AN396">
        <v>1</v>
      </c>
      <c r="AO396">
        <v>6</v>
      </c>
      <c r="AP396">
        <v>1</v>
      </c>
      <c r="AQ396">
        <v>85.714285714284998</v>
      </c>
      <c r="AR396" s="2">
        <v>45868.754664351851</v>
      </c>
      <c r="AS396" s="2">
        <v>46067.116956018515</v>
      </c>
      <c r="AT396" t="s">
        <v>61</v>
      </c>
      <c r="AU396" t="s">
        <v>62</v>
      </c>
      <c r="AV396">
        <v>199</v>
      </c>
    </row>
    <row r="397" spans="1:48" x14ac:dyDescent="0.25">
      <c r="A397">
        <v>516</v>
      </c>
      <c r="B397" t="s">
        <v>1725</v>
      </c>
      <c r="C397" t="s">
        <v>1534</v>
      </c>
      <c r="D397" t="s">
        <v>1726</v>
      </c>
      <c r="E397" t="s">
        <v>1727</v>
      </c>
      <c r="F397" t="s">
        <v>1728</v>
      </c>
      <c r="G397" t="s">
        <v>104</v>
      </c>
      <c r="H397" s="1">
        <v>35644</v>
      </c>
      <c r="I397">
        <v>29</v>
      </c>
      <c r="J397">
        <v>1997</v>
      </c>
      <c r="K397" s="1">
        <v>44711</v>
      </c>
      <c r="L397">
        <v>2022</v>
      </c>
      <c r="M397" t="s">
        <v>54</v>
      </c>
      <c r="N397">
        <v>10</v>
      </c>
      <c r="O397" t="s">
        <v>118</v>
      </c>
      <c r="P397" t="s">
        <v>119</v>
      </c>
      <c r="Q397">
        <v>120</v>
      </c>
      <c r="R397">
        <v>4</v>
      </c>
      <c r="S397" t="s">
        <v>77</v>
      </c>
      <c r="T397" t="s">
        <v>78</v>
      </c>
      <c r="U397">
        <v>8</v>
      </c>
      <c r="V397">
        <v>9</v>
      </c>
      <c r="W397">
        <v>9</v>
      </c>
      <c r="X397">
        <v>9</v>
      </c>
      <c r="Y397">
        <v>2</v>
      </c>
      <c r="Z397">
        <v>9</v>
      </c>
      <c r="AA397">
        <v>2.2777769999999999</v>
      </c>
      <c r="AB397">
        <v>20.5</v>
      </c>
      <c r="AC397" t="s">
        <v>70</v>
      </c>
      <c r="AD397" t="s">
        <v>60</v>
      </c>
      <c r="AE397">
        <v>1</v>
      </c>
      <c r="AF397">
        <v>0</v>
      </c>
      <c r="AG397">
        <v>1</v>
      </c>
      <c r="AH397">
        <v>3</v>
      </c>
      <c r="AI397">
        <v>0</v>
      </c>
      <c r="AJ397">
        <v>0</v>
      </c>
      <c r="AK397">
        <v>2</v>
      </c>
      <c r="AL397">
        <v>0</v>
      </c>
      <c r="AM397">
        <v>0</v>
      </c>
      <c r="AN397">
        <v>2</v>
      </c>
      <c r="AO397">
        <v>7</v>
      </c>
      <c r="AP397">
        <v>2</v>
      </c>
      <c r="AQ397">
        <v>77.777777777777004</v>
      </c>
      <c r="AR397" s="2">
        <v>45768.857256944444</v>
      </c>
      <c r="AS397" s="2">
        <v>46030.837337962963</v>
      </c>
      <c r="AT397" t="s">
        <v>61</v>
      </c>
      <c r="AU397" t="s">
        <v>62</v>
      </c>
      <c r="AV397">
        <v>262</v>
      </c>
    </row>
    <row r="398" spans="1:48" x14ac:dyDescent="0.25">
      <c r="A398">
        <v>898</v>
      </c>
      <c r="B398" t="s">
        <v>1729</v>
      </c>
      <c r="C398" t="s">
        <v>64</v>
      </c>
      <c r="D398" t="s">
        <v>1730</v>
      </c>
      <c r="E398" t="s">
        <v>1731</v>
      </c>
      <c r="F398" t="s">
        <v>1732</v>
      </c>
      <c r="G398" t="s">
        <v>53</v>
      </c>
      <c r="H398" s="1">
        <v>36165</v>
      </c>
      <c r="I398">
        <v>27</v>
      </c>
      <c r="J398">
        <v>1999</v>
      </c>
      <c r="K398" s="1">
        <v>44702</v>
      </c>
      <c r="L398">
        <v>2022</v>
      </c>
      <c r="M398" t="s">
        <v>54</v>
      </c>
      <c r="N398">
        <v>16</v>
      </c>
      <c r="O398" t="s">
        <v>280</v>
      </c>
      <c r="P398" t="s">
        <v>119</v>
      </c>
      <c r="Q398">
        <v>120</v>
      </c>
      <c r="R398">
        <v>6</v>
      </c>
      <c r="S398" t="s">
        <v>140</v>
      </c>
      <c r="T398" t="s">
        <v>141</v>
      </c>
      <c r="U398">
        <v>9</v>
      </c>
      <c r="V398">
        <v>9</v>
      </c>
      <c r="W398">
        <v>9</v>
      </c>
      <c r="X398">
        <v>9</v>
      </c>
      <c r="Y398">
        <v>3</v>
      </c>
      <c r="Z398">
        <v>8</v>
      </c>
      <c r="AA398">
        <v>1.9375</v>
      </c>
      <c r="AB398">
        <v>15.5</v>
      </c>
      <c r="AC398" t="s">
        <v>70</v>
      </c>
      <c r="AD398" t="s">
        <v>60</v>
      </c>
      <c r="AE398">
        <v>1</v>
      </c>
      <c r="AF398">
        <v>0</v>
      </c>
      <c r="AG398">
        <v>1</v>
      </c>
      <c r="AH398">
        <v>1</v>
      </c>
      <c r="AI398">
        <v>0</v>
      </c>
      <c r="AJ398">
        <v>0</v>
      </c>
      <c r="AK398">
        <v>2</v>
      </c>
      <c r="AL398">
        <v>0</v>
      </c>
      <c r="AM398">
        <v>1</v>
      </c>
      <c r="AN398">
        <v>2</v>
      </c>
      <c r="AO398">
        <v>6</v>
      </c>
      <c r="AP398">
        <v>2</v>
      </c>
      <c r="AQ398">
        <v>75</v>
      </c>
      <c r="AR398" s="2">
        <v>45751.063425925924</v>
      </c>
      <c r="AS398" s="2">
        <v>45999.468553240738</v>
      </c>
      <c r="AT398" t="s">
        <v>61</v>
      </c>
      <c r="AU398" t="s">
        <v>62</v>
      </c>
      <c r="AV398">
        <v>248</v>
      </c>
    </row>
    <row r="399" spans="1:48" x14ac:dyDescent="0.25">
      <c r="A399">
        <v>719</v>
      </c>
      <c r="B399" t="s">
        <v>1733</v>
      </c>
      <c r="C399" t="s">
        <v>1414</v>
      </c>
      <c r="D399" t="s">
        <v>1734</v>
      </c>
      <c r="E399" t="s">
        <v>1735</v>
      </c>
      <c r="F399" t="s">
        <v>1736</v>
      </c>
      <c r="G399" t="s">
        <v>53</v>
      </c>
      <c r="H399" s="1">
        <v>36769</v>
      </c>
      <c r="I399">
        <v>26</v>
      </c>
      <c r="J399">
        <v>2000</v>
      </c>
      <c r="K399" s="1">
        <v>44704</v>
      </c>
      <c r="L399">
        <v>2022</v>
      </c>
      <c r="M399" t="s">
        <v>225</v>
      </c>
      <c r="N399">
        <v>19</v>
      </c>
      <c r="O399" t="s">
        <v>162</v>
      </c>
      <c r="P399" t="s">
        <v>119</v>
      </c>
      <c r="Q399">
        <v>120</v>
      </c>
      <c r="R399">
        <v>7</v>
      </c>
      <c r="S399" t="s">
        <v>163</v>
      </c>
      <c r="T399" t="s">
        <v>164</v>
      </c>
      <c r="U399">
        <v>9</v>
      </c>
      <c r="V399">
        <v>9</v>
      </c>
      <c r="W399">
        <v>9</v>
      </c>
      <c r="X399">
        <v>8</v>
      </c>
      <c r="Y399">
        <v>2</v>
      </c>
      <c r="Z399">
        <v>7</v>
      </c>
      <c r="AA399">
        <v>1.8571420000000001</v>
      </c>
      <c r="AB399">
        <v>13</v>
      </c>
      <c r="AC399" t="s">
        <v>70</v>
      </c>
      <c r="AD399" t="s">
        <v>281</v>
      </c>
      <c r="AE399">
        <v>0</v>
      </c>
      <c r="AF399">
        <v>0</v>
      </c>
      <c r="AG399">
        <v>2</v>
      </c>
      <c r="AH399">
        <v>0</v>
      </c>
      <c r="AI399">
        <v>0</v>
      </c>
      <c r="AJ399">
        <v>2</v>
      </c>
      <c r="AK399">
        <v>0</v>
      </c>
      <c r="AL399">
        <v>0</v>
      </c>
      <c r="AM399">
        <v>1</v>
      </c>
      <c r="AN399">
        <v>2</v>
      </c>
      <c r="AO399">
        <v>5</v>
      </c>
      <c r="AP399">
        <v>2</v>
      </c>
      <c r="AQ399">
        <v>71.428571428571004</v>
      </c>
      <c r="AR399" s="2">
        <v>45735.943136574075</v>
      </c>
      <c r="AS399" s="2">
        <v>46067.805335648147</v>
      </c>
      <c r="AT399" t="s">
        <v>1357</v>
      </c>
      <c r="AU399" t="s">
        <v>62</v>
      </c>
      <c r="AV399">
        <v>332</v>
      </c>
    </row>
    <row r="400" spans="1:48" x14ac:dyDescent="0.25">
      <c r="A400">
        <v>670</v>
      </c>
      <c r="B400" t="s">
        <v>1737</v>
      </c>
      <c r="C400" t="s">
        <v>1738</v>
      </c>
      <c r="D400" t="s">
        <v>414</v>
      </c>
      <c r="E400" t="s">
        <v>1739</v>
      </c>
      <c r="F400" t="s">
        <v>1740</v>
      </c>
      <c r="G400" t="s">
        <v>53</v>
      </c>
      <c r="H400" s="1">
        <v>39036</v>
      </c>
      <c r="I400">
        <v>20</v>
      </c>
      <c r="J400">
        <v>2006</v>
      </c>
      <c r="K400" s="1">
        <v>45905</v>
      </c>
      <c r="L400">
        <v>2025</v>
      </c>
      <c r="M400" t="s">
        <v>225</v>
      </c>
      <c r="N400">
        <v>15</v>
      </c>
      <c r="O400" t="s">
        <v>91</v>
      </c>
      <c r="P400" t="s">
        <v>69</v>
      </c>
      <c r="Q400">
        <v>60</v>
      </c>
      <c r="R400">
        <v>5</v>
      </c>
      <c r="S400" t="s">
        <v>92</v>
      </c>
      <c r="T400" t="s">
        <v>93</v>
      </c>
      <c r="U400">
        <v>9</v>
      </c>
      <c r="V400">
        <v>9</v>
      </c>
      <c r="W400">
        <v>9</v>
      </c>
      <c r="X400">
        <v>9</v>
      </c>
      <c r="Y400">
        <v>2</v>
      </c>
      <c r="Z400">
        <v>6</v>
      </c>
      <c r="AA400">
        <v>2.75</v>
      </c>
      <c r="AB400">
        <v>16.5</v>
      </c>
      <c r="AC400" t="s">
        <v>70</v>
      </c>
      <c r="AD400" t="s">
        <v>60</v>
      </c>
      <c r="AE400">
        <v>1</v>
      </c>
      <c r="AF400">
        <v>0</v>
      </c>
      <c r="AG400">
        <v>3</v>
      </c>
      <c r="AH400">
        <v>0</v>
      </c>
      <c r="AI400">
        <v>0</v>
      </c>
      <c r="AJ400">
        <v>0</v>
      </c>
      <c r="AK400">
        <v>1</v>
      </c>
      <c r="AL400">
        <v>0</v>
      </c>
      <c r="AM400">
        <v>0</v>
      </c>
      <c r="AN400">
        <v>1</v>
      </c>
      <c r="AO400">
        <v>5</v>
      </c>
      <c r="AP400">
        <v>1</v>
      </c>
      <c r="AQ400">
        <v>83.333333333333002</v>
      </c>
      <c r="AR400" s="2">
        <v>45727.049687500003</v>
      </c>
      <c r="AS400" s="2">
        <v>45953.515520833331</v>
      </c>
      <c r="AT400" t="s">
        <v>1357</v>
      </c>
      <c r="AU400" t="s">
        <v>62</v>
      </c>
      <c r="AV400">
        <v>226</v>
      </c>
    </row>
    <row r="401" spans="1:48" x14ac:dyDescent="0.25">
      <c r="A401">
        <v>698</v>
      </c>
      <c r="B401" t="s">
        <v>1741</v>
      </c>
      <c r="C401" t="s">
        <v>248</v>
      </c>
      <c r="D401" t="s">
        <v>360</v>
      </c>
      <c r="E401" t="s">
        <v>1742</v>
      </c>
      <c r="F401" t="s">
        <v>1743</v>
      </c>
      <c r="G401" t="s">
        <v>104</v>
      </c>
      <c r="H401" s="1">
        <v>35756</v>
      </c>
      <c r="I401">
        <v>29</v>
      </c>
      <c r="J401">
        <v>1997</v>
      </c>
      <c r="K401" s="1">
        <v>44628</v>
      </c>
      <c r="L401">
        <v>2022</v>
      </c>
      <c r="M401" t="s">
        <v>54</v>
      </c>
      <c r="N401">
        <v>10</v>
      </c>
      <c r="O401" t="s">
        <v>118</v>
      </c>
      <c r="P401" t="s">
        <v>119</v>
      </c>
      <c r="Q401">
        <v>120</v>
      </c>
      <c r="R401">
        <v>4</v>
      </c>
      <c r="S401" t="s">
        <v>77</v>
      </c>
      <c r="T401" t="s">
        <v>78</v>
      </c>
      <c r="U401">
        <v>9</v>
      </c>
      <c r="V401">
        <v>9</v>
      </c>
      <c r="W401">
        <v>9</v>
      </c>
      <c r="X401">
        <v>8</v>
      </c>
      <c r="Y401">
        <v>2</v>
      </c>
      <c r="Z401">
        <v>9</v>
      </c>
      <c r="AA401">
        <v>1.666666</v>
      </c>
      <c r="AB401">
        <v>15</v>
      </c>
      <c r="AC401" t="s">
        <v>70</v>
      </c>
      <c r="AD401" t="s">
        <v>60</v>
      </c>
      <c r="AE401">
        <v>1</v>
      </c>
      <c r="AF401">
        <v>0</v>
      </c>
      <c r="AG401">
        <v>0</v>
      </c>
      <c r="AH401">
        <v>1</v>
      </c>
      <c r="AI401">
        <v>0</v>
      </c>
      <c r="AJ401">
        <v>2</v>
      </c>
      <c r="AK401">
        <v>1</v>
      </c>
      <c r="AL401">
        <v>0</v>
      </c>
      <c r="AM401">
        <v>1</v>
      </c>
      <c r="AN401">
        <v>3</v>
      </c>
      <c r="AO401">
        <v>6</v>
      </c>
      <c r="AP401">
        <v>3</v>
      </c>
      <c r="AQ401">
        <v>66.666666666666003</v>
      </c>
      <c r="AR401" s="2">
        <v>45816.702523148146</v>
      </c>
      <c r="AS401" s="2">
        <v>46052.181990740741</v>
      </c>
      <c r="AT401" t="s">
        <v>61</v>
      </c>
      <c r="AU401" t="s">
        <v>62</v>
      </c>
      <c r="AV401">
        <v>236</v>
      </c>
    </row>
    <row r="402" spans="1:48" x14ac:dyDescent="0.25">
      <c r="A402">
        <v>756</v>
      </c>
      <c r="B402" t="s">
        <v>1744</v>
      </c>
      <c r="C402" t="s">
        <v>1134</v>
      </c>
      <c r="D402" t="s">
        <v>543</v>
      </c>
      <c r="E402" t="s">
        <v>1745</v>
      </c>
      <c r="F402" t="s">
        <v>1746</v>
      </c>
      <c r="G402" t="s">
        <v>104</v>
      </c>
      <c r="H402" s="1">
        <v>34839</v>
      </c>
      <c r="I402">
        <v>31</v>
      </c>
      <c r="J402">
        <v>1995</v>
      </c>
      <c r="K402" s="1">
        <v>45263</v>
      </c>
      <c r="L402">
        <v>2023</v>
      </c>
      <c r="M402" t="s">
        <v>54</v>
      </c>
      <c r="N402">
        <v>4</v>
      </c>
      <c r="O402" t="s">
        <v>215</v>
      </c>
      <c r="P402" t="s">
        <v>119</v>
      </c>
      <c r="Q402">
        <v>120</v>
      </c>
      <c r="R402">
        <v>2</v>
      </c>
      <c r="S402" t="s">
        <v>85</v>
      </c>
      <c r="T402" t="s">
        <v>86</v>
      </c>
      <c r="U402">
        <v>8</v>
      </c>
      <c r="V402">
        <v>9</v>
      </c>
      <c r="W402">
        <v>9</v>
      </c>
      <c r="X402">
        <v>8</v>
      </c>
      <c r="Y402">
        <v>2</v>
      </c>
      <c r="Z402">
        <v>8</v>
      </c>
      <c r="AA402">
        <v>2.25</v>
      </c>
      <c r="AB402">
        <v>18</v>
      </c>
      <c r="AC402" t="s">
        <v>70</v>
      </c>
      <c r="AD402" t="s">
        <v>60</v>
      </c>
      <c r="AE402">
        <v>1</v>
      </c>
      <c r="AF402">
        <v>0</v>
      </c>
      <c r="AG402">
        <v>1</v>
      </c>
      <c r="AH402">
        <v>1</v>
      </c>
      <c r="AI402">
        <v>0</v>
      </c>
      <c r="AJ402">
        <v>1</v>
      </c>
      <c r="AK402">
        <v>2</v>
      </c>
      <c r="AL402">
        <v>0</v>
      </c>
      <c r="AM402">
        <v>1</v>
      </c>
      <c r="AN402">
        <v>1</v>
      </c>
      <c r="AO402">
        <v>7</v>
      </c>
      <c r="AP402">
        <v>1</v>
      </c>
      <c r="AQ402">
        <v>87.5</v>
      </c>
      <c r="AR402" s="2">
        <v>45735.94771990741</v>
      </c>
      <c r="AS402" s="2">
        <v>46062.783900462964</v>
      </c>
      <c r="AT402" t="s">
        <v>61</v>
      </c>
      <c r="AU402" t="s">
        <v>1357</v>
      </c>
      <c r="AV402">
        <v>327</v>
      </c>
    </row>
    <row r="403" spans="1:48" x14ac:dyDescent="0.25">
      <c r="A403">
        <v>644</v>
      </c>
      <c r="B403" t="s">
        <v>1747</v>
      </c>
      <c r="C403" t="s">
        <v>819</v>
      </c>
      <c r="D403" t="s">
        <v>1748</v>
      </c>
      <c r="E403" t="s">
        <v>1749</v>
      </c>
      <c r="F403" t="s">
        <v>1750</v>
      </c>
      <c r="G403" t="s">
        <v>53</v>
      </c>
      <c r="H403" s="1">
        <v>36824</v>
      </c>
      <c r="I403">
        <v>26</v>
      </c>
      <c r="J403">
        <v>2000</v>
      </c>
      <c r="K403" s="1">
        <v>45397</v>
      </c>
      <c r="L403">
        <v>2024</v>
      </c>
      <c r="M403" t="s">
        <v>54</v>
      </c>
      <c r="N403">
        <v>11</v>
      </c>
      <c r="O403" t="s">
        <v>378</v>
      </c>
      <c r="P403" t="s">
        <v>56</v>
      </c>
      <c r="Q403">
        <v>36</v>
      </c>
      <c r="R403">
        <v>4</v>
      </c>
      <c r="S403" t="s">
        <v>77</v>
      </c>
      <c r="T403" t="s">
        <v>78</v>
      </c>
      <c r="U403">
        <v>9</v>
      </c>
      <c r="V403">
        <v>9</v>
      </c>
      <c r="W403">
        <v>9</v>
      </c>
      <c r="X403">
        <v>8</v>
      </c>
      <c r="Y403">
        <v>2</v>
      </c>
      <c r="Z403">
        <v>7</v>
      </c>
      <c r="AA403">
        <v>2.9285709999999998</v>
      </c>
      <c r="AB403">
        <v>20.5</v>
      </c>
      <c r="AC403" t="s">
        <v>70</v>
      </c>
      <c r="AD403" t="s">
        <v>60</v>
      </c>
      <c r="AE403">
        <v>2</v>
      </c>
      <c r="AF403">
        <v>0</v>
      </c>
      <c r="AG403">
        <v>2</v>
      </c>
      <c r="AH403">
        <v>1</v>
      </c>
      <c r="AI403">
        <v>0</v>
      </c>
      <c r="AJ403">
        <v>1</v>
      </c>
      <c r="AK403">
        <v>0</v>
      </c>
      <c r="AL403">
        <v>0</v>
      </c>
      <c r="AM403">
        <v>0</v>
      </c>
      <c r="AN403">
        <v>1</v>
      </c>
      <c r="AO403">
        <v>6</v>
      </c>
      <c r="AP403">
        <v>1</v>
      </c>
      <c r="AQ403">
        <v>85.714285714284998</v>
      </c>
      <c r="AR403" s="2">
        <v>45765.285486111112</v>
      </c>
      <c r="AS403" s="2">
        <v>46062.142766203702</v>
      </c>
      <c r="AT403" t="s">
        <v>1357</v>
      </c>
      <c r="AU403" t="s">
        <v>62</v>
      </c>
      <c r="AV403">
        <v>297</v>
      </c>
    </row>
    <row r="404" spans="1:48" x14ac:dyDescent="0.25">
      <c r="A404">
        <v>204</v>
      </c>
      <c r="B404" t="s">
        <v>1751</v>
      </c>
      <c r="C404" t="s">
        <v>1752</v>
      </c>
      <c r="D404" t="s">
        <v>855</v>
      </c>
      <c r="E404" t="s">
        <v>1753</v>
      </c>
      <c r="F404" t="s">
        <v>1754</v>
      </c>
      <c r="G404" t="s">
        <v>104</v>
      </c>
      <c r="H404" s="1">
        <v>38882</v>
      </c>
      <c r="I404">
        <v>20</v>
      </c>
      <c r="J404">
        <v>2006</v>
      </c>
      <c r="K404" s="1">
        <v>45182</v>
      </c>
      <c r="L404">
        <v>2023</v>
      </c>
      <c r="M404" t="s">
        <v>54</v>
      </c>
      <c r="N404">
        <v>17</v>
      </c>
      <c r="O404" t="s">
        <v>350</v>
      </c>
      <c r="P404" t="s">
        <v>56</v>
      </c>
      <c r="Q404">
        <v>36</v>
      </c>
      <c r="R404">
        <v>6</v>
      </c>
      <c r="S404" t="s">
        <v>140</v>
      </c>
      <c r="T404" t="s">
        <v>141</v>
      </c>
      <c r="U404">
        <v>8</v>
      </c>
      <c r="V404">
        <v>9</v>
      </c>
      <c r="W404">
        <v>9</v>
      </c>
      <c r="X404">
        <v>8</v>
      </c>
      <c r="Y404">
        <v>2</v>
      </c>
      <c r="Z404">
        <v>7</v>
      </c>
      <c r="AA404">
        <v>2.6428569999999998</v>
      </c>
      <c r="AB404">
        <v>18.5</v>
      </c>
      <c r="AC404" t="s">
        <v>70</v>
      </c>
      <c r="AD404" t="s">
        <v>60</v>
      </c>
      <c r="AE404">
        <v>1</v>
      </c>
      <c r="AF404">
        <v>0</v>
      </c>
      <c r="AG404">
        <v>1</v>
      </c>
      <c r="AH404">
        <v>3</v>
      </c>
      <c r="AI404">
        <v>0</v>
      </c>
      <c r="AJ404">
        <v>0</v>
      </c>
      <c r="AK404">
        <v>1</v>
      </c>
      <c r="AL404">
        <v>0</v>
      </c>
      <c r="AM404">
        <v>0</v>
      </c>
      <c r="AN404">
        <v>1</v>
      </c>
      <c r="AO404">
        <v>6</v>
      </c>
      <c r="AP404">
        <v>1</v>
      </c>
      <c r="AQ404">
        <v>85.714285714284998</v>
      </c>
      <c r="AR404" s="2">
        <v>45750.20003472222</v>
      </c>
      <c r="AS404" s="2">
        <v>46074.413541666669</v>
      </c>
      <c r="AT404" t="s">
        <v>1357</v>
      </c>
      <c r="AU404" t="s">
        <v>62</v>
      </c>
      <c r="AV404">
        <v>324</v>
      </c>
    </row>
    <row r="405" spans="1:48" x14ac:dyDescent="0.25">
      <c r="A405">
        <v>38</v>
      </c>
      <c r="B405" t="s">
        <v>1755</v>
      </c>
      <c r="C405" t="s">
        <v>501</v>
      </c>
      <c r="D405" t="s">
        <v>1049</v>
      </c>
      <c r="E405" t="s">
        <v>1756</v>
      </c>
      <c r="F405">
        <v>9879603859</v>
      </c>
      <c r="G405" t="s">
        <v>53</v>
      </c>
      <c r="H405" s="1">
        <v>38372</v>
      </c>
      <c r="I405">
        <v>21</v>
      </c>
      <c r="J405">
        <v>2005</v>
      </c>
      <c r="K405" s="1">
        <v>44922</v>
      </c>
      <c r="L405">
        <v>2022</v>
      </c>
      <c r="M405" t="s">
        <v>225</v>
      </c>
      <c r="N405">
        <v>8</v>
      </c>
      <c r="O405" t="s">
        <v>125</v>
      </c>
      <c r="P405" t="s">
        <v>56</v>
      </c>
      <c r="Q405">
        <v>36</v>
      </c>
      <c r="R405">
        <v>3</v>
      </c>
      <c r="S405" t="s">
        <v>126</v>
      </c>
      <c r="T405" t="s">
        <v>127</v>
      </c>
      <c r="U405">
        <v>9</v>
      </c>
      <c r="V405">
        <v>9</v>
      </c>
      <c r="W405">
        <v>9</v>
      </c>
      <c r="X405">
        <v>8</v>
      </c>
      <c r="Y405">
        <v>2</v>
      </c>
      <c r="Z405">
        <v>7</v>
      </c>
      <c r="AA405">
        <v>2.9285709999999998</v>
      </c>
      <c r="AB405">
        <v>20.5</v>
      </c>
      <c r="AC405" t="s">
        <v>59</v>
      </c>
      <c r="AD405" t="s">
        <v>60</v>
      </c>
      <c r="AE405">
        <v>3</v>
      </c>
      <c r="AF405">
        <v>0</v>
      </c>
      <c r="AG405">
        <v>0</v>
      </c>
      <c r="AH405">
        <v>1</v>
      </c>
      <c r="AI405">
        <v>0</v>
      </c>
      <c r="AJ405">
        <v>1</v>
      </c>
      <c r="AK405">
        <v>1</v>
      </c>
      <c r="AL405">
        <v>0</v>
      </c>
      <c r="AM405">
        <v>1</v>
      </c>
      <c r="AN405">
        <v>0</v>
      </c>
      <c r="AO405">
        <v>7</v>
      </c>
      <c r="AP405">
        <v>0</v>
      </c>
      <c r="AQ405">
        <v>100</v>
      </c>
      <c r="AR405" s="2">
        <v>45784.387939814813</v>
      </c>
      <c r="AS405" s="2">
        <v>46070.297118055554</v>
      </c>
      <c r="AT405" t="s">
        <v>1357</v>
      </c>
      <c r="AU405" t="s">
        <v>62</v>
      </c>
      <c r="AV405">
        <v>286</v>
      </c>
    </row>
    <row r="406" spans="1:48" x14ac:dyDescent="0.25">
      <c r="A406">
        <v>404</v>
      </c>
      <c r="B406" t="s">
        <v>1757</v>
      </c>
      <c r="C406" t="s">
        <v>369</v>
      </c>
      <c r="D406" t="s">
        <v>365</v>
      </c>
      <c r="E406" t="s">
        <v>1758</v>
      </c>
      <c r="F406" t="s">
        <v>1759</v>
      </c>
      <c r="G406" t="s">
        <v>53</v>
      </c>
      <c r="H406" s="1">
        <v>39366</v>
      </c>
      <c r="I406">
        <v>19</v>
      </c>
      <c r="J406">
        <v>2007</v>
      </c>
      <c r="K406" s="1">
        <v>44919</v>
      </c>
      <c r="L406">
        <v>2022</v>
      </c>
      <c r="M406" t="s">
        <v>54</v>
      </c>
      <c r="N406">
        <v>18</v>
      </c>
      <c r="O406" t="s">
        <v>139</v>
      </c>
      <c r="P406" t="s">
        <v>69</v>
      </c>
      <c r="Q406">
        <v>60</v>
      </c>
      <c r="R406">
        <v>6</v>
      </c>
      <c r="S406" t="s">
        <v>140</v>
      </c>
      <c r="T406" t="s">
        <v>141</v>
      </c>
      <c r="U406">
        <v>9</v>
      </c>
      <c r="V406">
        <v>9</v>
      </c>
      <c r="W406">
        <v>9</v>
      </c>
      <c r="X406">
        <v>9</v>
      </c>
      <c r="Y406">
        <v>2</v>
      </c>
      <c r="Z406">
        <v>5</v>
      </c>
      <c r="AA406">
        <v>3.1</v>
      </c>
      <c r="AB406">
        <v>15.5</v>
      </c>
      <c r="AC406" t="s">
        <v>59</v>
      </c>
      <c r="AD406" t="s">
        <v>60</v>
      </c>
      <c r="AE406">
        <v>3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1</v>
      </c>
      <c r="AN406">
        <v>0</v>
      </c>
      <c r="AO406">
        <v>5</v>
      </c>
      <c r="AP406">
        <v>0</v>
      </c>
      <c r="AQ406">
        <v>100</v>
      </c>
      <c r="AR406" s="2">
        <v>45762.639618055553</v>
      </c>
      <c r="AS406" s="2">
        <v>46075.259629629632</v>
      </c>
      <c r="AT406" t="s">
        <v>1357</v>
      </c>
      <c r="AU406" t="s">
        <v>62</v>
      </c>
      <c r="AV406">
        <v>313</v>
      </c>
    </row>
    <row r="407" spans="1:48" x14ac:dyDescent="0.25">
      <c r="A407">
        <v>312</v>
      </c>
      <c r="B407" t="s">
        <v>1760</v>
      </c>
      <c r="C407" t="s">
        <v>1738</v>
      </c>
      <c r="D407" t="s">
        <v>1761</v>
      </c>
      <c r="E407" t="s">
        <v>1762</v>
      </c>
      <c r="F407" t="s">
        <v>1763</v>
      </c>
      <c r="G407" t="s">
        <v>53</v>
      </c>
      <c r="H407" s="1">
        <v>34971</v>
      </c>
      <c r="I407">
        <v>31</v>
      </c>
      <c r="J407">
        <v>1995</v>
      </c>
      <c r="K407" s="1">
        <v>44874</v>
      </c>
      <c r="L407">
        <v>2022</v>
      </c>
      <c r="M407" t="s">
        <v>111</v>
      </c>
      <c r="N407">
        <v>3</v>
      </c>
      <c r="O407" t="s">
        <v>68</v>
      </c>
      <c r="P407" t="s">
        <v>69</v>
      </c>
      <c r="Q407">
        <v>60</v>
      </c>
      <c r="R407">
        <v>1</v>
      </c>
      <c r="S407" t="s">
        <v>57</v>
      </c>
      <c r="T407" t="s">
        <v>58</v>
      </c>
      <c r="U407">
        <v>9</v>
      </c>
      <c r="V407">
        <v>9</v>
      </c>
      <c r="W407">
        <v>9</v>
      </c>
      <c r="X407">
        <v>9</v>
      </c>
      <c r="Y407">
        <v>2</v>
      </c>
      <c r="Z407">
        <v>6</v>
      </c>
      <c r="AA407">
        <v>2.9166660000000002</v>
      </c>
      <c r="AB407">
        <v>17.5</v>
      </c>
      <c r="AC407" t="s">
        <v>540</v>
      </c>
      <c r="AD407" t="s">
        <v>60</v>
      </c>
      <c r="AE407">
        <v>1</v>
      </c>
      <c r="AF407">
        <v>0</v>
      </c>
      <c r="AG407">
        <v>1</v>
      </c>
      <c r="AH407">
        <v>1</v>
      </c>
      <c r="AI407">
        <v>0</v>
      </c>
      <c r="AJ407">
        <v>2</v>
      </c>
      <c r="AK407">
        <v>1</v>
      </c>
      <c r="AL407">
        <v>0</v>
      </c>
      <c r="AM407">
        <v>0</v>
      </c>
      <c r="AN407">
        <v>0</v>
      </c>
      <c r="AO407">
        <v>6</v>
      </c>
      <c r="AP407">
        <v>0</v>
      </c>
      <c r="AQ407">
        <v>100</v>
      </c>
      <c r="AR407" s="2">
        <v>45843.86922453704</v>
      </c>
      <c r="AS407" s="2">
        <v>46058.339629629627</v>
      </c>
      <c r="AT407" t="s">
        <v>1357</v>
      </c>
      <c r="AU407" t="s">
        <v>62</v>
      </c>
      <c r="AV407">
        <v>215</v>
      </c>
    </row>
    <row r="408" spans="1:48" x14ac:dyDescent="0.25">
      <c r="A408">
        <v>65</v>
      </c>
      <c r="B408" t="s">
        <v>1764</v>
      </c>
      <c r="C408" t="s">
        <v>1414</v>
      </c>
      <c r="D408" t="s">
        <v>404</v>
      </c>
      <c r="E408" t="s">
        <v>1765</v>
      </c>
      <c r="F408" t="s">
        <v>1766</v>
      </c>
      <c r="G408" t="s">
        <v>53</v>
      </c>
      <c r="H408" s="1">
        <v>38392</v>
      </c>
      <c r="I408">
        <v>21</v>
      </c>
      <c r="J408">
        <v>2005</v>
      </c>
      <c r="K408" s="1">
        <v>45047</v>
      </c>
      <c r="L408">
        <v>2023</v>
      </c>
      <c r="M408" t="s">
        <v>54</v>
      </c>
      <c r="N408">
        <v>15</v>
      </c>
      <c r="O408" t="s">
        <v>91</v>
      </c>
      <c r="P408" t="s">
        <v>69</v>
      </c>
      <c r="Q408">
        <v>60</v>
      </c>
      <c r="R408">
        <v>5</v>
      </c>
      <c r="S408" t="s">
        <v>92</v>
      </c>
      <c r="T408" t="s">
        <v>93</v>
      </c>
      <c r="U408">
        <v>9</v>
      </c>
      <c r="V408">
        <v>9</v>
      </c>
      <c r="W408">
        <v>9</v>
      </c>
      <c r="X408">
        <v>7</v>
      </c>
      <c r="Y408">
        <v>2</v>
      </c>
      <c r="Z408">
        <v>9</v>
      </c>
      <c r="AA408">
        <v>2.555555</v>
      </c>
      <c r="AB408">
        <v>23</v>
      </c>
      <c r="AC408" t="s">
        <v>59</v>
      </c>
      <c r="AD408" t="s">
        <v>281</v>
      </c>
      <c r="AE408">
        <v>0</v>
      </c>
      <c r="AF408">
        <v>0</v>
      </c>
      <c r="AG408">
        <v>3</v>
      </c>
      <c r="AH408">
        <v>0</v>
      </c>
      <c r="AI408">
        <v>0</v>
      </c>
      <c r="AJ408">
        <v>3</v>
      </c>
      <c r="AK408">
        <v>2</v>
      </c>
      <c r="AL408">
        <v>0</v>
      </c>
      <c r="AM408">
        <v>1</v>
      </c>
      <c r="AN408">
        <v>0</v>
      </c>
      <c r="AO408">
        <v>9</v>
      </c>
      <c r="AP408">
        <v>0</v>
      </c>
      <c r="AQ408">
        <v>100</v>
      </c>
      <c r="AR408" s="2">
        <v>45816.718252314815</v>
      </c>
      <c r="AS408" s="2">
        <v>46050.493090277778</v>
      </c>
      <c r="AT408" t="s">
        <v>61</v>
      </c>
      <c r="AU408" t="s">
        <v>62</v>
      </c>
      <c r="AV408">
        <v>234</v>
      </c>
    </row>
    <row r="409" spans="1:48" x14ac:dyDescent="0.25">
      <c r="A409">
        <v>21</v>
      </c>
      <c r="B409" t="s">
        <v>1767</v>
      </c>
      <c r="C409" t="s">
        <v>1768</v>
      </c>
      <c r="D409" t="s">
        <v>1769</v>
      </c>
      <c r="E409" t="s">
        <v>1770</v>
      </c>
      <c r="F409" t="s">
        <v>1771</v>
      </c>
      <c r="G409" t="s">
        <v>104</v>
      </c>
      <c r="H409" s="1">
        <v>35626</v>
      </c>
      <c r="I409">
        <v>29</v>
      </c>
      <c r="J409">
        <v>1997</v>
      </c>
      <c r="K409" s="1">
        <v>45005</v>
      </c>
      <c r="L409">
        <v>2023</v>
      </c>
      <c r="M409" t="s">
        <v>54</v>
      </c>
      <c r="N409">
        <v>6</v>
      </c>
      <c r="O409" t="s">
        <v>133</v>
      </c>
      <c r="P409" t="s">
        <v>69</v>
      </c>
      <c r="Q409">
        <v>60</v>
      </c>
      <c r="R409">
        <v>2</v>
      </c>
      <c r="S409" t="s">
        <v>85</v>
      </c>
      <c r="T409" t="s">
        <v>86</v>
      </c>
      <c r="U409">
        <v>9</v>
      </c>
      <c r="V409">
        <v>9</v>
      </c>
      <c r="W409">
        <v>9</v>
      </c>
      <c r="X409">
        <v>9</v>
      </c>
      <c r="Y409">
        <v>2</v>
      </c>
      <c r="Z409">
        <v>7</v>
      </c>
      <c r="AA409">
        <v>2.071428</v>
      </c>
      <c r="AB409">
        <v>14.5</v>
      </c>
      <c r="AC409" t="s">
        <v>70</v>
      </c>
      <c r="AD409" t="s">
        <v>60</v>
      </c>
      <c r="AE409">
        <v>1</v>
      </c>
      <c r="AF409">
        <v>0</v>
      </c>
      <c r="AG409">
        <v>2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1</v>
      </c>
      <c r="AN409">
        <v>2</v>
      </c>
      <c r="AO409">
        <v>5</v>
      </c>
      <c r="AP409">
        <v>2</v>
      </c>
      <c r="AQ409">
        <v>71.428571428571004</v>
      </c>
      <c r="AR409" s="2">
        <v>45743.334409722222</v>
      </c>
      <c r="AS409" s="2">
        <v>46067.606469907405</v>
      </c>
      <c r="AT409" t="s">
        <v>1357</v>
      </c>
      <c r="AU409" t="s">
        <v>62</v>
      </c>
      <c r="AV409">
        <v>324</v>
      </c>
    </row>
    <row r="410" spans="1:48" x14ac:dyDescent="0.25">
      <c r="A410">
        <v>29</v>
      </c>
      <c r="B410" t="s">
        <v>1772</v>
      </c>
      <c r="C410" t="s">
        <v>1773</v>
      </c>
      <c r="D410" t="s">
        <v>962</v>
      </c>
      <c r="E410" t="s">
        <v>1774</v>
      </c>
      <c r="F410" t="s">
        <v>1775</v>
      </c>
      <c r="G410" t="s">
        <v>104</v>
      </c>
      <c r="H410" s="1">
        <v>38717</v>
      </c>
      <c r="I410">
        <v>21</v>
      </c>
      <c r="J410">
        <v>2005</v>
      </c>
      <c r="K410" s="1">
        <v>45057</v>
      </c>
      <c r="L410">
        <v>2023</v>
      </c>
      <c r="M410" t="s">
        <v>54</v>
      </c>
      <c r="N410">
        <v>13</v>
      </c>
      <c r="O410" t="s">
        <v>146</v>
      </c>
      <c r="P410" t="s">
        <v>119</v>
      </c>
      <c r="Q410">
        <v>120</v>
      </c>
      <c r="R410">
        <v>5</v>
      </c>
      <c r="S410" t="s">
        <v>92</v>
      </c>
      <c r="T410" t="s">
        <v>93</v>
      </c>
      <c r="U410">
        <v>9</v>
      </c>
      <c r="V410">
        <v>9</v>
      </c>
      <c r="W410">
        <v>9</v>
      </c>
      <c r="X410">
        <v>9</v>
      </c>
      <c r="Y410">
        <v>2</v>
      </c>
      <c r="Z410">
        <v>6</v>
      </c>
      <c r="AA410">
        <v>1.3333330000000001</v>
      </c>
      <c r="AB410">
        <v>8</v>
      </c>
      <c r="AC410" t="s">
        <v>70</v>
      </c>
      <c r="AD410" t="s">
        <v>112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1</v>
      </c>
      <c r="AL410">
        <v>0</v>
      </c>
      <c r="AM410">
        <v>3</v>
      </c>
      <c r="AN410">
        <v>1</v>
      </c>
      <c r="AO410">
        <v>5</v>
      </c>
      <c r="AP410">
        <v>1</v>
      </c>
      <c r="AQ410">
        <v>83.333333333333002</v>
      </c>
      <c r="AR410" s="2">
        <v>45832.131585648145</v>
      </c>
      <c r="AS410" s="2">
        <v>46084.818495370368</v>
      </c>
      <c r="AT410" t="s">
        <v>1357</v>
      </c>
      <c r="AU410" t="s">
        <v>62</v>
      </c>
      <c r="AV410">
        <v>252</v>
      </c>
    </row>
    <row r="411" spans="1:48" x14ac:dyDescent="0.25">
      <c r="A411">
        <v>733</v>
      </c>
      <c r="B411" t="s">
        <v>1776</v>
      </c>
      <c r="C411" t="s">
        <v>725</v>
      </c>
      <c r="D411" t="s">
        <v>459</v>
      </c>
      <c r="E411" t="s">
        <v>1777</v>
      </c>
      <c r="F411" t="s">
        <v>1778</v>
      </c>
      <c r="G411" t="s">
        <v>53</v>
      </c>
      <c r="H411" s="1">
        <v>39283</v>
      </c>
      <c r="I411">
        <v>19</v>
      </c>
      <c r="J411">
        <v>2007</v>
      </c>
      <c r="K411" s="1">
        <v>44658</v>
      </c>
      <c r="L411">
        <v>2022</v>
      </c>
      <c r="M411" t="s">
        <v>54</v>
      </c>
      <c r="N411">
        <v>20</v>
      </c>
      <c r="O411" t="s">
        <v>180</v>
      </c>
      <c r="P411" t="s">
        <v>56</v>
      </c>
      <c r="Q411">
        <v>36</v>
      </c>
      <c r="R411">
        <v>7</v>
      </c>
      <c r="S411" t="s">
        <v>163</v>
      </c>
      <c r="T411" t="s">
        <v>164</v>
      </c>
      <c r="U411">
        <v>9</v>
      </c>
      <c r="V411">
        <v>9</v>
      </c>
      <c r="W411">
        <v>9</v>
      </c>
      <c r="X411">
        <v>9</v>
      </c>
      <c r="Y411">
        <v>2</v>
      </c>
      <c r="Z411">
        <v>8</v>
      </c>
      <c r="AA411">
        <v>2.0625</v>
      </c>
      <c r="AB411">
        <v>16.5</v>
      </c>
      <c r="AC411" t="s">
        <v>70</v>
      </c>
      <c r="AD411" t="s">
        <v>60</v>
      </c>
      <c r="AE411">
        <v>2</v>
      </c>
      <c r="AF411">
        <v>0</v>
      </c>
      <c r="AG411">
        <v>0</v>
      </c>
      <c r="AH411">
        <v>0</v>
      </c>
      <c r="AI411">
        <v>0</v>
      </c>
      <c r="AJ411">
        <v>1</v>
      </c>
      <c r="AK411">
        <v>3</v>
      </c>
      <c r="AL411">
        <v>0</v>
      </c>
      <c r="AM411">
        <v>0</v>
      </c>
      <c r="AN411">
        <v>2</v>
      </c>
      <c r="AO411">
        <v>6</v>
      </c>
      <c r="AP411">
        <v>2</v>
      </c>
      <c r="AQ411">
        <v>75</v>
      </c>
      <c r="AR411" s="2">
        <v>45768.754212962966</v>
      </c>
      <c r="AS411" s="2">
        <v>45991.595636574071</v>
      </c>
      <c r="AT411" t="s">
        <v>61</v>
      </c>
      <c r="AU411" t="s">
        <v>1357</v>
      </c>
      <c r="AV411">
        <v>223</v>
      </c>
    </row>
    <row r="412" spans="1:48" x14ac:dyDescent="0.25">
      <c r="A412">
        <v>575</v>
      </c>
      <c r="B412" t="s">
        <v>1779</v>
      </c>
      <c r="C412" t="s">
        <v>595</v>
      </c>
      <c r="D412" t="s">
        <v>1780</v>
      </c>
      <c r="E412" t="s">
        <v>1781</v>
      </c>
      <c r="F412" t="s">
        <v>1782</v>
      </c>
      <c r="G412" t="s">
        <v>104</v>
      </c>
      <c r="H412" s="1">
        <v>35138</v>
      </c>
      <c r="I412">
        <v>30</v>
      </c>
      <c r="J412">
        <v>1996</v>
      </c>
      <c r="K412" s="1">
        <v>44737</v>
      </c>
      <c r="L412">
        <v>2022</v>
      </c>
      <c r="M412" t="s">
        <v>54</v>
      </c>
      <c r="N412">
        <v>17</v>
      </c>
      <c r="O412" t="s">
        <v>350</v>
      </c>
      <c r="P412" t="s">
        <v>56</v>
      </c>
      <c r="Q412">
        <v>36</v>
      </c>
      <c r="R412">
        <v>6</v>
      </c>
      <c r="S412" t="s">
        <v>140</v>
      </c>
      <c r="T412" t="s">
        <v>141</v>
      </c>
      <c r="U412">
        <v>9</v>
      </c>
      <c r="V412">
        <v>9</v>
      </c>
      <c r="W412">
        <v>9</v>
      </c>
      <c r="X412">
        <v>9</v>
      </c>
      <c r="Y412">
        <v>2</v>
      </c>
      <c r="Z412">
        <v>9</v>
      </c>
      <c r="AA412">
        <v>2.1666660000000002</v>
      </c>
      <c r="AB412">
        <v>19.5</v>
      </c>
      <c r="AC412" t="s">
        <v>70</v>
      </c>
      <c r="AD412" t="s">
        <v>60</v>
      </c>
      <c r="AE412">
        <v>1</v>
      </c>
      <c r="AF412">
        <v>0</v>
      </c>
      <c r="AG412">
        <v>1</v>
      </c>
      <c r="AH412">
        <v>2</v>
      </c>
      <c r="AI412">
        <v>0</v>
      </c>
      <c r="AJ412">
        <v>0</v>
      </c>
      <c r="AK412">
        <v>3</v>
      </c>
      <c r="AL412">
        <v>0</v>
      </c>
      <c r="AM412">
        <v>0</v>
      </c>
      <c r="AN412">
        <v>2</v>
      </c>
      <c r="AO412">
        <v>7</v>
      </c>
      <c r="AP412">
        <v>2</v>
      </c>
      <c r="AQ412">
        <v>77.777777777777004</v>
      </c>
      <c r="AR412" s="2">
        <v>45743.149583333332</v>
      </c>
      <c r="AS412" s="2">
        <v>46066.042430555557</v>
      </c>
      <c r="AT412" t="s">
        <v>61</v>
      </c>
      <c r="AU412" t="s">
        <v>62</v>
      </c>
      <c r="AV412">
        <v>323</v>
      </c>
    </row>
    <row r="413" spans="1:48" x14ac:dyDescent="0.25">
      <c r="A413">
        <v>56</v>
      </c>
      <c r="B413" t="s">
        <v>1783</v>
      </c>
      <c r="C413" t="s">
        <v>1784</v>
      </c>
      <c r="D413" t="s">
        <v>1024</v>
      </c>
      <c r="E413" t="s">
        <v>1785</v>
      </c>
      <c r="F413">
        <v>6202539502</v>
      </c>
      <c r="G413" t="s">
        <v>53</v>
      </c>
      <c r="H413" s="1">
        <v>35364</v>
      </c>
      <c r="I413">
        <v>30</v>
      </c>
      <c r="J413">
        <v>1996</v>
      </c>
      <c r="K413" s="1">
        <v>45240</v>
      </c>
      <c r="L413">
        <v>2023</v>
      </c>
      <c r="M413" t="s">
        <v>54</v>
      </c>
      <c r="N413">
        <v>1</v>
      </c>
      <c r="O413" t="s">
        <v>157</v>
      </c>
      <c r="P413" t="s">
        <v>119</v>
      </c>
      <c r="Q413">
        <v>120</v>
      </c>
      <c r="R413">
        <v>1</v>
      </c>
      <c r="S413" t="s">
        <v>57</v>
      </c>
      <c r="T413" t="s">
        <v>58</v>
      </c>
      <c r="U413">
        <v>9</v>
      </c>
      <c r="V413">
        <v>9</v>
      </c>
      <c r="W413">
        <v>9</v>
      </c>
      <c r="X413">
        <v>8</v>
      </c>
      <c r="Y413">
        <v>3</v>
      </c>
      <c r="Z413">
        <v>8</v>
      </c>
      <c r="AA413">
        <v>2.3125</v>
      </c>
      <c r="AB413">
        <v>18.5</v>
      </c>
      <c r="AC413" t="s">
        <v>70</v>
      </c>
      <c r="AD413" t="s">
        <v>60</v>
      </c>
      <c r="AE413">
        <v>1</v>
      </c>
      <c r="AF413">
        <v>0</v>
      </c>
      <c r="AG413">
        <v>3</v>
      </c>
      <c r="AH413">
        <v>0</v>
      </c>
      <c r="AI413">
        <v>0</v>
      </c>
      <c r="AJ413">
        <v>0</v>
      </c>
      <c r="AK413">
        <v>1</v>
      </c>
      <c r="AL413">
        <v>0</v>
      </c>
      <c r="AM413">
        <v>2</v>
      </c>
      <c r="AN413">
        <v>1</v>
      </c>
      <c r="AO413">
        <v>7</v>
      </c>
      <c r="AP413">
        <v>1</v>
      </c>
      <c r="AQ413">
        <v>87.5</v>
      </c>
      <c r="AR413" s="2">
        <v>45758.059548611112</v>
      </c>
      <c r="AS413" s="2">
        <v>46017.672337962962</v>
      </c>
      <c r="AT413" t="s">
        <v>61</v>
      </c>
      <c r="AU413" t="s">
        <v>62</v>
      </c>
      <c r="AV413">
        <v>259</v>
      </c>
    </row>
    <row r="414" spans="1:48" x14ac:dyDescent="0.25">
      <c r="A414">
        <v>741</v>
      </c>
      <c r="B414" t="s">
        <v>1786</v>
      </c>
      <c r="C414" t="s">
        <v>1302</v>
      </c>
      <c r="D414" t="s">
        <v>1670</v>
      </c>
      <c r="E414" t="s">
        <v>1787</v>
      </c>
      <c r="F414" t="s">
        <v>1788</v>
      </c>
      <c r="G414" t="s">
        <v>53</v>
      </c>
      <c r="H414" s="1">
        <v>35475</v>
      </c>
      <c r="I414">
        <v>29</v>
      </c>
      <c r="J414">
        <v>1997</v>
      </c>
      <c r="K414" s="1">
        <v>45514</v>
      </c>
      <c r="L414">
        <v>2024</v>
      </c>
      <c r="M414" t="s">
        <v>54</v>
      </c>
      <c r="N414">
        <v>16</v>
      </c>
      <c r="O414" t="s">
        <v>280</v>
      </c>
      <c r="P414" t="s">
        <v>119</v>
      </c>
      <c r="Q414">
        <v>120</v>
      </c>
      <c r="R414">
        <v>6</v>
      </c>
      <c r="S414" t="s">
        <v>140</v>
      </c>
      <c r="T414" t="s">
        <v>141</v>
      </c>
      <c r="U414">
        <v>8</v>
      </c>
      <c r="V414">
        <v>9</v>
      </c>
      <c r="W414">
        <v>9</v>
      </c>
      <c r="X414">
        <v>9</v>
      </c>
      <c r="Y414">
        <v>2</v>
      </c>
      <c r="Z414">
        <v>6</v>
      </c>
      <c r="AA414">
        <v>2.0833330000000001</v>
      </c>
      <c r="AB414">
        <v>12.5</v>
      </c>
      <c r="AC414" t="s">
        <v>59</v>
      </c>
      <c r="AD414" t="s">
        <v>60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1</v>
      </c>
      <c r="AK414">
        <v>2</v>
      </c>
      <c r="AL414">
        <v>0</v>
      </c>
      <c r="AM414">
        <v>2</v>
      </c>
      <c r="AN414">
        <v>0</v>
      </c>
      <c r="AO414">
        <v>6</v>
      </c>
      <c r="AP414">
        <v>0</v>
      </c>
      <c r="AQ414">
        <v>100</v>
      </c>
      <c r="AR414" s="2">
        <v>45771.428622685184</v>
      </c>
      <c r="AS414" s="2">
        <v>46079.844664351855</v>
      </c>
      <c r="AT414" t="s">
        <v>61</v>
      </c>
      <c r="AU414" t="s">
        <v>1357</v>
      </c>
      <c r="AV414">
        <v>308</v>
      </c>
    </row>
    <row r="415" spans="1:48" x14ac:dyDescent="0.25">
      <c r="A415">
        <v>201</v>
      </c>
      <c r="B415" t="s">
        <v>1789</v>
      </c>
      <c r="C415" t="s">
        <v>129</v>
      </c>
      <c r="D415" t="s">
        <v>375</v>
      </c>
      <c r="E415" t="s">
        <v>1790</v>
      </c>
      <c r="F415" t="s">
        <v>1791</v>
      </c>
      <c r="G415" t="s">
        <v>53</v>
      </c>
      <c r="H415" s="1">
        <v>35475</v>
      </c>
      <c r="I415">
        <v>29</v>
      </c>
      <c r="J415">
        <v>1997</v>
      </c>
      <c r="K415" s="1">
        <v>45743</v>
      </c>
      <c r="L415">
        <v>2025</v>
      </c>
      <c r="M415" t="s">
        <v>225</v>
      </c>
      <c r="N415">
        <v>10</v>
      </c>
      <c r="O415" t="s">
        <v>118</v>
      </c>
      <c r="P415" t="s">
        <v>119</v>
      </c>
      <c r="Q415">
        <v>120</v>
      </c>
      <c r="R415">
        <v>4</v>
      </c>
      <c r="S415" t="s">
        <v>77</v>
      </c>
      <c r="T415" t="s">
        <v>78</v>
      </c>
      <c r="U415">
        <v>9</v>
      </c>
      <c r="V415">
        <v>9</v>
      </c>
      <c r="W415">
        <v>9</v>
      </c>
      <c r="X415">
        <v>9</v>
      </c>
      <c r="Y415">
        <v>2</v>
      </c>
      <c r="Z415">
        <v>7</v>
      </c>
      <c r="AA415">
        <v>1.285714</v>
      </c>
      <c r="AB415">
        <v>9</v>
      </c>
      <c r="AC415" t="s">
        <v>70</v>
      </c>
      <c r="AD415" t="s">
        <v>1061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</v>
      </c>
      <c r="AK415">
        <v>1</v>
      </c>
      <c r="AL415">
        <v>0</v>
      </c>
      <c r="AM415">
        <v>2</v>
      </c>
      <c r="AN415">
        <v>2</v>
      </c>
      <c r="AO415">
        <v>5</v>
      </c>
      <c r="AP415">
        <v>2</v>
      </c>
      <c r="AQ415">
        <v>71.428571428571004</v>
      </c>
      <c r="AR415" s="2">
        <v>45721.605439814812</v>
      </c>
      <c r="AS415" s="2">
        <v>46061.83289351852</v>
      </c>
      <c r="AT415" t="s">
        <v>1357</v>
      </c>
      <c r="AU415" t="s">
        <v>62</v>
      </c>
      <c r="AV415">
        <v>340</v>
      </c>
    </row>
    <row r="416" spans="1:48" x14ac:dyDescent="0.25">
      <c r="A416">
        <v>901</v>
      </c>
      <c r="B416" t="s">
        <v>1792</v>
      </c>
      <c r="C416" t="s">
        <v>399</v>
      </c>
      <c r="D416" t="s">
        <v>1793</v>
      </c>
      <c r="E416" t="s">
        <v>1794</v>
      </c>
      <c r="F416" t="s">
        <v>1795</v>
      </c>
      <c r="G416" t="s">
        <v>104</v>
      </c>
      <c r="H416" s="1">
        <v>39193</v>
      </c>
      <c r="I416">
        <v>19</v>
      </c>
      <c r="J416">
        <v>2007</v>
      </c>
      <c r="K416" s="1">
        <v>45177</v>
      </c>
      <c r="L416">
        <v>2023</v>
      </c>
      <c r="M416" t="s">
        <v>54</v>
      </c>
      <c r="N416">
        <v>1</v>
      </c>
      <c r="O416" t="s">
        <v>157</v>
      </c>
      <c r="P416" t="s">
        <v>119</v>
      </c>
      <c r="Q416">
        <v>120</v>
      </c>
      <c r="R416">
        <v>1</v>
      </c>
      <c r="S416" t="s">
        <v>57</v>
      </c>
      <c r="T416" t="s">
        <v>58</v>
      </c>
      <c r="U416">
        <v>9</v>
      </c>
      <c r="V416">
        <v>9</v>
      </c>
      <c r="W416">
        <v>9</v>
      </c>
      <c r="X416">
        <v>9</v>
      </c>
      <c r="Y416">
        <v>2</v>
      </c>
      <c r="Z416">
        <v>9</v>
      </c>
      <c r="AA416">
        <v>2.3888880000000001</v>
      </c>
      <c r="AB416">
        <v>21.5</v>
      </c>
      <c r="AC416" t="s">
        <v>70</v>
      </c>
      <c r="AD416" t="s">
        <v>60</v>
      </c>
      <c r="AE416">
        <v>2</v>
      </c>
      <c r="AF416">
        <v>0</v>
      </c>
      <c r="AG416">
        <v>1</v>
      </c>
      <c r="AH416">
        <v>1</v>
      </c>
      <c r="AI416">
        <v>0</v>
      </c>
      <c r="AJ416">
        <v>0</v>
      </c>
      <c r="AK416">
        <v>3</v>
      </c>
      <c r="AL416">
        <v>0</v>
      </c>
      <c r="AM416">
        <v>1</v>
      </c>
      <c r="AN416">
        <v>1</v>
      </c>
      <c r="AO416">
        <v>8</v>
      </c>
      <c r="AP416">
        <v>1</v>
      </c>
      <c r="AQ416">
        <v>88.888888888888005</v>
      </c>
      <c r="AR416" s="2">
        <v>45738.739074074074</v>
      </c>
      <c r="AS416" s="2">
        <v>46054.412662037037</v>
      </c>
      <c r="AT416" t="s">
        <v>61</v>
      </c>
      <c r="AU416" t="s">
        <v>62</v>
      </c>
      <c r="AV416">
        <v>316</v>
      </c>
    </row>
    <row r="417" spans="1:48" x14ac:dyDescent="0.25">
      <c r="A417">
        <v>191</v>
      </c>
      <c r="B417" t="s">
        <v>1796</v>
      </c>
      <c r="C417" t="s">
        <v>64</v>
      </c>
      <c r="D417" t="s">
        <v>1797</v>
      </c>
      <c r="E417" t="s">
        <v>1798</v>
      </c>
      <c r="F417" t="s">
        <v>1799</v>
      </c>
      <c r="G417" t="s">
        <v>53</v>
      </c>
      <c r="H417" s="1">
        <v>39456</v>
      </c>
      <c r="I417">
        <v>18</v>
      </c>
      <c r="J417">
        <v>2008</v>
      </c>
      <c r="K417" s="1">
        <v>45261</v>
      </c>
      <c r="L417">
        <v>2023</v>
      </c>
      <c r="M417" t="s">
        <v>54</v>
      </c>
      <c r="N417">
        <v>3</v>
      </c>
      <c r="O417" t="s">
        <v>68</v>
      </c>
      <c r="P417" t="s">
        <v>69</v>
      </c>
      <c r="Q417">
        <v>60</v>
      </c>
      <c r="R417">
        <v>1</v>
      </c>
      <c r="S417" t="s">
        <v>57</v>
      </c>
      <c r="T417" t="s">
        <v>58</v>
      </c>
      <c r="U417">
        <v>8</v>
      </c>
      <c r="V417">
        <v>9</v>
      </c>
      <c r="W417">
        <v>9</v>
      </c>
      <c r="X417">
        <v>8</v>
      </c>
      <c r="Y417">
        <v>3</v>
      </c>
      <c r="Z417">
        <v>8</v>
      </c>
      <c r="AA417">
        <v>1.875</v>
      </c>
      <c r="AB417">
        <v>15</v>
      </c>
      <c r="AC417" t="s">
        <v>70</v>
      </c>
      <c r="AD417" t="s">
        <v>60</v>
      </c>
      <c r="AE417">
        <v>1</v>
      </c>
      <c r="AF417">
        <v>0</v>
      </c>
      <c r="AG417">
        <v>1</v>
      </c>
      <c r="AH417">
        <v>1</v>
      </c>
      <c r="AI417">
        <v>0</v>
      </c>
      <c r="AJ417">
        <v>1</v>
      </c>
      <c r="AK417">
        <v>0</v>
      </c>
      <c r="AL417">
        <v>0</v>
      </c>
      <c r="AM417">
        <v>2</v>
      </c>
      <c r="AN417">
        <v>2</v>
      </c>
      <c r="AO417">
        <v>6</v>
      </c>
      <c r="AP417">
        <v>2</v>
      </c>
      <c r="AQ417">
        <v>75</v>
      </c>
      <c r="AR417" s="2">
        <v>45737.951354166667</v>
      </c>
      <c r="AS417" s="2">
        <v>46050.703657407408</v>
      </c>
      <c r="AT417" t="s">
        <v>61</v>
      </c>
      <c r="AU417" t="s">
        <v>62</v>
      </c>
      <c r="AV417">
        <v>313</v>
      </c>
    </row>
    <row r="418" spans="1:48" x14ac:dyDescent="0.25">
      <c r="A418">
        <v>993</v>
      </c>
      <c r="B418" t="s">
        <v>1800</v>
      </c>
      <c r="C418" t="s">
        <v>135</v>
      </c>
      <c r="D418" t="s">
        <v>936</v>
      </c>
      <c r="E418" t="s">
        <v>1801</v>
      </c>
      <c r="F418" t="s">
        <v>1802</v>
      </c>
      <c r="G418" t="s">
        <v>53</v>
      </c>
      <c r="H418" s="1">
        <v>35886</v>
      </c>
      <c r="I418">
        <v>28</v>
      </c>
      <c r="J418">
        <v>1998</v>
      </c>
      <c r="K418" s="1">
        <v>44924</v>
      </c>
      <c r="L418">
        <v>2022</v>
      </c>
      <c r="M418" t="s">
        <v>54</v>
      </c>
      <c r="N418">
        <v>4</v>
      </c>
      <c r="O418" t="s">
        <v>215</v>
      </c>
      <c r="P418" t="s">
        <v>119</v>
      </c>
      <c r="Q418">
        <v>120</v>
      </c>
      <c r="R418">
        <v>2</v>
      </c>
      <c r="S418" t="s">
        <v>85</v>
      </c>
      <c r="T418" t="s">
        <v>86</v>
      </c>
      <c r="U418">
        <v>9</v>
      </c>
      <c r="V418">
        <v>9</v>
      </c>
      <c r="W418">
        <v>9</v>
      </c>
      <c r="X418">
        <v>8</v>
      </c>
      <c r="Y418">
        <v>2</v>
      </c>
      <c r="Z418">
        <v>9</v>
      </c>
      <c r="AA418">
        <v>1.7222219999999999</v>
      </c>
      <c r="AB418">
        <v>15.5</v>
      </c>
      <c r="AC418" t="s">
        <v>70</v>
      </c>
      <c r="AD418" t="s">
        <v>112</v>
      </c>
      <c r="AE418">
        <v>0</v>
      </c>
      <c r="AF418">
        <v>0</v>
      </c>
      <c r="AG418">
        <v>1</v>
      </c>
      <c r="AH418">
        <v>1</v>
      </c>
      <c r="AI418">
        <v>0</v>
      </c>
      <c r="AJ418">
        <v>2</v>
      </c>
      <c r="AK418">
        <v>1</v>
      </c>
      <c r="AL418">
        <v>0</v>
      </c>
      <c r="AM418">
        <v>2</v>
      </c>
      <c r="AN418">
        <v>2</v>
      </c>
      <c r="AO418">
        <v>7</v>
      </c>
      <c r="AP418">
        <v>2</v>
      </c>
      <c r="AQ418">
        <v>77.777777777777004</v>
      </c>
      <c r="AR418" s="2">
        <v>45758.997916666667</v>
      </c>
      <c r="AS418" s="2">
        <v>46025.845914351848</v>
      </c>
      <c r="AT418" t="s">
        <v>61</v>
      </c>
      <c r="AU418" t="s">
        <v>62</v>
      </c>
      <c r="AV418">
        <v>267</v>
      </c>
    </row>
    <row r="419" spans="1:48" x14ac:dyDescent="0.25">
      <c r="A419">
        <v>20</v>
      </c>
      <c r="B419" t="s">
        <v>1803</v>
      </c>
      <c r="C419" t="s">
        <v>1804</v>
      </c>
      <c r="D419" t="s">
        <v>1805</v>
      </c>
      <c r="E419" t="s">
        <v>1806</v>
      </c>
      <c r="F419" t="s">
        <v>1807</v>
      </c>
      <c r="G419" t="s">
        <v>53</v>
      </c>
      <c r="H419" s="1">
        <v>35805</v>
      </c>
      <c r="I419">
        <v>28</v>
      </c>
      <c r="J419">
        <v>1998</v>
      </c>
      <c r="K419" s="1">
        <v>45261</v>
      </c>
      <c r="L419">
        <v>2023</v>
      </c>
      <c r="M419" t="s">
        <v>54</v>
      </c>
      <c r="N419">
        <v>4</v>
      </c>
      <c r="O419" t="s">
        <v>215</v>
      </c>
      <c r="P419" t="s">
        <v>119</v>
      </c>
      <c r="Q419">
        <v>120</v>
      </c>
      <c r="R419">
        <v>2</v>
      </c>
      <c r="S419" t="s">
        <v>85</v>
      </c>
      <c r="T419" t="s">
        <v>86</v>
      </c>
      <c r="U419">
        <v>9</v>
      </c>
      <c r="V419">
        <v>9</v>
      </c>
      <c r="W419">
        <v>9</v>
      </c>
      <c r="X419">
        <v>9</v>
      </c>
      <c r="Y419">
        <v>2</v>
      </c>
      <c r="Z419">
        <v>6</v>
      </c>
      <c r="AA419">
        <v>3.0833330000000001</v>
      </c>
      <c r="AB419">
        <v>18.5</v>
      </c>
      <c r="AC419" t="s">
        <v>70</v>
      </c>
      <c r="AD419" t="s">
        <v>60</v>
      </c>
      <c r="AE419">
        <v>3</v>
      </c>
      <c r="AF419">
        <v>0</v>
      </c>
      <c r="AG419">
        <v>1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5</v>
      </c>
      <c r="AP419">
        <v>1</v>
      </c>
      <c r="AQ419">
        <v>83.333333333333002</v>
      </c>
      <c r="AR419" s="2">
        <v>45734.221620370372</v>
      </c>
      <c r="AS419" s="2">
        <v>46068.487291666665</v>
      </c>
      <c r="AT419" t="s">
        <v>1357</v>
      </c>
      <c r="AU419" t="s">
        <v>62</v>
      </c>
      <c r="AV419">
        <v>334</v>
      </c>
    </row>
    <row r="420" spans="1:48" x14ac:dyDescent="0.25">
      <c r="A420">
        <v>714</v>
      </c>
      <c r="B420" t="s">
        <v>1808</v>
      </c>
      <c r="C420" t="s">
        <v>252</v>
      </c>
      <c r="D420" t="s">
        <v>320</v>
      </c>
      <c r="E420" t="s">
        <v>1809</v>
      </c>
      <c r="F420" t="s">
        <v>1810</v>
      </c>
      <c r="G420" t="s">
        <v>53</v>
      </c>
      <c r="H420" s="1">
        <v>38836</v>
      </c>
      <c r="I420">
        <v>20</v>
      </c>
      <c r="J420">
        <v>2006</v>
      </c>
      <c r="K420" s="1">
        <v>45262</v>
      </c>
      <c r="L420">
        <v>2023</v>
      </c>
      <c r="M420" t="s">
        <v>54</v>
      </c>
      <c r="N420">
        <v>16</v>
      </c>
      <c r="O420" t="s">
        <v>280</v>
      </c>
      <c r="P420" t="s">
        <v>119</v>
      </c>
      <c r="Q420">
        <v>120</v>
      </c>
      <c r="R420">
        <v>6</v>
      </c>
      <c r="S420" t="s">
        <v>140</v>
      </c>
      <c r="T420" t="s">
        <v>141</v>
      </c>
      <c r="U420">
        <v>9</v>
      </c>
      <c r="V420">
        <v>9</v>
      </c>
      <c r="W420">
        <v>9</v>
      </c>
      <c r="X420">
        <v>8</v>
      </c>
      <c r="Y420">
        <v>3</v>
      </c>
      <c r="Z420">
        <v>8</v>
      </c>
      <c r="AA420">
        <v>2.25</v>
      </c>
      <c r="AB420">
        <v>18</v>
      </c>
      <c r="AC420" t="s">
        <v>59</v>
      </c>
      <c r="AD420" t="s">
        <v>281</v>
      </c>
      <c r="AE420">
        <v>0</v>
      </c>
      <c r="AF420">
        <v>0</v>
      </c>
      <c r="AG420">
        <v>2</v>
      </c>
      <c r="AH420">
        <v>0</v>
      </c>
      <c r="AI420">
        <v>0</v>
      </c>
      <c r="AJ420">
        <v>2</v>
      </c>
      <c r="AK420">
        <v>2</v>
      </c>
      <c r="AL420">
        <v>0</v>
      </c>
      <c r="AM420">
        <v>2</v>
      </c>
      <c r="AN420">
        <v>0</v>
      </c>
      <c r="AO420">
        <v>8</v>
      </c>
      <c r="AP420">
        <v>0</v>
      </c>
      <c r="AQ420">
        <v>100</v>
      </c>
      <c r="AR420" s="2">
        <v>45738.494490740741</v>
      </c>
      <c r="AS420" s="2">
        <v>46058.055567129632</v>
      </c>
      <c r="AT420" t="s">
        <v>61</v>
      </c>
      <c r="AU420" t="s">
        <v>62</v>
      </c>
      <c r="AV420">
        <v>320</v>
      </c>
    </row>
    <row r="421" spans="1:48" x14ac:dyDescent="0.25">
      <c r="A421">
        <v>977</v>
      </c>
      <c r="B421" t="s">
        <v>1811</v>
      </c>
      <c r="C421" t="s">
        <v>1812</v>
      </c>
      <c r="D421" t="s">
        <v>1813</v>
      </c>
      <c r="E421" t="s">
        <v>1814</v>
      </c>
      <c r="F421" t="s">
        <v>1815</v>
      </c>
      <c r="G421" t="s">
        <v>53</v>
      </c>
      <c r="H421" s="1">
        <v>35873</v>
      </c>
      <c r="I421">
        <v>28</v>
      </c>
      <c r="J421">
        <v>1998</v>
      </c>
      <c r="K421" s="1">
        <v>45171</v>
      </c>
      <c r="L421">
        <v>2023</v>
      </c>
      <c r="M421" t="s">
        <v>54</v>
      </c>
      <c r="N421">
        <v>18</v>
      </c>
      <c r="O421" t="s">
        <v>139</v>
      </c>
      <c r="P421" t="s">
        <v>69</v>
      </c>
      <c r="Q421">
        <v>60</v>
      </c>
      <c r="R421">
        <v>6</v>
      </c>
      <c r="S421" t="s">
        <v>140</v>
      </c>
      <c r="T421" t="s">
        <v>141</v>
      </c>
      <c r="U421">
        <v>9</v>
      </c>
      <c r="V421">
        <v>9</v>
      </c>
      <c r="W421">
        <v>9</v>
      </c>
      <c r="X421">
        <v>9</v>
      </c>
      <c r="Y421">
        <v>2</v>
      </c>
      <c r="Z421">
        <v>9</v>
      </c>
      <c r="AA421">
        <v>1.8333330000000001</v>
      </c>
      <c r="AB421">
        <v>16.5</v>
      </c>
      <c r="AC421" t="s">
        <v>70</v>
      </c>
      <c r="AD421" t="s">
        <v>60</v>
      </c>
      <c r="AE421">
        <v>2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2</v>
      </c>
      <c r="AL421">
        <v>0</v>
      </c>
      <c r="AM421">
        <v>2</v>
      </c>
      <c r="AN421">
        <v>2</v>
      </c>
      <c r="AO421">
        <v>7</v>
      </c>
      <c r="AP421">
        <v>2</v>
      </c>
      <c r="AQ421">
        <v>77.777777777777004</v>
      </c>
      <c r="AR421" s="2">
        <v>45729.324756944443</v>
      </c>
      <c r="AS421" s="2">
        <v>46005.38821759259</v>
      </c>
      <c r="AT421" t="s">
        <v>61</v>
      </c>
      <c r="AU421" t="s">
        <v>62</v>
      </c>
      <c r="AV421">
        <v>276</v>
      </c>
    </row>
    <row r="422" spans="1:48" x14ac:dyDescent="0.25">
      <c r="A422">
        <v>275</v>
      </c>
      <c r="B422" t="s">
        <v>1816</v>
      </c>
      <c r="C422" t="s">
        <v>1784</v>
      </c>
      <c r="D422" t="s">
        <v>1817</v>
      </c>
      <c r="E422" t="s">
        <v>1818</v>
      </c>
      <c r="F422" t="s">
        <v>1819</v>
      </c>
      <c r="G422" t="s">
        <v>53</v>
      </c>
      <c r="H422" s="1">
        <v>35139</v>
      </c>
      <c r="I422">
        <v>30</v>
      </c>
      <c r="J422">
        <v>1996</v>
      </c>
      <c r="K422" s="1">
        <v>45538</v>
      </c>
      <c r="L422">
        <v>2024</v>
      </c>
      <c r="M422" t="s">
        <v>54</v>
      </c>
      <c r="N422">
        <v>7</v>
      </c>
      <c r="O422" t="s">
        <v>231</v>
      </c>
      <c r="P422" t="s">
        <v>119</v>
      </c>
      <c r="Q422">
        <v>120</v>
      </c>
      <c r="R422">
        <v>3</v>
      </c>
      <c r="S422" t="s">
        <v>126</v>
      </c>
      <c r="T422" t="s">
        <v>127</v>
      </c>
      <c r="U422">
        <v>9</v>
      </c>
      <c r="V422">
        <v>9</v>
      </c>
      <c r="W422">
        <v>9</v>
      </c>
      <c r="X422">
        <v>9</v>
      </c>
      <c r="Y422">
        <v>2</v>
      </c>
      <c r="Z422">
        <v>9</v>
      </c>
      <c r="AA422">
        <v>2.055555</v>
      </c>
      <c r="AB422">
        <v>18.5</v>
      </c>
      <c r="AC422" t="s">
        <v>70</v>
      </c>
      <c r="AD422" t="s">
        <v>112</v>
      </c>
      <c r="AE422">
        <v>0</v>
      </c>
      <c r="AF422">
        <v>0</v>
      </c>
      <c r="AG422">
        <v>1</v>
      </c>
      <c r="AH422">
        <v>1</v>
      </c>
      <c r="AI422">
        <v>0</v>
      </c>
      <c r="AJ422">
        <v>2</v>
      </c>
      <c r="AK422">
        <v>3</v>
      </c>
      <c r="AL422">
        <v>0</v>
      </c>
      <c r="AM422">
        <v>1</v>
      </c>
      <c r="AN422">
        <v>1</v>
      </c>
      <c r="AO422">
        <v>8</v>
      </c>
      <c r="AP422">
        <v>1</v>
      </c>
      <c r="AQ422">
        <v>88.888888888888005</v>
      </c>
      <c r="AR422" s="2">
        <v>45753.087141203701</v>
      </c>
      <c r="AS422" s="2">
        <v>46084.21738425926</v>
      </c>
      <c r="AT422" t="s">
        <v>61</v>
      </c>
      <c r="AU422" t="s">
        <v>62</v>
      </c>
      <c r="AV422">
        <v>331</v>
      </c>
    </row>
    <row r="423" spans="1:48" x14ac:dyDescent="0.25">
      <c r="A423">
        <v>998</v>
      </c>
      <c r="B423" t="s">
        <v>1820</v>
      </c>
      <c r="C423" t="s">
        <v>148</v>
      </c>
      <c r="D423" t="s">
        <v>1821</v>
      </c>
      <c r="E423" t="s">
        <v>1822</v>
      </c>
      <c r="F423" t="s">
        <v>1823</v>
      </c>
      <c r="G423" t="s">
        <v>53</v>
      </c>
      <c r="H423" s="1">
        <v>39425</v>
      </c>
      <c r="I423">
        <v>19</v>
      </c>
      <c r="J423">
        <v>2007</v>
      </c>
      <c r="K423" s="1">
        <v>44827</v>
      </c>
      <c r="L423">
        <v>2022</v>
      </c>
      <c r="M423" t="s">
        <v>54</v>
      </c>
      <c r="N423">
        <v>21</v>
      </c>
      <c r="O423" t="s">
        <v>339</v>
      </c>
      <c r="P423" t="s">
        <v>69</v>
      </c>
      <c r="Q423">
        <v>60</v>
      </c>
      <c r="R423">
        <v>7</v>
      </c>
      <c r="S423" t="s">
        <v>163</v>
      </c>
      <c r="T423" t="s">
        <v>164</v>
      </c>
      <c r="U423">
        <v>8</v>
      </c>
      <c r="V423">
        <v>9</v>
      </c>
      <c r="W423">
        <v>9</v>
      </c>
      <c r="X423">
        <v>9</v>
      </c>
      <c r="Y423">
        <v>2</v>
      </c>
      <c r="Z423">
        <v>6</v>
      </c>
      <c r="AA423">
        <v>1.75</v>
      </c>
      <c r="AB423">
        <v>10.5</v>
      </c>
      <c r="AC423" t="s">
        <v>70</v>
      </c>
      <c r="AD423" t="s">
        <v>60</v>
      </c>
      <c r="AE423">
        <v>1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1</v>
      </c>
      <c r="AN423">
        <v>2</v>
      </c>
      <c r="AO423">
        <v>4</v>
      </c>
      <c r="AP423">
        <v>2</v>
      </c>
      <c r="AQ423">
        <v>66.666666666666003</v>
      </c>
      <c r="AR423" s="2">
        <v>45745.354398148149</v>
      </c>
      <c r="AS423" s="2">
        <v>46078.952881944446</v>
      </c>
      <c r="AT423" t="s">
        <v>1357</v>
      </c>
      <c r="AU423" t="s">
        <v>62</v>
      </c>
      <c r="AV423">
        <v>333</v>
      </c>
    </row>
    <row r="424" spans="1:48" x14ac:dyDescent="0.25">
      <c r="A424">
        <v>647</v>
      </c>
      <c r="B424" t="s">
        <v>1824</v>
      </c>
      <c r="C424" t="s">
        <v>1825</v>
      </c>
      <c r="D424" t="s">
        <v>1826</v>
      </c>
      <c r="E424" t="s">
        <v>1827</v>
      </c>
      <c r="F424" t="s">
        <v>1828</v>
      </c>
      <c r="G424" t="s">
        <v>104</v>
      </c>
      <c r="H424" s="1">
        <v>39142</v>
      </c>
      <c r="I424">
        <v>19</v>
      </c>
      <c r="J424">
        <v>2007</v>
      </c>
      <c r="K424" s="1">
        <v>44992</v>
      </c>
      <c r="L424">
        <v>2023</v>
      </c>
      <c r="M424" t="s">
        <v>54</v>
      </c>
      <c r="N424">
        <v>16</v>
      </c>
      <c r="O424" t="s">
        <v>280</v>
      </c>
      <c r="P424" t="s">
        <v>119</v>
      </c>
      <c r="Q424">
        <v>120</v>
      </c>
      <c r="R424">
        <v>6</v>
      </c>
      <c r="S424" t="s">
        <v>140</v>
      </c>
      <c r="T424" t="s">
        <v>141</v>
      </c>
      <c r="U424">
        <v>9</v>
      </c>
      <c r="V424">
        <v>9</v>
      </c>
      <c r="W424">
        <v>9</v>
      </c>
      <c r="X424">
        <v>6</v>
      </c>
      <c r="Y424">
        <v>2</v>
      </c>
      <c r="Z424">
        <v>7</v>
      </c>
      <c r="AA424">
        <v>3.071428</v>
      </c>
      <c r="AB424">
        <v>21.5</v>
      </c>
      <c r="AC424" t="s">
        <v>59</v>
      </c>
      <c r="AD424" t="s">
        <v>60</v>
      </c>
      <c r="AE424">
        <v>2</v>
      </c>
      <c r="AF424">
        <v>0</v>
      </c>
      <c r="AG424">
        <v>3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1</v>
      </c>
      <c r="AN424">
        <v>0</v>
      </c>
      <c r="AO424">
        <v>7</v>
      </c>
      <c r="AP424">
        <v>0</v>
      </c>
      <c r="AQ424">
        <v>100</v>
      </c>
      <c r="AR424" s="2">
        <v>45729.369444444441</v>
      </c>
      <c r="AS424" s="2">
        <v>46084.510405092595</v>
      </c>
      <c r="AT424" t="s">
        <v>1357</v>
      </c>
      <c r="AU424" t="s">
        <v>62</v>
      </c>
      <c r="AV424">
        <v>355</v>
      </c>
    </row>
    <row r="425" spans="1:48" x14ac:dyDescent="0.25">
      <c r="A425">
        <v>449</v>
      </c>
      <c r="B425" t="s">
        <v>1829</v>
      </c>
      <c r="C425" t="s">
        <v>807</v>
      </c>
      <c r="D425" t="s">
        <v>1830</v>
      </c>
      <c r="E425" t="s">
        <v>1831</v>
      </c>
      <c r="F425" t="s">
        <v>1832</v>
      </c>
      <c r="G425" t="s">
        <v>104</v>
      </c>
      <c r="H425" s="1">
        <v>38759</v>
      </c>
      <c r="I425">
        <v>20</v>
      </c>
      <c r="J425">
        <v>2006</v>
      </c>
      <c r="K425" s="1">
        <v>45004</v>
      </c>
      <c r="L425">
        <v>2023</v>
      </c>
      <c r="M425" t="s">
        <v>54</v>
      </c>
      <c r="N425">
        <v>21</v>
      </c>
      <c r="O425" t="s">
        <v>339</v>
      </c>
      <c r="P425" t="s">
        <v>69</v>
      </c>
      <c r="Q425">
        <v>60</v>
      </c>
      <c r="R425">
        <v>7</v>
      </c>
      <c r="S425" t="s">
        <v>163</v>
      </c>
      <c r="T425" t="s">
        <v>164</v>
      </c>
      <c r="U425">
        <v>9</v>
      </c>
      <c r="V425">
        <v>9</v>
      </c>
      <c r="W425">
        <v>9</v>
      </c>
      <c r="X425">
        <v>7</v>
      </c>
      <c r="Y425">
        <v>2</v>
      </c>
      <c r="Z425">
        <v>6</v>
      </c>
      <c r="AA425">
        <v>1.666666</v>
      </c>
      <c r="AB425">
        <v>10</v>
      </c>
      <c r="AC425" t="s">
        <v>70</v>
      </c>
      <c r="AD425" t="s">
        <v>60</v>
      </c>
      <c r="AE425">
        <v>1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2</v>
      </c>
      <c r="AL425">
        <v>0</v>
      </c>
      <c r="AM425">
        <v>2</v>
      </c>
      <c r="AN425">
        <v>1</v>
      </c>
      <c r="AO425">
        <v>5</v>
      </c>
      <c r="AP425">
        <v>1</v>
      </c>
      <c r="AQ425">
        <v>83.333333333333002</v>
      </c>
      <c r="AR425" s="2">
        <v>45723.079525462963</v>
      </c>
      <c r="AS425" s="2">
        <v>46055.238506944443</v>
      </c>
      <c r="AT425" t="s">
        <v>1357</v>
      </c>
      <c r="AU425" t="s">
        <v>62</v>
      </c>
      <c r="AV425">
        <v>332</v>
      </c>
    </row>
    <row r="426" spans="1:48" x14ac:dyDescent="0.25">
      <c r="A426">
        <v>54</v>
      </c>
      <c r="B426" t="s">
        <v>1833</v>
      </c>
      <c r="C426" t="s">
        <v>690</v>
      </c>
      <c r="D426" t="s">
        <v>1834</v>
      </c>
      <c r="E426" t="s">
        <v>1835</v>
      </c>
      <c r="F426" t="s">
        <v>1836</v>
      </c>
      <c r="G426" t="s">
        <v>104</v>
      </c>
      <c r="H426" s="1">
        <v>39458</v>
      </c>
      <c r="I426">
        <v>18</v>
      </c>
      <c r="J426">
        <v>2008</v>
      </c>
      <c r="K426" s="1">
        <v>45774</v>
      </c>
      <c r="L426">
        <v>2025</v>
      </c>
      <c r="M426" t="s">
        <v>54</v>
      </c>
      <c r="N426">
        <v>14</v>
      </c>
      <c r="O426" t="s">
        <v>105</v>
      </c>
      <c r="P426" t="s">
        <v>56</v>
      </c>
      <c r="Q426">
        <v>36</v>
      </c>
      <c r="R426">
        <v>5</v>
      </c>
      <c r="S426" t="s">
        <v>92</v>
      </c>
      <c r="T426" t="s">
        <v>93</v>
      </c>
      <c r="U426">
        <v>8</v>
      </c>
      <c r="V426">
        <v>9</v>
      </c>
      <c r="W426">
        <v>9</v>
      </c>
      <c r="X426">
        <v>8</v>
      </c>
      <c r="Y426">
        <v>2</v>
      </c>
      <c r="Z426">
        <v>7</v>
      </c>
      <c r="AA426">
        <v>2.071428</v>
      </c>
      <c r="AB426">
        <v>14.5</v>
      </c>
      <c r="AC426" t="s">
        <v>70</v>
      </c>
      <c r="AD426" t="s">
        <v>112</v>
      </c>
      <c r="AE426">
        <v>0</v>
      </c>
      <c r="AF426">
        <v>0</v>
      </c>
      <c r="AG426">
        <v>1</v>
      </c>
      <c r="AH426">
        <v>1</v>
      </c>
      <c r="AI426">
        <v>0</v>
      </c>
      <c r="AJ426">
        <v>2</v>
      </c>
      <c r="AK426">
        <v>1</v>
      </c>
      <c r="AL426">
        <v>0</v>
      </c>
      <c r="AM426">
        <v>1</v>
      </c>
      <c r="AN426">
        <v>1</v>
      </c>
      <c r="AO426">
        <v>6</v>
      </c>
      <c r="AP426">
        <v>1</v>
      </c>
      <c r="AQ426">
        <v>85.714285714284998</v>
      </c>
      <c r="AR426" s="2">
        <v>45762.534074074072</v>
      </c>
      <c r="AS426" s="2">
        <v>45985.436307870368</v>
      </c>
      <c r="AT426" t="s">
        <v>1357</v>
      </c>
      <c r="AU426" t="s">
        <v>62</v>
      </c>
      <c r="AV426">
        <v>223</v>
      </c>
    </row>
    <row r="427" spans="1:48" x14ac:dyDescent="0.25">
      <c r="A427">
        <v>736</v>
      </c>
      <c r="B427" t="s">
        <v>1837</v>
      </c>
      <c r="C427" t="s">
        <v>148</v>
      </c>
      <c r="D427" t="s">
        <v>1219</v>
      </c>
      <c r="E427" t="s">
        <v>1838</v>
      </c>
      <c r="F427" t="s">
        <v>1839</v>
      </c>
      <c r="G427" t="s">
        <v>53</v>
      </c>
      <c r="H427" s="1">
        <v>38696</v>
      </c>
      <c r="I427">
        <v>21</v>
      </c>
      <c r="J427">
        <v>2005</v>
      </c>
      <c r="K427" s="1">
        <v>45684</v>
      </c>
      <c r="L427">
        <v>2025</v>
      </c>
      <c r="M427" t="s">
        <v>111</v>
      </c>
      <c r="N427">
        <v>17</v>
      </c>
      <c r="O427" t="s">
        <v>350</v>
      </c>
      <c r="P427" t="s">
        <v>56</v>
      </c>
      <c r="Q427">
        <v>36</v>
      </c>
      <c r="R427">
        <v>6</v>
      </c>
      <c r="S427" t="s">
        <v>140</v>
      </c>
      <c r="T427" t="s">
        <v>141</v>
      </c>
      <c r="U427">
        <v>8</v>
      </c>
      <c r="V427">
        <v>9</v>
      </c>
      <c r="W427">
        <v>9</v>
      </c>
      <c r="X427">
        <v>9</v>
      </c>
      <c r="Y427">
        <v>2</v>
      </c>
      <c r="Z427">
        <v>9</v>
      </c>
      <c r="AA427">
        <v>1</v>
      </c>
      <c r="AB427">
        <v>9</v>
      </c>
      <c r="AC427" t="s">
        <v>70</v>
      </c>
      <c r="AD427" t="s">
        <v>60</v>
      </c>
      <c r="AE427">
        <v>1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3</v>
      </c>
      <c r="AN427">
        <v>4</v>
      </c>
      <c r="AO427">
        <v>5</v>
      </c>
      <c r="AP427">
        <v>4</v>
      </c>
      <c r="AQ427">
        <v>55.555555555555003</v>
      </c>
      <c r="AR427" s="2">
        <v>45724.295162037037</v>
      </c>
      <c r="AS427" s="2">
        <v>46082.384606481479</v>
      </c>
      <c r="AT427" t="s">
        <v>61</v>
      </c>
      <c r="AU427" t="s">
        <v>62</v>
      </c>
      <c r="AV427">
        <v>358</v>
      </c>
    </row>
    <row r="428" spans="1:48" x14ac:dyDescent="0.25">
      <c r="A428">
        <v>934</v>
      </c>
      <c r="B428" t="s">
        <v>1840</v>
      </c>
      <c r="C428" t="s">
        <v>187</v>
      </c>
      <c r="D428" t="s">
        <v>1841</v>
      </c>
      <c r="E428" t="s">
        <v>1842</v>
      </c>
      <c r="F428" t="s">
        <v>1843</v>
      </c>
      <c r="G428" t="s">
        <v>104</v>
      </c>
      <c r="H428" s="1">
        <v>35973</v>
      </c>
      <c r="I428">
        <v>28</v>
      </c>
      <c r="J428">
        <v>1998</v>
      </c>
      <c r="K428" s="1">
        <v>45509</v>
      </c>
      <c r="L428">
        <v>2024</v>
      </c>
      <c r="M428" t="s">
        <v>54</v>
      </c>
      <c r="N428">
        <v>16</v>
      </c>
      <c r="O428" t="s">
        <v>280</v>
      </c>
      <c r="P428" t="s">
        <v>119</v>
      </c>
      <c r="Q428">
        <v>120</v>
      </c>
      <c r="R428">
        <v>6</v>
      </c>
      <c r="S428" t="s">
        <v>140</v>
      </c>
      <c r="T428" t="s">
        <v>141</v>
      </c>
      <c r="U428">
        <v>9</v>
      </c>
      <c r="V428">
        <v>9</v>
      </c>
      <c r="W428">
        <v>9</v>
      </c>
      <c r="X428">
        <v>9</v>
      </c>
      <c r="Y428">
        <v>2</v>
      </c>
      <c r="Z428">
        <v>7</v>
      </c>
      <c r="AA428">
        <v>1.3571420000000001</v>
      </c>
      <c r="AB428">
        <v>9.5</v>
      </c>
      <c r="AC428" t="s">
        <v>70</v>
      </c>
      <c r="AD428" t="s">
        <v>281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4</v>
      </c>
      <c r="AN428">
        <v>1</v>
      </c>
      <c r="AO428">
        <v>6</v>
      </c>
      <c r="AP428">
        <v>1</v>
      </c>
      <c r="AQ428">
        <v>85.714285714284998</v>
      </c>
      <c r="AR428" s="2">
        <v>45729.612523148149</v>
      </c>
      <c r="AS428" s="2">
        <v>45944.253240740742</v>
      </c>
      <c r="AT428" t="s">
        <v>1357</v>
      </c>
      <c r="AU428" t="s">
        <v>62</v>
      </c>
      <c r="AV428">
        <v>215</v>
      </c>
    </row>
    <row r="429" spans="1:48" x14ac:dyDescent="0.25">
      <c r="A429">
        <v>530</v>
      </c>
      <c r="B429" t="s">
        <v>1320</v>
      </c>
      <c r="C429" t="s">
        <v>1321</v>
      </c>
      <c r="D429" t="s">
        <v>253</v>
      </c>
      <c r="E429" t="s">
        <v>1844</v>
      </c>
      <c r="F429" t="s">
        <v>1845</v>
      </c>
      <c r="G429" t="s">
        <v>53</v>
      </c>
      <c r="H429" s="1">
        <v>38447</v>
      </c>
      <c r="I429">
        <v>21</v>
      </c>
      <c r="J429">
        <v>2005</v>
      </c>
      <c r="K429" s="1">
        <v>46073</v>
      </c>
      <c r="L429">
        <v>2026</v>
      </c>
      <c r="M429" t="s">
        <v>54</v>
      </c>
      <c r="N429">
        <v>19</v>
      </c>
      <c r="O429" t="s">
        <v>162</v>
      </c>
      <c r="P429" t="s">
        <v>119</v>
      </c>
      <c r="Q429">
        <v>120</v>
      </c>
      <c r="R429">
        <v>7</v>
      </c>
      <c r="S429" t="s">
        <v>163</v>
      </c>
      <c r="T429" t="s">
        <v>164</v>
      </c>
      <c r="U429">
        <v>9</v>
      </c>
      <c r="V429">
        <v>9</v>
      </c>
      <c r="W429">
        <v>9</v>
      </c>
      <c r="X429">
        <v>9</v>
      </c>
      <c r="Y429">
        <v>2</v>
      </c>
      <c r="Z429">
        <v>9</v>
      </c>
      <c r="AA429">
        <v>2.2222219999999999</v>
      </c>
      <c r="AB429">
        <v>20</v>
      </c>
      <c r="AC429" t="s">
        <v>70</v>
      </c>
      <c r="AD429" t="s">
        <v>112</v>
      </c>
      <c r="AE429">
        <v>0</v>
      </c>
      <c r="AF429">
        <v>0</v>
      </c>
      <c r="AG429">
        <v>3</v>
      </c>
      <c r="AH429">
        <v>1</v>
      </c>
      <c r="AI429">
        <v>0</v>
      </c>
      <c r="AJ429">
        <v>1</v>
      </c>
      <c r="AK429">
        <v>1</v>
      </c>
      <c r="AL429">
        <v>0</v>
      </c>
      <c r="AM429">
        <v>2</v>
      </c>
      <c r="AN429">
        <v>1</v>
      </c>
      <c r="AO429">
        <v>8</v>
      </c>
      <c r="AP429">
        <v>1</v>
      </c>
      <c r="AQ429">
        <v>88.888888888888005</v>
      </c>
      <c r="AR429" s="2">
        <v>45739.446909722225</v>
      </c>
      <c r="AS429" s="2">
        <v>46054.619988425926</v>
      </c>
      <c r="AT429" t="s">
        <v>61</v>
      </c>
      <c r="AU429" t="s">
        <v>62</v>
      </c>
      <c r="AV429">
        <v>315</v>
      </c>
    </row>
    <row r="430" spans="1:48" x14ac:dyDescent="0.25">
      <c r="A430">
        <v>872</v>
      </c>
      <c r="B430" t="s">
        <v>1846</v>
      </c>
      <c r="C430" t="s">
        <v>1484</v>
      </c>
      <c r="D430" t="s">
        <v>543</v>
      </c>
      <c r="E430" t="s">
        <v>1847</v>
      </c>
      <c r="F430" t="s">
        <v>1848</v>
      </c>
      <c r="G430" t="s">
        <v>53</v>
      </c>
      <c r="H430" s="1">
        <v>36189</v>
      </c>
      <c r="I430">
        <v>27</v>
      </c>
      <c r="J430">
        <v>1999</v>
      </c>
      <c r="K430" s="1">
        <v>45715</v>
      </c>
      <c r="L430">
        <v>2025</v>
      </c>
      <c r="M430" t="s">
        <v>54</v>
      </c>
      <c r="N430">
        <v>9</v>
      </c>
      <c r="O430" t="s">
        <v>151</v>
      </c>
      <c r="P430" t="s">
        <v>69</v>
      </c>
      <c r="Q430">
        <v>60</v>
      </c>
      <c r="R430">
        <v>3</v>
      </c>
      <c r="S430" t="s">
        <v>126</v>
      </c>
      <c r="T430" t="s">
        <v>127</v>
      </c>
      <c r="U430">
        <v>9</v>
      </c>
      <c r="V430">
        <v>9</v>
      </c>
      <c r="W430">
        <v>9</v>
      </c>
      <c r="X430">
        <v>8</v>
      </c>
      <c r="Y430">
        <v>3</v>
      </c>
      <c r="Z430">
        <v>6</v>
      </c>
      <c r="AA430">
        <v>2</v>
      </c>
      <c r="AB430">
        <v>12</v>
      </c>
      <c r="AC430" t="s">
        <v>59</v>
      </c>
      <c r="AD430" t="s">
        <v>112</v>
      </c>
      <c r="AE430">
        <v>0</v>
      </c>
      <c r="AF430">
        <v>0</v>
      </c>
      <c r="AG430">
        <v>0</v>
      </c>
      <c r="AH430">
        <v>2</v>
      </c>
      <c r="AI430">
        <v>0</v>
      </c>
      <c r="AJ430">
        <v>0</v>
      </c>
      <c r="AK430">
        <v>2</v>
      </c>
      <c r="AL430">
        <v>0</v>
      </c>
      <c r="AM430">
        <v>2</v>
      </c>
      <c r="AN430">
        <v>0</v>
      </c>
      <c r="AO430">
        <v>6</v>
      </c>
      <c r="AP430">
        <v>0</v>
      </c>
      <c r="AQ430">
        <v>100</v>
      </c>
      <c r="AR430" s="2">
        <v>45738.604259259257</v>
      </c>
      <c r="AS430" s="2">
        <v>46083.398946759262</v>
      </c>
      <c r="AT430" t="s">
        <v>61</v>
      </c>
      <c r="AU430" t="s">
        <v>62</v>
      </c>
      <c r="AV430">
        <v>345</v>
      </c>
    </row>
    <row r="431" spans="1:48" x14ac:dyDescent="0.25">
      <c r="A431">
        <v>497</v>
      </c>
      <c r="B431" t="s">
        <v>1849</v>
      </c>
      <c r="C431" t="s">
        <v>1850</v>
      </c>
      <c r="D431" t="s">
        <v>207</v>
      </c>
      <c r="E431" t="s">
        <v>1851</v>
      </c>
      <c r="F431" t="s">
        <v>1852</v>
      </c>
      <c r="G431" t="s">
        <v>104</v>
      </c>
      <c r="H431" s="1">
        <v>36904</v>
      </c>
      <c r="I431">
        <v>25</v>
      </c>
      <c r="J431">
        <v>2001</v>
      </c>
      <c r="K431" s="1">
        <v>44994</v>
      </c>
      <c r="L431">
        <v>2023</v>
      </c>
      <c r="M431" t="s">
        <v>54</v>
      </c>
      <c r="N431">
        <v>19</v>
      </c>
      <c r="O431" t="s">
        <v>162</v>
      </c>
      <c r="P431" t="s">
        <v>119</v>
      </c>
      <c r="Q431">
        <v>120</v>
      </c>
      <c r="R431">
        <v>7</v>
      </c>
      <c r="S431" t="s">
        <v>163</v>
      </c>
      <c r="T431" t="s">
        <v>164</v>
      </c>
      <c r="U431">
        <v>9</v>
      </c>
      <c r="V431">
        <v>9</v>
      </c>
      <c r="W431">
        <v>9</v>
      </c>
      <c r="X431">
        <v>8</v>
      </c>
      <c r="Y431">
        <v>2</v>
      </c>
      <c r="Z431">
        <v>7</v>
      </c>
      <c r="AA431">
        <v>2.071428</v>
      </c>
      <c r="AB431">
        <v>14.5</v>
      </c>
      <c r="AC431" t="s">
        <v>70</v>
      </c>
      <c r="AD431" t="s">
        <v>60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3</v>
      </c>
      <c r="AK431">
        <v>1</v>
      </c>
      <c r="AL431">
        <v>0</v>
      </c>
      <c r="AM431">
        <v>1</v>
      </c>
      <c r="AN431">
        <v>1</v>
      </c>
      <c r="AO431">
        <v>6</v>
      </c>
      <c r="AP431">
        <v>1</v>
      </c>
      <c r="AQ431">
        <v>85.714285714284998</v>
      </c>
      <c r="AR431" s="2">
        <v>45756.475358796299</v>
      </c>
      <c r="AS431" s="2">
        <v>46043.648668981485</v>
      </c>
      <c r="AT431" t="s">
        <v>61</v>
      </c>
      <c r="AU431" t="s">
        <v>1357</v>
      </c>
      <c r="AV431">
        <v>287</v>
      </c>
    </row>
    <row r="432" spans="1:48" x14ac:dyDescent="0.25">
      <c r="A432">
        <v>715</v>
      </c>
      <c r="B432" t="s">
        <v>1853</v>
      </c>
      <c r="C432" t="s">
        <v>483</v>
      </c>
      <c r="D432" t="s">
        <v>207</v>
      </c>
      <c r="E432" t="s">
        <v>1854</v>
      </c>
      <c r="F432">
        <f>1-850-572-5178</f>
        <v>-6599</v>
      </c>
      <c r="G432" t="s">
        <v>104</v>
      </c>
      <c r="H432" s="1">
        <v>39098</v>
      </c>
      <c r="I432">
        <v>19</v>
      </c>
      <c r="J432">
        <v>2007</v>
      </c>
      <c r="K432" s="1">
        <v>45601</v>
      </c>
      <c r="L432">
        <v>2024</v>
      </c>
      <c r="M432" t="s">
        <v>54</v>
      </c>
      <c r="N432">
        <v>19</v>
      </c>
      <c r="O432" t="s">
        <v>162</v>
      </c>
      <c r="P432" t="s">
        <v>119</v>
      </c>
      <c r="Q432">
        <v>120</v>
      </c>
      <c r="R432">
        <v>7</v>
      </c>
      <c r="S432" t="s">
        <v>163</v>
      </c>
      <c r="T432" t="s">
        <v>164</v>
      </c>
      <c r="U432">
        <v>9</v>
      </c>
      <c r="V432">
        <v>9</v>
      </c>
      <c r="W432">
        <v>9</v>
      </c>
      <c r="X432">
        <v>8</v>
      </c>
      <c r="Y432">
        <v>2</v>
      </c>
      <c r="Z432">
        <v>6</v>
      </c>
      <c r="AA432">
        <v>1.8333330000000001</v>
      </c>
      <c r="AB432">
        <v>11</v>
      </c>
      <c r="AC432" t="s">
        <v>70</v>
      </c>
      <c r="AD432" t="s">
        <v>281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1</v>
      </c>
      <c r="AK432">
        <v>2</v>
      </c>
      <c r="AL432">
        <v>0</v>
      </c>
      <c r="AM432">
        <v>1</v>
      </c>
      <c r="AN432">
        <v>1</v>
      </c>
      <c r="AO432">
        <v>5</v>
      </c>
      <c r="AP432">
        <v>1</v>
      </c>
      <c r="AQ432">
        <v>83.333333333333002</v>
      </c>
      <c r="AR432" s="2">
        <v>45725.498124999998</v>
      </c>
      <c r="AS432" s="2">
        <v>46047.450069444443</v>
      </c>
      <c r="AT432" t="s">
        <v>1357</v>
      </c>
      <c r="AU432" t="s">
        <v>62</v>
      </c>
      <c r="AV432">
        <v>322</v>
      </c>
    </row>
    <row r="433" spans="1:48" x14ac:dyDescent="0.25">
      <c r="A433">
        <v>882</v>
      </c>
      <c r="B433" t="s">
        <v>1855</v>
      </c>
      <c r="C433" t="s">
        <v>472</v>
      </c>
      <c r="D433" t="s">
        <v>1856</v>
      </c>
      <c r="E433" t="s">
        <v>1857</v>
      </c>
      <c r="F433" t="s">
        <v>1858</v>
      </c>
      <c r="G433" t="s">
        <v>53</v>
      </c>
      <c r="H433" s="1">
        <v>36080</v>
      </c>
      <c r="I433">
        <v>28</v>
      </c>
      <c r="J433">
        <v>1998</v>
      </c>
      <c r="K433" s="1">
        <v>45426</v>
      </c>
      <c r="L433">
        <v>2024</v>
      </c>
      <c r="M433" t="s">
        <v>54</v>
      </c>
      <c r="N433">
        <v>5</v>
      </c>
      <c r="O433" t="s">
        <v>84</v>
      </c>
      <c r="P433" t="s">
        <v>56</v>
      </c>
      <c r="Q433">
        <v>36</v>
      </c>
      <c r="R433">
        <v>2</v>
      </c>
      <c r="S433" t="s">
        <v>85</v>
      </c>
      <c r="T433" t="s">
        <v>86</v>
      </c>
      <c r="U433">
        <v>9</v>
      </c>
      <c r="V433">
        <v>9</v>
      </c>
      <c r="W433">
        <v>9</v>
      </c>
      <c r="X433">
        <v>9</v>
      </c>
      <c r="Y433">
        <v>2</v>
      </c>
      <c r="Z433">
        <v>9</v>
      </c>
      <c r="AA433">
        <v>2.9444439999999998</v>
      </c>
      <c r="AB433">
        <v>26.5</v>
      </c>
      <c r="AC433" t="s">
        <v>540</v>
      </c>
      <c r="AD433" t="s">
        <v>60</v>
      </c>
      <c r="AE433">
        <v>1</v>
      </c>
      <c r="AF433">
        <v>0</v>
      </c>
      <c r="AG433">
        <v>3</v>
      </c>
      <c r="AH433">
        <v>1</v>
      </c>
      <c r="AI433">
        <v>0</v>
      </c>
      <c r="AJ433">
        <v>2</v>
      </c>
      <c r="AK433">
        <v>2</v>
      </c>
      <c r="AL433">
        <v>0</v>
      </c>
      <c r="AM433">
        <v>0</v>
      </c>
      <c r="AN433">
        <v>0</v>
      </c>
      <c r="AO433">
        <v>9</v>
      </c>
      <c r="AP433">
        <v>0</v>
      </c>
      <c r="AQ433">
        <v>100</v>
      </c>
      <c r="AR433" s="2">
        <v>45779.533935185187</v>
      </c>
      <c r="AS433" s="2">
        <v>46067.970636574071</v>
      </c>
      <c r="AT433" t="s">
        <v>61</v>
      </c>
      <c r="AU433" t="s">
        <v>62</v>
      </c>
      <c r="AV433">
        <v>288</v>
      </c>
    </row>
    <row r="434" spans="1:48" x14ac:dyDescent="0.25">
      <c r="A434">
        <v>702</v>
      </c>
      <c r="B434" t="s">
        <v>1859</v>
      </c>
      <c r="C434" t="s">
        <v>763</v>
      </c>
      <c r="D434" t="s">
        <v>562</v>
      </c>
      <c r="E434" t="s">
        <v>1860</v>
      </c>
      <c r="F434" t="s">
        <v>1861</v>
      </c>
      <c r="G434" t="s">
        <v>104</v>
      </c>
      <c r="H434" s="1">
        <v>34922</v>
      </c>
      <c r="I434">
        <v>31</v>
      </c>
      <c r="J434">
        <v>1995</v>
      </c>
      <c r="K434" s="1">
        <v>45026</v>
      </c>
      <c r="L434">
        <v>2023</v>
      </c>
      <c r="M434" t="s">
        <v>54</v>
      </c>
      <c r="N434">
        <v>17</v>
      </c>
      <c r="O434" t="s">
        <v>350</v>
      </c>
      <c r="P434" t="s">
        <v>56</v>
      </c>
      <c r="Q434">
        <v>36</v>
      </c>
      <c r="R434">
        <v>6</v>
      </c>
      <c r="S434" t="s">
        <v>140</v>
      </c>
      <c r="T434" t="s">
        <v>141</v>
      </c>
      <c r="U434">
        <v>9</v>
      </c>
      <c r="V434">
        <v>9</v>
      </c>
      <c r="W434">
        <v>9</v>
      </c>
      <c r="X434">
        <v>9</v>
      </c>
      <c r="Y434">
        <v>2</v>
      </c>
      <c r="Z434">
        <v>7</v>
      </c>
      <c r="AA434">
        <v>1.642857</v>
      </c>
      <c r="AB434">
        <v>11.5</v>
      </c>
      <c r="AC434" t="s">
        <v>70</v>
      </c>
      <c r="AD434" t="s">
        <v>60</v>
      </c>
      <c r="AE434">
        <v>1</v>
      </c>
      <c r="AF434">
        <v>0</v>
      </c>
      <c r="AG434">
        <v>1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1</v>
      </c>
      <c r="AN434">
        <v>3</v>
      </c>
      <c r="AO434">
        <v>4</v>
      </c>
      <c r="AP434">
        <v>3</v>
      </c>
      <c r="AQ434">
        <v>57.142857142856997</v>
      </c>
      <c r="AR434" s="2">
        <v>45723.825196759259</v>
      </c>
      <c r="AS434" s="2">
        <v>46064.465902777774</v>
      </c>
      <c r="AT434" t="s">
        <v>1357</v>
      </c>
      <c r="AU434" t="s">
        <v>62</v>
      </c>
      <c r="AV434">
        <v>341</v>
      </c>
    </row>
    <row r="435" spans="1:48" x14ac:dyDescent="0.25">
      <c r="A435">
        <v>266</v>
      </c>
      <c r="B435" t="s">
        <v>1862</v>
      </c>
      <c r="C435" t="s">
        <v>556</v>
      </c>
      <c r="D435" t="s">
        <v>1177</v>
      </c>
      <c r="E435" t="s">
        <v>1863</v>
      </c>
      <c r="F435" t="s">
        <v>1864</v>
      </c>
      <c r="G435" t="s">
        <v>104</v>
      </c>
      <c r="H435" s="1">
        <v>35601</v>
      </c>
      <c r="I435">
        <v>29</v>
      </c>
      <c r="J435">
        <v>1997</v>
      </c>
      <c r="K435" s="1">
        <v>45354</v>
      </c>
      <c r="L435">
        <v>2024</v>
      </c>
      <c r="M435" t="s">
        <v>54</v>
      </c>
      <c r="N435">
        <v>14</v>
      </c>
      <c r="O435" t="s">
        <v>105</v>
      </c>
      <c r="P435" t="s">
        <v>56</v>
      </c>
      <c r="Q435">
        <v>36</v>
      </c>
      <c r="R435">
        <v>5</v>
      </c>
      <c r="S435" t="s">
        <v>92</v>
      </c>
      <c r="T435" t="s">
        <v>93</v>
      </c>
      <c r="U435">
        <v>9</v>
      </c>
      <c r="V435">
        <v>9</v>
      </c>
      <c r="W435">
        <v>9</v>
      </c>
      <c r="X435">
        <v>9</v>
      </c>
      <c r="Y435">
        <v>2</v>
      </c>
      <c r="Z435">
        <v>5</v>
      </c>
      <c r="AA435">
        <v>2.8</v>
      </c>
      <c r="AB435">
        <v>14</v>
      </c>
      <c r="AC435" t="s">
        <v>70</v>
      </c>
      <c r="AD435" t="s">
        <v>60</v>
      </c>
      <c r="AE435">
        <v>3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  <c r="AM435">
        <v>0</v>
      </c>
      <c r="AN435">
        <v>1</v>
      </c>
      <c r="AO435">
        <v>4</v>
      </c>
      <c r="AP435">
        <v>1</v>
      </c>
      <c r="AQ435">
        <v>80</v>
      </c>
      <c r="AR435" s="2">
        <v>45727.968622685185</v>
      </c>
      <c r="AS435" s="2">
        <v>46064.747199074074</v>
      </c>
      <c r="AT435" t="s">
        <v>1357</v>
      </c>
      <c r="AU435" t="s">
        <v>62</v>
      </c>
      <c r="AV435">
        <v>337</v>
      </c>
    </row>
    <row r="436" spans="1:48" x14ac:dyDescent="0.25">
      <c r="A436">
        <v>420</v>
      </c>
      <c r="B436" t="s">
        <v>1865</v>
      </c>
      <c r="C436" t="s">
        <v>248</v>
      </c>
      <c r="D436" t="s">
        <v>1866</v>
      </c>
      <c r="E436" t="s">
        <v>1867</v>
      </c>
      <c r="F436" t="s">
        <v>1868</v>
      </c>
      <c r="G436" t="s">
        <v>104</v>
      </c>
      <c r="H436" s="1">
        <v>35170</v>
      </c>
      <c r="I436">
        <v>30</v>
      </c>
      <c r="J436">
        <v>1996</v>
      </c>
      <c r="K436" s="1">
        <v>45310</v>
      </c>
      <c r="L436">
        <v>2024</v>
      </c>
      <c r="M436" t="s">
        <v>54</v>
      </c>
      <c r="N436">
        <v>2</v>
      </c>
      <c r="O436" t="s">
        <v>55</v>
      </c>
      <c r="P436" t="s">
        <v>56</v>
      </c>
      <c r="Q436">
        <v>36</v>
      </c>
      <c r="R436">
        <v>1</v>
      </c>
      <c r="S436" t="s">
        <v>57</v>
      </c>
      <c r="T436" t="s">
        <v>58</v>
      </c>
      <c r="U436">
        <v>9</v>
      </c>
      <c r="V436">
        <v>9</v>
      </c>
      <c r="W436">
        <v>9</v>
      </c>
      <c r="X436">
        <v>8</v>
      </c>
      <c r="Y436">
        <v>2</v>
      </c>
      <c r="Z436">
        <v>7</v>
      </c>
      <c r="AA436">
        <v>2.6428569999999998</v>
      </c>
      <c r="AB436">
        <v>18.5</v>
      </c>
      <c r="AC436" t="s">
        <v>70</v>
      </c>
      <c r="AD436" t="s">
        <v>60</v>
      </c>
      <c r="AE436">
        <v>2</v>
      </c>
      <c r="AF436">
        <v>0</v>
      </c>
      <c r="AG436">
        <v>1</v>
      </c>
      <c r="AH436">
        <v>0</v>
      </c>
      <c r="AI436">
        <v>0</v>
      </c>
      <c r="AJ436">
        <v>2</v>
      </c>
      <c r="AK436">
        <v>1</v>
      </c>
      <c r="AL436">
        <v>0</v>
      </c>
      <c r="AM436">
        <v>0</v>
      </c>
      <c r="AN436">
        <v>1</v>
      </c>
      <c r="AO436">
        <v>6</v>
      </c>
      <c r="AP436">
        <v>1</v>
      </c>
      <c r="AQ436">
        <v>85.714285714284998</v>
      </c>
      <c r="AR436" s="2">
        <v>45735.040625000001</v>
      </c>
      <c r="AS436" s="2">
        <v>46079.450428240743</v>
      </c>
      <c r="AT436" t="s">
        <v>1357</v>
      </c>
      <c r="AU436" t="s">
        <v>62</v>
      </c>
      <c r="AV436">
        <v>344</v>
      </c>
    </row>
    <row r="437" spans="1:48" x14ac:dyDescent="0.25">
      <c r="A437">
        <v>804</v>
      </c>
      <c r="B437" t="s">
        <v>1869</v>
      </c>
      <c r="C437" t="s">
        <v>1870</v>
      </c>
      <c r="D437" t="s">
        <v>347</v>
      </c>
      <c r="E437" t="s">
        <v>1871</v>
      </c>
      <c r="F437" t="s">
        <v>1872</v>
      </c>
      <c r="G437" t="s">
        <v>104</v>
      </c>
      <c r="H437" s="1">
        <v>34785</v>
      </c>
      <c r="I437">
        <v>31</v>
      </c>
      <c r="J437">
        <v>1995</v>
      </c>
      <c r="K437" s="1">
        <v>44976</v>
      </c>
      <c r="L437">
        <v>2023</v>
      </c>
      <c r="M437" t="s">
        <v>54</v>
      </c>
      <c r="N437">
        <v>9</v>
      </c>
      <c r="O437" t="s">
        <v>151</v>
      </c>
      <c r="P437" t="s">
        <v>69</v>
      </c>
      <c r="Q437">
        <v>60</v>
      </c>
      <c r="R437">
        <v>3</v>
      </c>
      <c r="S437" t="s">
        <v>126</v>
      </c>
      <c r="T437" t="s">
        <v>127</v>
      </c>
      <c r="U437">
        <v>9</v>
      </c>
      <c r="V437">
        <v>9</v>
      </c>
      <c r="W437">
        <v>9</v>
      </c>
      <c r="X437">
        <v>8</v>
      </c>
      <c r="Y437">
        <v>2</v>
      </c>
      <c r="Z437">
        <v>7</v>
      </c>
      <c r="AA437">
        <v>2.1428569999999998</v>
      </c>
      <c r="AB437">
        <v>15</v>
      </c>
      <c r="AC437" t="s">
        <v>70</v>
      </c>
      <c r="AD437" t="s">
        <v>60</v>
      </c>
      <c r="AE437">
        <v>1</v>
      </c>
      <c r="AF437">
        <v>0</v>
      </c>
      <c r="AG437">
        <v>0</v>
      </c>
      <c r="AH437">
        <v>3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2</v>
      </c>
      <c r="AO437">
        <v>5</v>
      </c>
      <c r="AP437">
        <v>2</v>
      </c>
      <c r="AQ437">
        <v>71.428571428571004</v>
      </c>
      <c r="AR437" s="2">
        <v>45722.717048611114</v>
      </c>
      <c r="AS437" s="2">
        <v>46053.390694444446</v>
      </c>
      <c r="AT437" t="s">
        <v>61</v>
      </c>
      <c r="AU437" t="s">
        <v>1357</v>
      </c>
      <c r="AV437">
        <v>331</v>
      </c>
    </row>
    <row r="438" spans="1:48" x14ac:dyDescent="0.25">
      <c r="A438">
        <v>376</v>
      </c>
      <c r="B438" t="s">
        <v>1873</v>
      </c>
      <c r="C438" t="s">
        <v>1015</v>
      </c>
      <c r="D438" t="s">
        <v>228</v>
      </c>
      <c r="E438" t="s">
        <v>1874</v>
      </c>
      <c r="F438" t="s">
        <v>1875</v>
      </c>
      <c r="G438" t="s">
        <v>53</v>
      </c>
      <c r="H438" s="1">
        <v>35628</v>
      </c>
      <c r="I438">
        <v>29</v>
      </c>
      <c r="J438">
        <v>1997</v>
      </c>
      <c r="K438" s="1">
        <v>44881</v>
      </c>
      <c r="L438">
        <v>2022</v>
      </c>
      <c r="M438" t="s">
        <v>54</v>
      </c>
      <c r="N438">
        <v>10</v>
      </c>
      <c r="O438" t="s">
        <v>118</v>
      </c>
      <c r="P438" t="s">
        <v>119</v>
      </c>
      <c r="Q438">
        <v>120</v>
      </c>
      <c r="R438">
        <v>4</v>
      </c>
      <c r="S438" t="s">
        <v>77</v>
      </c>
      <c r="T438" t="s">
        <v>78</v>
      </c>
      <c r="U438">
        <v>9</v>
      </c>
      <c r="V438">
        <v>9</v>
      </c>
      <c r="W438">
        <v>9</v>
      </c>
      <c r="X438">
        <v>8</v>
      </c>
      <c r="Y438">
        <v>2</v>
      </c>
      <c r="Z438">
        <v>8</v>
      </c>
      <c r="AA438">
        <v>2.0625</v>
      </c>
      <c r="AB438">
        <v>16.5</v>
      </c>
      <c r="AC438" t="s">
        <v>70</v>
      </c>
      <c r="AD438" t="s">
        <v>60</v>
      </c>
      <c r="AE438">
        <v>2</v>
      </c>
      <c r="AF438">
        <v>0</v>
      </c>
      <c r="AG438">
        <v>0</v>
      </c>
      <c r="AH438">
        <v>1</v>
      </c>
      <c r="AI438">
        <v>0</v>
      </c>
      <c r="AJ438">
        <v>1</v>
      </c>
      <c r="AK438">
        <v>1</v>
      </c>
      <c r="AL438">
        <v>0</v>
      </c>
      <c r="AM438">
        <v>1</v>
      </c>
      <c r="AN438">
        <v>2</v>
      </c>
      <c r="AO438">
        <v>6</v>
      </c>
      <c r="AP438">
        <v>2</v>
      </c>
      <c r="AQ438">
        <v>75</v>
      </c>
      <c r="AR438" s="2">
        <v>45742.191469907404</v>
      </c>
      <c r="AS438" s="2">
        <v>46078.121388888889</v>
      </c>
      <c r="AT438" t="s">
        <v>61</v>
      </c>
      <c r="AU438" t="s">
        <v>1357</v>
      </c>
      <c r="AV438">
        <v>336</v>
      </c>
    </row>
    <row r="439" spans="1:48" x14ac:dyDescent="0.25">
      <c r="A439">
        <v>621</v>
      </c>
      <c r="B439" t="s">
        <v>1876</v>
      </c>
      <c r="C439" t="s">
        <v>399</v>
      </c>
      <c r="D439" t="s">
        <v>144</v>
      </c>
      <c r="E439" t="s">
        <v>1877</v>
      </c>
      <c r="F439" t="s">
        <v>1878</v>
      </c>
      <c r="G439" t="s">
        <v>104</v>
      </c>
      <c r="H439" s="1">
        <v>37114</v>
      </c>
      <c r="I439">
        <v>25</v>
      </c>
      <c r="J439">
        <v>2001</v>
      </c>
      <c r="K439" s="1">
        <v>44874</v>
      </c>
      <c r="L439">
        <v>2022</v>
      </c>
      <c r="M439" t="s">
        <v>54</v>
      </c>
      <c r="N439">
        <v>13</v>
      </c>
      <c r="O439" t="s">
        <v>146</v>
      </c>
      <c r="P439" t="s">
        <v>119</v>
      </c>
      <c r="Q439">
        <v>120</v>
      </c>
      <c r="R439">
        <v>5</v>
      </c>
      <c r="S439" t="s">
        <v>92</v>
      </c>
      <c r="T439" t="s">
        <v>93</v>
      </c>
      <c r="U439">
        <v>9</v>
      </c>
      <c r="V439">
        <v>9</v>
      </c>
      <c r="W439">
        <v>9</v>
      </c>
      <c r="X439">
        <v>8</v>
      </c>
      <c r="Y439">
        <v>2</v>
      </c>
      <c r="Z439">
        <v>9</v>
      </c>
      <c r="AA439">
        <v>2.3888880000000001</v>
      </c>
      <c r="AB439">
        <v>21.5</v>
      </c>
      <c r="AC439" t="s">
        <v>70</v>
      </c>
      <c r="AD439" t="s">
        <v>112</v>
      </c>
      <c r="AE439">
        <v>0</v>
      </c>
      <c r="AF439">
        <v>0</v>
      </c>
      <c r="AG439">
        <v>1</v>
      </c>
      <c r="AH439">
        <v>3</v>
      </c>
      <c r="AI439">
        <v>0</v>
      </c>
      <c r="AJ439">
        <v>2</v>
      </c>
      <c r="AK439">
        <v>2</v>
      </c>
      <c r="AL439">
        <v>0</v>
      </c>
      <c r="AM439">
        <v>0</v>
      </c>
      <c r="AN439">
        <v>1</v>
      </c>
      <c r="AO439">
        <v>8</v>
      </c>
      <c r="AP439">
        <v>1</v>
      </c>
      <c r="AQ439">
        <v>88.888888888888005</v>
      </c>
      <c r="AR439" s="2">
        <v>45723.482407407406</v>
      </c>
      <c r="AS439" s="2">
        <v>46073.857685185183</v>
      </c>
      <c r="AT439" t="s">
        <v>61</v>
      </c>
      <c r="AU439" t="s">
        <v>62</v>
      </c>
      <c r="AV439">
        <v>350</v>
      </c>
    </row>
    <row r="440" spans="1:48" x14ac:dyDescent="0.25">
      <c r="A440">
        <v>560</v>
      </c>
      <c r="B440" t="s">
        <v>1879</v>
      </c>
      <c r="C440" t="s">
        <v>1880</v>
      </c>
      <c r="D440" t="s">
        <v>1881</v>
      </c>
      <c r="E440" t="s">
        <v>1882</v>
      </c>
      <c r="F440" t="s">
        <v>1883</v>
      </c>
      <c r="G440" t="s">
        <v>53</v>
      </c>
      <c r="H440" s="1">
        <v>38811</v>
      </c>
      <c r="I440">
        <v>20</v>
      </c>
      <c r="J440">
        <v>2006</v>
      </c>
      <c r="K440" s="1">
        <v>45057</v>
      </c>
      <c r="L440">
        <v>2023</v>
      </c>
      <c r="M440" t="s">
        <v>54</v>
      </c>
      <c r="N440">
        <v>17</v>
      </c>
      <c r="O440" t="s">
        <v>350</v>
      </c>
      <c r="P440" t="s">
        <v>56</v>
      </c>
      <c r="Q440">
        <v>36</v>
      </c>
      <c r="R440">
        <v>6</v>
      </c>
      <c r="S440" t="s">
        <v>140</v>
      </c>
      <c r="T440" t="s">
        <v>141</v>
      </c>
      <c r="U440">
        <v>9</v>
      </c>
      <c r="V440">
        <v>9</v>
      </c>
      <c r="W440">
        <v>9</v>
      </c>
      <c r="X440">
        <v>9</v>
      </c>
      <c r="Y440">
        <v>2</v>
      </c>
      <c r="Z440">
        <v>8</v>
      </c>
      <c r="AA440">
        <v>1.9375</v>
      </c>
      <c r="AB440">
        <v>15.5</v>
      </c>
      <c r="AC440" t="s">
        <v>70</v>
      </c>
      <c r="AD440" t="s">
        <v>112</v>
      </c>
      <c r="AE440">
        <v>0</v>
      </c>
      <c r="AF440">
        <v>0</v>
      </c>
      <c r="AG440">
        <v>1</v>
      </c>
      <c r="AH440">
        <v>1</v>
      </c>
      <c r="AI440">
        <v>0</v>
      </c>
      <c r="AJ440">
        <v>2</v>
      </c>
      <c r="AK440">
        <v>1</v>
      </c>
      <c r="AL440">
        <v>0</v>
      </c>
      <c r="AM440">
        <v>2</v>
      </c>
      <c r="AN440">
        <v>1</v>
      </c>
      <c r="AO440">
        <v>7</v>
      </c>
      <c r="AP440">
        <v>1</v>
      </c>
      <c r="AQ440">
        <v>87.5</v>
      </c>
      <c r="AR440" s="2">
        <v>45731.345092592594</v>
      </c>
      <c r="AS440" s="2">
        <v>46023.388657407406</v>
      </c>
      <c r="AT440" t="s">
        <v>1357</v>
      </c>
      <c r="AU440" t="s">
        <v>62</v>
      </c>
      <c r="AV440">
        <v>292</v>
      </c>
    </row>
    <row r="441" spans="1:48" x14ac:dyDescent="0.25">
      <c r="A441">
        <v>638</v>
      </c>
      <c r="B441" t="s">
        <v>1884</v>
      </c>
      <c r="C441" t="s">
        <v>1885</v>
      </c>
      <c r="D441" t="s">
        <v>1886</v>
      </c>
      <c r="E441" t="s">
        <v>1887</v>
      </c>
      <c r="F441">
        <f>1-737-674-4197</f>
        <v>-5607</v>
      </c>
      <c r="G441" t="s">
        <v>53</v>
      </c>
      <c r="H441" s="1">
        <v>36620</v>
      </c>
      <c r="I441">
        <v>26</v>
      </c>
      <c r="J441">
        <v>2000</v>
      </c>
      <c r="K441" s="1">
        <v>45644</v>
      </c>
      <c r="L441">
        <v>2024</v>
      </c>
      <c r="M441" t="s">
        <v>54</v>
      </c>
      <c r="N441">
        <v>3</v>
      </c>
      <c r="O441" t="s">
        <v>68</v>
      </c>
      <c r="P441" t="s">
        <v>69</v>
      </c>
      <c r="Q441">
        <v>60</v>
      </c>
      <c r="R441">
        <v>1</v>
      </c>
      <c r="S441" t="s">
        <v>57</v>
      </c>
      <c r="T441" t="s">
        <v>58</v>
      </c>
      <c r="U441">
        <v>8</v>
      </c>
      <c r="V441">
        <v>9</v>
      </c>
      <c r="W441">
        <v>9</v>
      </c>
      <c r="X441">
        <v>9</v>
      </c>
      <c r="Y441">
        <v>3</v>
      </c>
      <c r="Z441">
        <v>7</v>
      </c>
      <c r="AA441">
        <v>2</v>
      </c>
      <c r="AB441">
        <v>14</v>
      </c>
      <c r="AC441" t="s">
        <v>70</v>
      </c>
      <c r="AD441" t="s">
        <v>60</v>
      </c>
      <c r="AE441">
        <v>1</v>
      </c>
      <c r="AF441">
        <v>0</v>
      </c>
      <c r="AG441">
        <v>1</v>
      </c>
      <c r="AH441">
        <v>1</v>
      </c>
      <c r="AI441">
        <v>0</v>
      </c>
      <c r="AJ441">
        <v>1</v>
      </c>
      <c r="AK441">
        <v>0</v>
      </c>
      <c r="AL441">
        <v>0</v>
      </c>
      <c r="AM441">
        <v>1</v>
      </c>
      <c r="AN441">
        <v>2</v>
      </c>
      <c r="AO441">
        <v>5</v>
      </c>
      <c r="AP441">
        <v>2</v>
      </c>
      <c r="AQ441">
        <v>71.428571428571004</v>
      </c>
      <c r="AR441" s="2">
        <v>45745.891539351855</v>
      </c>
      <c r="AS441" s="2">
        <v>46073.70616898148</v>
      </c>
      <c r="AT441" t="s">
        <v>61</v>
      </c>
      <c r="AU441" t="s">
        <v>62</v>
      </c>
      <c r="AV441">
        <v>328</v>
      </c>
    </row>
    <row r="442" spans="1:48" x14ac:dyDescent="0.25">
      <c r="A442">
        <v>156</v>
      </c>
      <c r="B442" t="s">
        <v>1888</v>
      </c>
      <c r="C442" t="s">
        <v>542</v>
      </c>
      <c r="D442" t="s">
        <v>1730</v>
      </c>
      <c r="E442" t="s">
        <v>1889</v>
      </c>
      <c r="F442" t="s">
        <v>1890</v>
      </c>
      <c r="G442" t="s">
        <v>104</v>
      </c>
      <c r="H442" s="1">
        <v>35133</v>
      </c>
      <c r="I442">
        <v>30</v>
      </c>
      <c r="J442">
        <v>1996</v>
      </c>
      <c r="K442" s="1">
        <v>45492</v>
      </c>
      <c r="L442">
        <v>2024</v>
      </c>
      <c r="M442" t="s">
        <v>54</v>
      </c>
      <c r="N442">
        <v>10</v>
      </c>
      <c r="O442" t="s">
        <v>118</v>
      </c>
      <c r="P442" t="s">
        <v>119</v>
      </c>
      <c r="Q442">
        <v>120</v>
      </c>
      <c r="R442">
        <v>4</v>
      </c>
      <c r="S442" t="s">
        <v>77</v>
      </c>
      <c r="T442" t="s">
        <v>78</v>
      </c>
      <c r="U442">
        <v>8</v>
      </c>
      <c r="V442">
        <v>9</v>
      </c>
      <c r="W442">
        <v>9</v>
      </c>
      <c r="X442">
        <v>9</v>
      </c>
      <c r="Y442">
        <v>2</v>
      </c>
      <c r="Z442">
        <v>7</v>
      </c>
      <c r="AA442">
        <v>3.071428</v>
      </c>
      <c r="AB442">
        <v>21.5</v>
      </c>
      <c r="AC442" t="s">
        <v>540</v>
      </c>
      <c r="AD442" t="s">
        <v>60</v>
      </c>
      <c r="AE442">
        <v>1</v>
      </c>
      <c r="AF442">
        <v>0</v>
      </c>
      <c r="AG442">
        <v>2</v>
      </c>
      <c r="AH442">
        <v>2</v>
      </c>
      <c r="AI442">
        <v>0</v>
      </c>
      <c r="AJ442">
        <v>1</v>
      </c>
      <c r="AK442">
        <v>1</v>
      </c>
      <c r="AL442">
        <v>0</v>
      </c>
      <c r="AM442">
        <v>0</v>
      </c>
      <c r="AN442">
        <v>0</v>
      </c>
      <c r="AO442">
        <v>7</v>
      </c>
      <c r="AP442">
        <v>0</v>
      </c>
      <c r="AQ442">
        <v>100</v>
      </c>
      <c r="AR442" s="2">
        <v>45807.284085648149</v>
      </c>
      <c r="AS442" s="2">
        <v>46060.513877314814</v>
      </c>
      <c r="AT442" t="s">
        <v>61</v>
      </c>
      <c r="AU442" t="s">
        <v>1357</v>
      </c>
      <c r="AV442">
        <v>253</v>
      </c>
    </row>
    <row r="443" spans="1:48" x14ac:dyDescent="0.25">
      <c r="A443">
        <v>665</v>
      </c>
      <c r="B443" t="s">
        <v>1891</v>
      </c>
      <c r="C443" t="s">
        <v>1892</v>
      </c>
      <c r="D443" t="s">
        <v>1893</v>
      </c>
      <c r="E443" t="s">
        <v>1894</v>
      </c>
      <c r="F443" t="s">
        <v>1895</v>
      </c>
      <c r="G443" t="s">
        <v>104</v>
      </c>
      <c r="H443" s="1">
        <v>36512</v>
      </c>
      <c r="I443">
        <v>27</v>
      </c>
      <c r="J443">
        <v>1999</v>
      </c>
      <c r="K443" s="1">
        <v>45049</v>
      </c>
      <c r="L443">
        <v>2023</v>
      </c>
      <c r="M443" t="s">
        <v>111</v>
      </c>
      <c r="N443">
        <v>19</v>
      </c>
      <c r="O443" t="s">
        <v>162</v>
      </c>
      <c r="P443" t="s">
        <v>119</v>
      </c>
      <c r="Q443">
        <v>120</v>
      </c>
      <c r="R443">
        <v>7</v>
      </c>
      <c r="S443" t="s">
        <v>163</v>
      </c>
      <c r="T443" t="s">
        <v>164</v>
      </c>
      <c r="U443">
        <v>9</v>
      </c>
      <c r="V443">
        <v>9</v>
      </c>
      <c r="W443">
        <v>9</v>
      </c>
      <c r="X443">
        <v>8</v>
      </c>
      <c r="Y443">
        <v>2</v>
      </c>
      <c r="Z443">
        <v>9</v>
      </c>
      <c r="AA443">
        <v>1.9444440000000001</v>
      </c>
      <c r="AB443">
        <v>17.5</v>
      </c>
      <c r="AC443" t="s">
        <v>70</v>
      </c>
      <c r="AD443" t="s">
        <v>60</v>
      </c>
      <c r="AE443">
        <v>2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2</v>
      </c>
      <c r="AL443">
        <v>0</v>
      </c>
      <c r="AM443">
        <v>2</v>
      </c>
      <c r="AN443">
        <v>2</v>
      </c>
      <c r="AO443">
        <v>7</v>
      </c>
      <c r="AP443">
        <v>2</v>
      </c>
      <c r="AQ443">
        <v>77.777777777777004</v>
      </c>
      <c r="AR443" s="2">
        <v>45728.395439814813</v>
      </c>
      <c r="AS443" s="2">
        <v>46067.077326388891</v>
      </c>
      <c r="AT443" t="s">
        <v>61</v>
      </c>
      <c r="AU443" t="s">
        <v>62</v>
      </c>
      <c r="AV443">
        <v>339</v>
      </c>
    </row>
    <row r="444" spans="1:48" x14ac:dyDescent="0.25">
      <c r="A444">
        <v>174</v>
      </c>
      <c r="B444" t="s">
        <v>1896</v>
      </c>
      <c r="C444" t="s">
        <v>595</v>
      </c>
      <c r="D444" t="s">
        <v>562</v>
      </c>
      <c r="E444" t="s">
        <v>1897</v>
      </c>
      <c r="F444" t="s">
        <v>1898</v>
      </c>
      <c r="G444" t="s">
        <v>104</v>
      </c>
      <c r="H444" s="1">
        <v>35199</v>
      </c>
      <c r="I444">
        <v>30</v>
      </c>
      <c r="J444">
        <v>1996</v>
      </c>
      <c r="K444" s="1">
        <v>45862</v>
      </c>
      <c r="L444">
        <v>2025</v>
      </c>
      <c r="M444" t="s">
        <v>54</v>
      </c>
      <c r="N444">
        <v>2</v>
      </c>
      <c r="O444" t="s">
        <v>55</v>
      </c>
      <c r="P444" t="s">
        <v>56</v>
      </c>
      <c r="Q444">
        <v>36</v>
      </c>
      <c r="R444">
        <v>1</v>
      </c>
      <c r="S444" t="s">
        <v>57</v>
      </c>
      <c r="T444" t="s">
        <v>58</v>
      </c>
      <c r="U444">
        <v>9</v>
      </c>
      <c r="V444">
        <v>9</v>
      </c>
      <c r="W444">
        <v>9</v>
      </c>
      <c r="X444">
        <v>8</v>
      </c>
      <c r="Y444">
        <v>2</v>
      </c>
      <c r="Z444">
        <v>7</v>
      </c>
      <c r="AA444">
        <v>2.571428</v>
      </c>
      <c r="AB444">
        <v>18</v>
      </c>
      <c r="AC444" t="s">
        <v>70</v>
      </c>
      <c r="AD444" t="s">
        <v>60</v>
      </c>
      <c r="AE444">
        <v>2</v>
      </c>
      <c r="AF444">
        <v>0</v>
      </c>
      <c r="AG444">
        <v>0</v>
      </c>
      <c r="AH444">
        <v>1</v>
      </c>
      <c r="AI444">
        <v>0</v>
      </c>
      <c r="AJ444">
        <v>2</v>
      </c>
      <c r="AK444">
        <v>1</v>
      </c>
      <c r="AL444">
        <v>0</v>
      </c>
      <c r="AM444">
        <v>0</v>
      </c>
      <c r="AN444">
        <v>1</v>
      </c>
      <c r="AO444">
        <v>6</v>
      </c>
      <c r="AP444">
        <v>1</v>
      </c>
      <c r="AQ444">
        <v>85.714285714284998</v>
      </c>
      <c r="AR444" s="2">
        <v>45817.913298611114</v>
      </c>
      <c r="AS444" s="2">
        <v>46065.798518518517</v>
      </c>
      <c r="AT444" t="s">
        <v>61</v>
      </c>
      <c r="AU444" t="s">
        <v>1357</v>
      </c>
      <c r="AV444">
        <v>248</v>
      </c>
    </row>
    <row r="445" spans="1:48" x14ac:dyDescent="0.25">
      <c r="A445">
        <v>274</v>
      </c>
      <c r="B445" t="s">
        <v>1899</v>
      </c>
      <c r="C445" t="s">
        <v>542</v>
      </c>
      <c r="D445" t="s">
        <v>532</v>
      </c>
      <c r="E445" t="s">
        <v>1900</v>
      </c>
      <c r="F445" t="s">
        <v>1901</v>
      </c>
      <c r="G445" t="s">
        <v>104</v>
      </c>
      <c r="H445" s="1">
        <v>38552</v>
      </c>
      <c r="I445">
        <v>21</v>
      </c>
      <c r="J445">
        <v>2005</v>
      </c>
      <c r="K445" s="1">
        <v>45497</v>
      </c>
      <c r="L445">
        <v>2024</v>
      </c>
      <c r="M445" t="s">
        <v>54</v>
      </c>
      <c r="N445">
        <v>3</v>
      </c>
      <c r="O445" t="s">
        <v>68</v>
      </c>
      <c r="P445" t="s">
        <v>69</v>
      </c>
      <c r="Q445">
        <v>60</v>
      </c>
      <c r="R445">
        <v>1</v>
      </c>
      <c r="S445" t="s">
        <v>57</v>
      </c>
      <c r="T445" t="s">
        <v>58</v>
      </c>
      <c r="U445">
        <v>9</v>
      </c>
      <c r="V445">
        <v>9</v>
      </c>
      <c r="W445">
        <v>9</v>
      </c>
      <c r="X445">
        <v>8</v>
      </c>
      <c r="Y445">
        <v>3</v>
      </c>
      <c r="Z445">
        <v>8</v>
      </c>
      <c r="AA445">
        <v>3.25</v>
      </c>
      <c r="AB445">
        <v>26</v>
      </c>
      <c r="AC445" t="s">
        <v>59</v>
      </c>
      <c r="AD445" t="s">
        <v>60</v>
      </c>
      <c r="AE445">
        <v>2</v>
      </c>
      <c r="AF445">
        <v>0</v>
      </c>
      <c r="AG445">
        <v>4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0</v>
      </c>
      <c r="AO445">
        <v>8</v>
      </c>
      <c r="AP445">
        <v>0</v>
      </c>
      <c r="AQ445">
        <v>100</v>
      </c>
      <c r="AR445" s="2">
        <v>45731.035833333335</v>
      </c>
      <c r="AS445" s="2">
        <v>46074.795995370368</v>
      </c>
      <c r="AT445" t="s">
        <v>61</v>
      </c>
      <c r="AU445" t="s">
        <v>62</v>
      </c>
      <c r="AV445">
        <v>343</v>
      </c>
    </row>
    <row r="446" spans="1:48" x14ac:dyDescent="0.25">
      <c r="A446">
        <v>429</v>
      </c>
      <c r="B446" t="s">
        <v>1902</v>
      </c>
      <c r="C446" t="s">
        <v>446</v>
      </c>
      <c r="D446" t="s">
        <v>1903</v>
      </c>
      <c r="E446" t="s">
        <v>1904</v>
      </c>
      <c r="F446" t="s">
        <v>1905</v>
      </c>
      <c r="G446" t="s">
        <v>104</v>
      </c>
      <c r="H446" s="1">
        <v>38567</v>
      </c>
      <c r="I446">
        <v>21</v>
      </c>
      <c r="J446">
        <v>2005</v>
      </c>
      <c r="K446" s="1">
        <v>45700</v>
      </c>
      <c r="L446">
        <v>2025</v>
      </c>
      <c r="M446" t="s">
        <v>54</v>
      </c>
      <c r="N446">
        <v>17</v>
      </c>
      <c r="O446" t="s">
        <v>350</v>
      </c>
      <c r="P446" t="s">
        <v>56</v>
      </c>
      <c r="Q446">
        <v>36</v>
      </c>
      <c r="R446">
        <v>6</v>
      </c>
      <c r="S446" t="s">
        <v>140</v>
      </c>
      <c r="T446" t="s">
        <v>141</v>
      </c>
      <c r="U446">
        <v>9</v>
      </c>
      <c r="V446">
        <v>9</v>
      </c>
      <c r="W446">
        <v>9</v>
      </c>
      <c r="X446">
        <v>9</v>
      </c>
      <c r="Y446">
        <v>3</v>
      </c>
      <c r="Z446">
        <v>7</v>
      </c>
      <c r="AA446">
        <v>2.071428</v>
      </c>
      <c r="AB446">
        <v>14.5</v>
      </c>
      <c r="AC446" t="s">
        <v>70</v>
      </c>
      <c r="AD446" t="s">
        <v>60</v>
      </c>
      <c r="AE446">
        <v>1</v>
      </c>
      <c r="AF446">
        <v>0</v>
      </c>
      <c r="AG446">
        <v>1</v>
      </c>
      <c r="AH446">
        <v>0</v>
      </c>
      <c r="AI446">
        <v>0</v>
      </c>
      <c r="AJ446">
        <v>2</v>
      </c>
      <c r="AK446">
        <v>0</v>
      </c>
      <c r="AL446">
        <v>0</v>
      </c>
      <c r="AM446">
        <v>2</v>
      </c>
      <c r="AN446">
        <v>1</v>
      </c>
      <c r="AO446">
        <v>6</v>
      </c>
      <c r="AP446">
        <v>1</v>
      </c>
      <c r="AQ446">
        <v>85.714285714284998</v>
      </c>
      <c r="AR446" s="2">
        <v>45783.53230324074</v>
      </c>
      <c r="AS446" s="2">
        <v>46063.920405092591</v>
      </c>
      <c r="AT446" t="s">
        <v>61</v>
      </c>
      <c r="AU446" t="s">
        <v>62</v>
      </c>
      <c r="AV446">
        <v>280</v>
      </c>
    </row>
    <row r="447" spans="1:48" x14ac:dyDescent="0.25">
      <c r="A447">
        <v>77</v>
      </c>
      <c r="B447" t="s">
        <v>1906</v>
      </c>
      <c r="C447" t="s">
        <v>595</v>
      </c>
      <c r="D447" t="s">
        <v>1058</v>
      </c>
      <c r="E447" t="s">
        <v>1907</v>
      </c>
      <c r="F447" t="s">
        <v>1908</v>
      </c>
      <c r="G447" t="s">
        <v>104</v>
      </c>
      <c r="H447" s="1">
        <v>35198</v>
      </c>
      <c r="I447">
        <v>30</v>
      </c>
      <c r="J447">
        <v>1996</v>
      </c>
      <c r="K447" s="1">
        <v>45955</v>
      </c>
      <c r="L447">
        <v>2025</v>
      </c>
      <c r="M447" t="s">
        <v>54</v>
      </c>
      <c r="N447">
        <v>20</v>
      </c>
      <c r="O447" t="s">
        <v>180</v>
      </c>
      <c r="P447" t="s">
        <v>56</v>
      </c>
      <c r="Q447">
        <v>36</v>
      </c>
      <c r="R447">
        <v>7</v>
      </c>
      <c r="S447" t="s">
        <v>163</v>
      </c>
      <c r="T447" t="s">
        <v>164</v>
      </c>
      <c r="U447">
        <v>9</v>
      </c>
      <c r="V447">
        <v>9</v>
      </c>
      <c r="W447">
        <v>9</v>
      </c>
      <c r="X447">
        <v>8</v>
      </c>
      <c r="Y447">
        <v>3</v>
      </c>
      <c r="Z447">
        <v>6</v>
      </c>
      <c r="AA447">
        <v>3.1666660000000002</v>
      </c>
      <c r="AB447">
        <v>19</v>
      </c>
      <c r="AC447" t="s">
        <v>540</v>
      </c>
      <c r="AD447" t="s">
        <v>60</v>
      </c>
      <c r="AE447">
        <v>2</v>
      </c>
      <c r="AF447">
        <v>0</v>
      </c>
      <c r="AG447">
        <v>1</v>
      </c>
      <c r="AH447">
        <v>1</v>
      </c>
      <c r="AI447">
        <v>0</v>
      </c>
      <c r="AJ447">
        <v>1</v>
      </c>
      <c r="AK447">
        <v>1</v>
      </c>
      <c r="AL447">
        <v>0</v>
      </c>
      <c r="AM447">
        <v>0</v>
      </c>
      <c r="AN447">
        <v>0</v>
      </c>
      <c r="AO447">
        <v>6</v>
      </c>
      <c r="AP447">
        <v>0</v>
      </c>
      <c r="AQ447">
        <v>100</v>
      </c>
      <c r="AR447" s="2">
        <v>45750.197662037041</v>
      </c>
      <c r="AS447" s="2">
        <v>46057.190208333333</v>
      </c>
      <c r="AT447" t="s">
        <v>61</v>
      </c>
      <c r="AU447" t="s">
        <v>62</v>
      </c>
      <c r="AV447">
        <v>307</v>
      </c>
    </row>
    <row r="448" spans="1:48" x14ac:dyDescent="0.25">
      <c r="A448">
        <v>953</v>
      </c>
      <c r="B448" t="s">
        <v>1909</v>
      </c>
      <c r="C448" t="s">
        <v>266</v>
      </c>
      <c r="D448" t="s">
        <v>1910</v>
      </c>
      <c r="E448" t="s">
        <v>1911</v>
      </c>
      <c r="F448">
        <f>1-313-688-1588</f>
        <v>-2588</v>
      </c>
      <c r="G448" t="s">
        <v>53</v>
      </c>
      <c r="H448" s="1">
        <v>36003</v>
      </c>
      <c r="I448">
        <v>28</v>
      </c>
      <c r="J448">
        <v>1998</v>
      </c>
      <c r="K448" s="1">
        <v>45426</v>
      </c>
      <c r="L448">
        <v>2024</v>
      </c>
      <c r="M448" t="s">
        <v>54</v>
      </c>
      <c r="N448">
        <v>1</v>
      </c>
      <c r="O448" t="s">
        <v>157</v>
      </c>
      <c r="P448" t="s">
        <v>119</v>
      </c>
      <c r="Q448">
        <v>120</v>
      </c>
      <c r="R448">
        <v>1</v>
      </c>
      <c r="S448" t="s">
        <v>57</v>
      </c>
      <c r="T448" t="s">
        <v>58</v>
      </c>
      <c r="U448">
        <v>8</v>
      </c>
      <c r="V448">
        <v>9</v>
      </c>
      <c r="W448">
        <v>9</v>
      </c>
      <c r="X448">
        <v>8</v>
      </c>
      <c r="Y448">
        <v>3</v>
      </c>
      <c r="Z448">
        <v>6</v>
      </c>
      <c r="AA448">
        <v>2.1666660000000002</v>
      </c>
      <c r="AB448">
        <v>13</v>
      </c>
      <c r="AC448" t="s">
        <v>70</v>
      </c>
      <c r="AD448" t="s">
        <v>60</v>
      </c>
      <c r="AE448">
        <v>1</v>
      </c>
      <c r="AF448">
        <v>0</v>
      </c>
      <c r="AG448">
        <v>1</v>
      </c>
      <c r="AH448">
        <v>0</v>
      </c>
      <c r="AI448">
        <v>0</v>
      </c>
      <c r="AJ448">
        <v>1</v>
      </c>
      <c r="AK448">
        <v>1</v>
      </c>
      <c r="AL448">
        <v>0</v>
      </c>
      <c r="AM448">
        <v>1</v>
      </c>
      <c r="AN448">
        <v>1</v>
      </c>
      <c r="AO448">
        <v>5</v>
      </c>
      <c r="AP448">
        <v>1</v>
      </c>
      <c r="AQ448">
        <v>83.333333333333002</v>
      </c>
      <c r="AR448" s="2">
        <v>45723.177523148152</v>
      </c>
      <c r="AS448" s="2">
        <v>46083.144733796296</v>
      </c>
      <c r="AT448" t="s">
        <v>61</v>
      </c>
      <c r="AU448" t="s">
        <v>62</v>
      </c>
      <c r="AV448">
        <v>360</v>
      </c>
    </row>
    <row r="449" spans="1:48" x14ac:dyDescent="0.25">
      <c r="A449">
        <v>703</v>
      </c>
      <c r="B449" t="s">
        <v>1912</v>
      </c>
      <c r="C449" t="s">
        <v>575</v>
      </c>
      <c r="D449" t="s">
        <v>311</v>
      </c>
      <c r="E449" t="s">
        <v>1913</v>
      </c>
      <c r="F449" t="s">
        <v>1914</v>
      </c>
      <c r="G449" t="s">
        <v>53</v>
      </c>
      <c r="H449" s="1">
        <v>36517</v>
      </c>
      <c r="I449">
        <v>27</v>
      </c>
      <c r="J449">
        <v>1999</v>
      </c>
      <c r="K449" s="1">
        <v>45520</v>
      </c>
      <c r="L449">
        <v>2024</v>
      </c>
      <c r="M449" t="s">
        <v>54</v>
      </c>
      <c r="N449">
        <v>20</v>
      </c>
      <c r="O449" t="s">
        <v>180</v>
      </c>
      <c r="P449" t="s">
        <v>56</v>
      </c>
      <c r="Q449">
        <v>36</v>
      </c>
      <c r="R449">
        <v>7</v>
      </c>
      <c r="S449" t="s">
        <v>163</v>
      </c>
      <c r="T449" t="s">
        <v>164</v>
      </c>
      <c r="U449">
        <v>8</v>
      </c>
      <c r="V449">
        <v>9</v>
      </c>
      <c r="W449">
        <v>9</v>
      </c>
      <c r="X449">
        <v>9</v>
      </c>
      <c r="Y449">
        <v>2</v>
      </c>
      <c r="Z449">
        <v>8</v>
      </c>
      <c r="AA449">
        <v>1.6875</v>
      </c>
      <c r="AB449">
        <v>13.5</v>
      </c>
      <c r="AC449" t="s">
        <v>70</v>
      </c>
      <c r="AD449" t="s">
        <v>112</v>
      </c>
      <c r="AE449">
        <v>0</v>
      </c>
      <c r="AF449">
        <v>0</v>
      </c>
      <c r="AG449">
        <v>0</v>
      </c>
      <c r="AH449">
        <v>2</v>
      </c>
      <c r="AI449">
        <v>0</v>
      </c>
      <c r="AJ449">
        <v>1</v>
      </c>
      <c r="AK449">
        <v>2</v>
      </c>
      <c r="AL449">
        <v>0</v>
      </c>
      <c r="AM449">
        <v>1</v>
      </c>
      <c r="AN449">
        <v>2</v>
      </c>
      <c r="AO449">
        <v>6</v>
      </c>
      <c r="AP449">
        <v>2</v>
      </c>
      <c r="AQ449">
        <v>75</v>
      </c>
      <c r="AR449" s="2">
        <v>45726.018518518518</v>
      </c>
      <c r="AS449" s="2">
        <v>45962.600335648145</v>
      </c>
      <c r="AT449" t="s">
        <v>61</v>
      </c>
      <c r="AU449" t="s">
        <v>1357</v>
      </c>
      <c r="AV449">
        <v>236</v>
      </c>
    </row>
    <row r="450" spans="1:48" x14ac:dyDescent="0.25">
      <c r="A450">
        <v>490</v>
      </c>
      <c r="B450" t="s">
        <v>1915</v>
      </c>
      <c r="C450" t="s">
        <v>1155</v>
      </c>
      <c r="D450" t="s">
        <v>1805</v>
      </c>
      <c r="E450" t="s">
        <v>1916</v>
      </c>
      <c r="F450" t="s">
        <v>1917</v>
      </c>
      <c r="G450" t="s">
        <v>104</v>
      </c>
      <c r="H450" s="1">
        <v>38611</v>
      </c>
      <c r="I450">
        <v>21</v>
      </c>
      <c r="J450">
        <v>2005</v>
      </c>
      <c r="K450" s="1">
        <v>45843</v>
      </c>
      <c r="L450">
        <v>2025</v>
      </c>
      <c r="M450" t="s">
        <v>111</v>
      </c>
      <c r="N450">
        <v>8</v>
      </c>
      <c r="O450" t="s">
        <v>125</v>
      </c>
      <c r="P450" t="s">
        <v>56</v>
      </c>
      <c r="Q450">
        <v>36</v>
      </c>
      <c r="R450">
        <v>3</v>
      </c>
      <c r="S450" t="s">
        <v>126</v>
      </c>
      <c r="T450" t="s">
        <v>127</v>
      </c>
      <c r="U450">
        <v>9</v>
      </c>
      <c r="V450">
        <v>9</v>
      </c>
      <c r="W450">
        <v>9</v>
      </c>
      <c r="X450">
        <v>9</v>
      </c>
      <c r="Y450">
        <v>2</v>
      </c>
      <c r="Z450">
        <v>8</v>
      </c>
      <c r="AA450">
        <v>2.875</v>
      </c>
      <c r="AB450">
        <v>23</v>
      </c>
      <c r="AC450" t="s">
        <v>540</v>
      </c>
      <c r="AD450" t="s">
        <v>60</v>
      </c>
      <c r="AE450">
        <v>1</v>
      </c>
      <c r="AF450">
        <v>0</v>
      </c>
      <c r="AG450">
        <v>2</v>
      </c>
      <c r="AH450">
        <v>1</v>
      </c>
      <c r="AI450">
        <v>0</v>
      </c>
      <c r="AJ450">
        <v>2</v>
      </c>
      <c r="AK450">
        <v>2</v>
      </c>
      <c r="AL450">
        <v>0</v>
      </c>
      <c r="AM450">
        <v>0</v>
      </c>
      <c r="AN450">
        <v>0</v>
      </c>
      <c r="AO450">
        <v>8</v>
      </c>
      <c r="AP450">
        <v>0</v>
      </c>
      <c r="AQ450">
        <v>100</v>
      </c>
      <c r="AR450" s="2">
        <v>45723.131851851853</v>
      </c>
      <c r="AS450" s="2">
        <v>46005.577673611115</v>
      </c>
      <c r="AT450" t="s">
        <v>1357</v>
      </c>
      <c r="AU450" t="s">
        <v>62</v>
      </c>
      <c r="AV450">
        <v>282</v>
      </c>
    </row>
    <row r="451" spans="1:48" x14ac:dyDescent="0.25">
      <c r="A451">
        <v>826</v>
      </c>
      <c r="B451" t="s">
        <v>1918</v>
      </c>
      <c r="C451" t="s">
        <v>172</v>
      </c>
      <c r="D451" t="s">
        <v>1919</v>
      </c>
      <c r="E451" t="s">
        <v>1920</v>
      </c>
      <c r="F451" t="s">
        <v>1921</v>
      </c>
      <c r="G451" t="s">
        <v>104</v>
      </c>
      <c r="H451" s="1">
        <v>36100</v>
      </c>
      <c r="I451">
        <v>28</v>
      </c>
      <c r="J451">
        <v>1998</v>
      </c>
      <c r="K451" s="1">
        <v>44746</v>
      </c>
      <c r="L451">
        <v>2022</v>
      </c>
      <c r="M451" t="s">
        <v>54</v>
      </c>
      <c r="N451">
        <v>2</v>
      </c>
      <c r="O451" t="s">
        <v>55</v>
      </c>
      <c r="P451" t="s">
        <v>56</v>
      </c>
      <c r="Q451">
        <v>36</v>
      </c>
      <c r="R451">
        <v>1</v>
      </c>
      <c r="S451" t="s">
        <v>57</v>
      </c>
      <c r="T451" t="s">
        <v>58</v>
      </c>
      <c r="U451">
        <v>8</v>
      </c>
      <c r="V451">
        <v>8</v>
      </c>
      <c r="W451">
        <v>8</v>
      </c>
      <c r="X451">
        <v>7</v>
      </c>
      <c r="Y451">
        <v>2</v>
      </c>
      <c r="Z451">
        <v>8</v>
      </c>
      <c r="AA451">
        <v>1.4375</v>
      </c>
      <c r="AB451">
        <v>11.5</v>
      </c>
      <c r="AC451" t="s">
        <v>70</v>
      </c>
      <c r="AD451" t="s">
        <v>112</v>
      </c>
      <c r="AE451">
        <v>0</v>
      </c>
      <c r="AF451">
        <v>0</v>
      </c>
      <c r="AG451">
        <v>1</v>
      </c>
      <c r="AH451">
        <v>1</v>
      </c>
      <c r="AI451">
        <v>0</v>
      </c>
      <c r="AJ451">
        <v>0</v>
      </c>
      <c r="AK451">
        <v>1</v>
      </c>
      <c r="AL451">
        <v>0</v>
      </c>
      <c r="AM451">
        <v>3</v>
      </c>
      <c r="AN451">
        <v>2</v>
      </c>
      <c r="AO451">
        <v>6</v>
      </c>
      <c r="AP451">
        <v>2</v>
      </c>
      <c r="AQ451">
        <v>75</v>
      </c>
      <c r="AR451" s="2">
        <v>45791.132118055553</v>
      </c>
      <c r="AS451" s="2">
        <v>46085.345648148148</v>
      </c>
      <c r="AT451" t="s">
        <v>61</v>
      </c>
      <c r="AU451" t="s">
        <v>62</v>
      </c>
      <c r="AV451">
        <v>294</v>
      </c>
    </row>
    <row r="452" spans="1:48" x14ac:dyDescent="0.25">
      <c r="A452">
        <v>958</v>
      </c>
      <c r="B452" t="s">
        <v>1922</v>
      </c>
      <c r="C452" t="s">
        <v>266</v>
      </c>
      <c r="D452" t="s">
        <v>327</v>
      </c>
      <c r="E452" t="s">
        <v>1923</v>
      </c>
      <c r="F452" t="s">
        <v>1924</v>
      </c>
      <c r="G452" t="s">
        <v>53</v>
      </c>
      <c r="H452" s="1">
        <v>36556</v>
      </c>
      <c r="I452">
        <v>26</v>
      </c>
      <c r="J452">
        <v>2000</v>
      </c>
      <c r="K452" s="1">
        <v>44804</v>
      </c>
      <c r="L452">
        <v>2022</v>
      </c>
      <c r="M452" t="s">
        <v>54</v>
      </c>
      <c r="N452">
        <v>10</v>
      </c>
      <c r="O452" t="s">
        <v>118</v>
      </c>
      <c r="P452" t="s">
        <v>119</v>
      </c>
      <c r="Q452">
        <v>120</v>
      </c>
      <c r="R452">
        <v>4</v>
      </c>
      <c r="S452" t="s">
        <v>77</v>
      </c>
      <c r="T452" t="s">
        <v>78</v>
      </c>
      <c r="U452">
        <v>8</v>
      </c>
      <c r="V452">
        <v>8</v>
      </c>
      <c r="W452">
        <v>8</v>
      </c>
      <c r="X452">
        <v>7</v>
      </c>
      <c r="Y452">
        <v>2</v>
      </c>
      <c r="Z452">
        <v>7</v>
      </c>
      <c r="AA452">
        <v>2.571428</v>
      </c>
      <c r="AB452">
        <v>18</v>
      </c>
      <c r="AC452" t="s">
        <v>70</v>
      </c>
      <c r="AD452" t="s">
        <v>60</v>
      </c>
      <c r="AE452">
        <v>2</v>
      </c>
      <c r="AF452">
        <v>0</v>
      </c>
      <c r="AG452">
        <v>1</v>
      </c>
      <c r="AH452">
        <v>1</v>
      </c>
      <c r="AI452">
        <v>0</v>
      </c>
      <c r="AJ452">
        <v>1</v>
      </c>
      <c r="AK452">
        <v>0</v>
      </c>
      <c r="AL452">
        <v>0</v>
      </c>
      <c r="AM452">
        <v>1</v>
      </c>
      <c r="AN452">
        <v>1</v>
      </c>
      <c r="AO452">
        <v>6</v>
      </c>
      <c r="AP452">
        <v>1</v>
      </c>
      <c r="AQ452">
        <v>85.714285714284998</v>
      </c>
      <c r="AR452" s="2">
        <v>45722.121030092596</v>
      </c>
      <c r="AS452" s="2">
        <v>46028.785555555558</v>
      </c>
      <c r="AT452" t="s">
        <v>1357</v>
      </c>
      <c r="AU452" t="s">
        <v>62</v>
      </c>
      <c r="AV452">
        <v>306</v>
      </c>
    </row>
    <row r="453" spans="1:48" x14ac:dyDescent="0.25">
      <c r="A453">
        <v>138</v>
      </c>
      <c r="B453" t="s">
        <v>1925</v>
      </c>
      <c r="C453" t="s">
        <v>107</v>
      </c>
      <c r="D453" t="s">
        <v>1926</v>
      </c>
      <c r="E453" t="s">
        <v>1927</v>
      </c>
      <c r="F453" t="s">
        <v>1928</v>
      </c>
      <c r="G453" t="s">
        <v>53</v>
      </c>
      <c r="H453" s="1">
        <v>38551</v>
      </c>
      <c r="I453">
        <v>21</v>
      </c>
      <c r="J453">
        <v>2005</v>
      </c>
      <c r="K453" s="1">
        <v>45839</v>
      </c>
      <c r="L453">
        <v>2025</v>
      </c>
      <c r="M453" t="s">
        <v>54</v>
      </c>
      <c r="N453">
        <v>20</v>
      </c>
      <c r="O453" t="s">
        <v>180</v>
      </c>
      <c r="P453" t="s">
        <v>56</v>
      </c>
      <c r="Q453">
        <v>36</v>
      </c>
      <c r="R453">
        <v>7</v>
      </c>
      <c r="S453" t="s">
        <v>163</v>
      </c>
      <c r="T453" t="s">
        <v>164</v>
      </c>
      <c r="U453">
        <v>7</v>
      </c>
      <c r="V453">
        <v>8</v>
      </c>
      <c r="W453">
        <v>8</v>
      </c>
      <c r="X453">
        <v>7</v>
      </c>
      <c r="Y453">
        <v>2</v>
      </c>
      <c r="Z453">
        <v>8</v>
      </c>
      <c r="AA453">
        <v>2.375</v>
      </c>
      <c r="AB453">
        <v>19</v>
      </c>
      <c r="AC453" t="s">
        <v>70</v>
      </c>
      <c r="AD453" t="s">
        <v>60</v>
      </c>
      <c r="AE453">
        <v>1</v>
      </c>
      <c r="AF453">
        <v>0</v>
      </c>
      <c r="AG453">
        <v>0</v>
      </c>
      <c r="AH453">
        <v>3</v>
      </c>
      <c r="AI453">
        <v>0</v>
      </c>
      <c r="AJ453">
        <v>2</v>
      </c>
      <c r="AK453">
        <v>0</v>
      </c>
      <c r="AL453">
        <v>0</v>
      </c>
      <c r="AM453">
        <v>1</v>
      </c>
      <c r="AN453">
        <v>1</v>
      </c>
      <c r="AO453">
        <v>7</v>
      </c>
      <c r="AP453">
        <v>1</v>
      </c>
      <c r="AQ453">
        <v>87.5</v>
      </c>
      <c r="AR453" s="2">
        <v>45743.566655092596</v>
      </c>
      <c r="AS453" s="2">
        <v>45982.22855324074</v>
      </c>
      <c r="AT453" t="s">
        <v>61</v>
      </c>
      <c r="AU453" t="s">
        <v>62</v>
      </c>
      <c r="AV453">
        <v>239</v>
      </c>
    </row>
    <row r="454" spans="1:48" x14ac:dyDescent="0.25">
      <c r="A454">
        <v>606</v>
      </c>
      <c r="B454" t="s">
        <v>1929</v>
      </c>
      <c r="C454" t="s">
        <v>191</v>
      </c>
      <c r="D454" t="s">
        <v>430</v>
      </c>
      <c r="E454" t="s">
        <v>1930</v>
      </c>
      <c r="F454" t="s">
        <v>1931</v>
      </c>
      <c r="G454" t="s">
        <v>53</v>
      </c>
      <c r="H454" s="1">
        <v>37721</v>
      </c>
      <c r="I454">
        <v>23</v>
      </c>
      <c r="J454">
        <v>2003</v>
      </c>
      <c r="K454" s="1">
        <v>45512</v>
      </c>
      <c r="L454">
        <v>2024</v>
      </c>
      <c r="M454" t="s">
        <v>54</v>
      </c>
      <c r="N454">
        <v>6</v>
      </c>
      <c r="O454" t="s">
        <v>133</v>
      </c>
      <c r="P454" t="s">
        <v>69</v>
      </c>
      <c r="Q454">
        <v>60</v>
      </c>
      <c r="R454">
        <v>2</v>
      </c>
      <c r="S454" t="s">
        <v>85</v>
      </c>
      <c r="T454" t="s">
        <v>86</v>
      </c>
      <c r="U454">
        <v>8</v>
      </c>
      <c r="V454">
        <v>8</v>
      </c>
      <c r="W454">
        <v>8</v>
      </c>
      <c r="X454">
        <v>7</v>
      </c>
      <c r="Y454">
        <v>2</v>
      </c>
      <c r="Z454">
        <v>6</v>
      </c>
      <c r="AA454">
        <v>2.0833330000000001</v>
      </c>
      <c r="AB454">
        <v>12.5</v>
      </c>
      <c r="AC454" t="s">
        <v>70</v>
      </c>
      <c r="AD454" t="s">
        <v>60</v>
      </c>
      <c r="AE454">
        <v>1</v>
      </c>
      <c r="AF454">
        <v>0</v>
      </c>
      <c r="AG454">
        <v>1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2</v>
      </c>
      <c r="AN454">
        <v>1</v>
      </c>
      <c r="AO454">
        <v>5</v>
      </c>
      <c r="AP454">
        <v>1</v>
      </c>
      <c r="AQ454">
        <v>83.333333333333002</v>
      </c>
      <c r="AR454" s="2">
        <v>45759.742858796293</v>
      </c>
      <c r="AS454" s="2">
        <v>45984.266076388885</v>
      </c>
      <c r="AT454" t="s">
        <v>1357</v>
      </c>
      <c r="AU454" t="s">
        <v>62</v>
      </c>
      <c r="AV454">
        <v>225</v>
      </c>
    </row>
    <row r="455" spans="1:48" x14ac:dyDescent="0.25">
      <c r="A455">
        <v>940</v>
      </c>
      <c r="B455" t="s">
        <v>1932</v>
      </c>
      <c r="C455" t="s">
        <v>187</v>
      </c>
      <c r="D455" t="s">
        <v>410</v>
      </c>
      <c r="E455" t="s">
        <v>1933</v>
      </c>
      <c r="F455" t="s">
        <v>1934</v>
      </c>
      <c r="G455" t="s">
        <v>104</v>
      </c>
      <c r="H455" s="1">
        <v>38307</v>
      </c>
      <c r="I455">
        <v>22</v>
      </c>
      <c r="J455">
        <v>2004</v>
      </c>
      <c r="K455" s="1">
        <v>44654</v>
      </c>
      <c r="L455">
        <v>2022</v>
      </c>
      <c r="M455" t="s">
        <v>54</v>
      </c>
      <c r="N455">
        <v>12</v>
      </c>
      <c r="O455" t="s">
        <v>76</v>
      </c>
      <c r="P455" t="s">
        <v>69</v>
      </c>
      <c r="Q455">
        <v>60</v>
      </c>
      <c r="R455">
        <v>4</v>
      </c>
      <c r="S455" t="s">
        <v>77</v>
      </c>
      <c r="T455" t="s">
        <v>78</v>
      </c>
      <c r="U455">
        <v>8</v>
      </c>
      <c r="V455">
        <v>8</v>
      </c>
      <c r="W455">
        <v>8</v>
      </c>
      <c r="X455">
        <v>8</v>
      </c>
      <c r="Y455">
        <v>2</v>
      </c>
      <c r="Z455">
        <v>8</v>
      </c>
      <c r="AA455">
        <v>1.6875</v>
      </c>
      <c r="AB455">
        <v>13.5</v>
      </c>
      <c r="AC455" t="s">
        <v>70</v>
      </c>
      <c r="AD455" t="s">
        <v>112</v>
      </c>
      <c r="AE455">
        <v>0</v>
      </c>
      <c r="AF455">
        <v>0</v>
      </c>
      <c r="AG455">
        <v>0</v>
      </c>
      <c r="AH455">
        <v>3</v>
      </c>
      <c r="AI455">
        <v>0</v>
      </c>
      <c r="AJ455">
        <v>1</v>
      </c>
      <c r="AK455">
        <v>1</v>
      </c>
      <c r="AL455">
        <v>0</v>
      </c>
      <c r="AM455">
        <v>0</v>
      </c>
      <c r="AN455">
        <v>3</v>
      </c>
      <c r="AO455">
        <v>5</v>
      </c>
      <c r="AP455">
        <v>3</v>
      </c>
      <c r="AQ455">
        <v>62.5</v>
      </c>
      <c r="AR455" s="2">
        <v>45751.680891203701</v>
      </c>
      <c r="AS455" s="2">
        <v>46047.775682870371</v>
      </c>
      <c r="AT455" t="s">
        <v>1357</v>
      </c>
      <c r="AU455" t="s">
        <v>62</v>
      </c>
      <c r="AV455">
        <v>296</v>
      </c>
    </row>
    <row r="456" spans="1:48" x14ac:dyDescent="0.25">
      <c r="A456">
        <v>595</v>
      </c>
      <c r="B456" t="s">
        <v>1935</v>
      </c>
      <c r="C456" t="s">
        <v>390</v>
      </c>
      <c r="D456" t="s">
        <v>1936</v>
      </c>
      <c r="E456" t="s">
        <v>1937</v>
      </c>
      <c r="F456" t="s">
        <v>1938</v>
      </c>
      <c r="G456" t="s">
        <v>53</v>
      </c>
      <c r="H456" s="1">
        <v>37771</v>
      </c>
      <c r="I456">
        <v>23</v>
      </c>
      <c r="J456">
        <v>2003</v>
      </c>
      <c r="K456" s="1">
        <v>45360</v>
      </c>
      <c r="L456">
        <v>2024</v>
      </c>
      <c r="M456" t="s">
        <v>54</v>
      </c>
      <c r="N456">
        <v>13</v>
      </c>
      <c r="O456" t="s">
        <v>146</v>
      </c>
      <c r="P456" t="s">
        <v>119</v>
      </c>
      <c r="Q456">
        <v>120</v>
      </c>
      <c r="R456">
        <v>5</v>
      </c>
      <c r="S456" t="s">
        <v>92</v>
      </c>
      <c r="T456" t="s">
        <v>93</v>
      </c>
      <c r="U456">
        <v>8</v>
      </c>
      <c r="V456">
        <v>8</v>
      </c>
      <c r="W456">
        <v>8</v>
      </c>
      <c r="X456">
        <v>7</v>
      </c>
      <c r="Y456">
        <v>2</v>
      </c>
      <c r="Z456">
        <v>7</v>
      </c>
      <c r="AA456">
        <v>2.785714</v>
      </c>
      <c r="AB456">
        <v>19.5</v>
      </c>
      <c r="AC456" t="s">
        <v>59</v>
      </c>
      <c r="AD456" t="s">
        <v>112</v>
      </c>
      <c r="AE456">
        <v>0</v>
      </c>
      <c r="AF456">
        <v>0</v>
      </c>
      <c r="AG456">
        <v>3</v>
      </c>
      <c r="AH456">
        <v>2</v>
      </c>
      <c r="AI456">
        <v>0</v>
      </c>
      <c r="AJ456">
        <v>0</v>
      </c>
      <c r="AK456">
        <v>1</v>
      </c>
      <c r="AL456">
        <v>0</v>
      </c>
      <c r="AM456">
        <v>1</v>
      </c>
      <c r="AN456">
        <v>0</v>
      </c>
      <c r="AO456">
        <v>7</v>
      </c>
      <c r="AP456">
        <v>0</v>
      </c>
      <c r="AQ456">
        <v>100</v>
      </c>
      <c r="AR456" s="2">
        <v>45762.830833333333</v>
      </c>
      <c r="AS456" s="2">
        <v>46076.901932870373</v>
      </c>
      <c r="AT456" t="s">
        <v>1357</v>
      </c>
      <c r="AU456" t="s">
        <v>62</v>
      </c>
      <c r="AV456">
        <v>314</v>
      </c>
    </row>
    <row r="457" spans="1:48" x14ac:dyDescent="0.25">
      <c r="A457">
        <v>783</v>
      </c>
      <c r="B457" t="s">
        <v>1939</v>
      </c>
      <c r="C457" t="s">
        <v>143</v>
      </c>
      <c r="D457" t="s">
        <v>1940</v>
      </c>
      <c r="E457" t="s">
        <v>1941</v>
      </c>
      <c r="F457">
        <v>3666039205</v>
      </c>
      <c r="G457" t="s">
        <v>53</v>
      </c>
      <c r="H457" s="1">
        <v>39135</v>
      </c>
      <c r="I457">
        <v>19</v>
      </c>
      <c r="J457">
        <v>2007</v>
      </c>
      <c r="K457" s="1">
        <v>45796</v>
      </c>
      <c r="L457">
        <v>2025</v>
      </c>
      <c r="M457" t="s">
        <v>54</v>
      </c>
      <c r="N457">
        <v>12</v>
      </c>
      <c r="O457" t="s">
        <v>76</v>
      </c>
      <c r="P457" t="s">
        <v>69</v>
      </c>
      <c r="Q457">
        <v>60</v>
      </c>
      <c r="R457">
        <v>4</v>
      </c>
      <c r="S457" t="s">
        <v>77</v>
      </c>
      <c r="T457" t="s">
        <v>78</v>
      </c>
      <c r="U457">
        <v>7</v>
      </c>
      <c r="V457">
        <v>8</v>
      </c>
      <c r="W457">
        <v>8</v>
      </c>
      <c r="X457">
        <v>8</v>
      </c>
      <c r="Y457">
        <v>2</v>
      </c>
      <c r="Z457">
        <v>7</v>
      </c>
      <c r="AA457">
        <v>1.928571</v>
      </c>
      <c r="AB457">
        <v>13.5</v>
      </c>
      <c r="AC457" t="s">
        <v>70</v>
      </c>
      <c r="AD457" t="s">
        <v>60</v>
      </c>
      <c r="AE457">
        <v>1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2</v>
      </c>
      <c r="AL457">
        <v>0</v>
      </c>
      <c r="AM457">
        <v>2</v>
      </c>
      <c r="AN457">
        <v>1</v>
      </c>
      <c r="AO457">
        <v>6</v>
      </c>
      <c r="AP457">
        <v>1</v>
      </c>
      <c r="AQ457">
        <v>85.714285714284998</v>
      </c>
      <c r="AR457" s="2">
        <v>45743.046469907407</v>
      </c>
      <c r="AS457" s="2">
        <v>46042.800023148149</v>
      </c>
      <c r="AT457" t="s">
        <v>1357</v>
      </c>
      <c r="AU457" t="s">
        <v>62</v>
      </c>
      <c r="AV457">
        <v>299</v>
      </c>
    </row>
    <row r="458" spans="1:48" x14ac:dyDescent="0.25">
      <c r="A458">
        <v>512</v>
      </c>
      <c r="B458" t="s">
        <v>1942</v>
      </c>
      <c r="C458" t="s">
        <v>1943</v>
      </c>
      <c r="D458" t="s">
        <v>1944</v>
      </c>
      <c r="E458" t="s">
        <v>1945</v>
      </c>
      <c r="F458" t="s">
        <v>1946</v>
      </c>
      <c r="G458" t="s">
        <v>104</v>
      </c>
      <c r="H458" s="1">
        <v>38070</v>
      </c>
      <c r="I458">
        <v>22</v>
      </c>
      <c r="J458">
        <v>2004</v>
      </c>
      <c r="K458" s="1">
        <v>45575</v>
      </c>
      <c r="L458">
        <v>2024</v>
      </c>
      <c r="M458" t="s">
        <v>54</v>
      </c>
      <c r="N458">
        <v>18</v>
      </c>
      <c r="O458" t="s">
        <v>139</v>
      </c>
      <c r="P458" t="s">
        <v>69</v>
      </c>
      <c r="Q458">
        <v>60</v>
      </c>
      <c r="R458">
        <v>6</v>
      </c>
      <c r="S458" t="s">
        <v>140</v>
      </c>
      <c r="T458" t="s">
        <v>141</v>
      </c>
      <c r="U458">
        <v>8</v>
      </c>
      <c r="V458">
        <v>8</v>
      </c>
      <c r="W458">
        <v>8</v>
      </c>
      <c r="X458">
        <v>7</v>
      </c>
      <c r="Y458">
        <v>2</v>
      </c>
      <c r="Z458">
        <v>8</v>
      </c>
      <c r="AA458">
        <v>2.1875</v>
      </c>
      <c r="AB458">
        <v>17.5</v>
      </c>
      <c r="AC458" t="s">
        <v>70</v>
      </c>
      <c r="AD458" t="s">
        <v>60</v>
      </c>
      <c r="AE458">
        <v>1</v>
      </c>
      <c r="AF458">
        <v>0</v>
      </c>
      <c r="AG458">
        <v>1</v>
      </c>
      <c r="AH458">
        <v>0</v>
      </c>
      <c r="AI458">
        <v>0</v>
      </c>
      <c r="AJ458">
        <v>2</v>
      </c>
      <c r="AK458">
        <v>2</v>
      </c>
      <c r="AL458">
        <v>0</v>
      </c>
      <c r="AM458">
        <v>1</v>
      </c>
      <c r="AN458">
        <v>1</v>
      </c>
      <c r="AO458">
        <v>7</v>
      </c>
      <c r="AP458">
        <v>1</v>
      </c>
      <c r="AQ458">
        <v>87.5</v>
      </c>
      <c r="AR458" s="2">
        <v>45723.867569444446</v>
      </c>
      <c r="AS458" s="2">
        <v>46022.770428240743</v>
      </c>
      <c r="AT458" t="s">
        <v>61</v>
      </c>
      <c r="AU458" t="s">
        <v>62</v>
      </c>
      <c r="AV458">
        <v>299</v>
      </c>
    </row>
    <row r="459" spans="1:48" x14ac:dyDescent="0.25">
      <c r="A459">
        <v>664</v>
      </c>
      <c r="B459" t="s">
        <v>1947</v>
      </c>
      <c r="C459" t="s">
        <v>153</v>
      </c>
      <c r="D459" t="s">
        <v>611</v>
      </c>
      <c r="E459" t="s">
        <v>1948</v>
      </c>
      <c r="F459" t="s">
        <v>1949</v>
      </c>
      <c r="G459" t="s">
        <v>104</v>
      </c>
      <c r="H459" s="1">
        <v>36310</v>
      </c>
      <c r="I459">
        <v>27</v>
      </c>
      <c r="J459">
        <v>1999</v>
      </c>
      <c r="K459" s="1">
        <v>45167</v>
      </c>
      <c r="L459">
        <v>2023</v>
      </c>
      <c r="M459" t="s">
        <v>54</v>
      </c>
      <c r="N459">
        <v>12</v>
      </c>
      <c r="O459" t="s">
        <v>76</v>
      </c>
      <c r="P459" t="s">
        <v>69</v>
      </c>
      <c r="Q459">
        <v>60</v>
      </c>
      <c r="R459">
        <v>4</v>
      </c>
      <c r="S459" t="s">
        <v>77</v>
      </c>
      <c r="T459" t="s">
        <v>78</v>
      </c>
      <c r="U459">
        <v>8</v>
      </c>
      <c r="V459">
        <v>8</v>
      </c>
      <c r="W459">
        <v>8</v>
      </c>
      <c r="X459">
        <v>7</v>
      </c>
      <c r="Y459">
        <v>2</v>
      </c>
      <c r="Z459">
        <v>5</v>
      </c>
      <c r="AA459">
        <v>2.6</v>
      </c>
      <c r="AB459">
        <v>13</v>
      </c>
      <c r="AC459" t="s">
        <v>540</v>
      </c>
      <c r="AD459" t="s">
        <v>112</v>
      </c>
      <c r="AE459">
        <v>0</v>
      </c>
      <c r="AF459">
        <v>0</v>
      </c>
      <c r="AG459">
        <v>0</v>
      </c>
      <c r="AH459">
        <v>2</v>
      </c>
      <c r="AI459">
        <v>0</v>
      </c>
      <c r="AJ459">
        <v>2</v>
      </c>
      <c r="AK459">
        <v>1</v>
      </c>
      <c r="AL459">
        <v>0</v>
      </c>
      <c r="AM459">
        <v>0</v>
      </c>
      <c r="AN459">
        <v>0</v>
      </c>
      <c r="AO459">
        <v>5</v>
      </c>
      <c r="AP459">
        <v>0</v>
      </c>
      <c r="AQ459">
        <v>100</v>
      </c>
      <c r="AR459" s="2">
        <v>45745.324108796296</v>
      </c>
      <c r="AS459" s="2">
        <v>46072.341678240744</v>
      </c>
      <c r="AT459" t="s">
        <v>61</v>
      </c>
      <c r="AU459" t="s">
        <v>1357</v>
      </c>
      <c r="AV459">
        <v>327</v>
      </c>
    </row>
    <row r="460" spans="1:48" x14ac:dyDescent="0.25">
      <c r="A460">
        <v>877</v>
      </c>
      <c r="B460" t="s">
        <v>1950</v>
      </c>
      <c r="C460" t="s">
        <v>395</v>
      </c>
      <c r="D460" t="s">
        <v>1135</v>
      </c>
      <c r="E460" t="s">
        <v>1951</v>
      </c>
      <c r="F460" t="s">
        <v>1952</v>
      </c>
      <c r="G460" t="s">
        <v>104</v>
      </c>
      <c r="H460" s="1">
        <v>36363</v>
      </c>
      <c r="I460">
        <v>27</v>
      </c>
      <c r="J460">
        <v>1999</v>
      </c>
      <c r="K460" s="1">
        <v>45635</v>
      </c>
      <c r="L460">
        <v>2024</v>
      </c>
      <c r="M460" t="s">
        <v>54</v>
      </c>
      <c r="N460">
        <v>5</v>
      </c>
      <c r="O460" t="s">
        <v>84</v>
      </c>
      <c r="P460" t="s">
        <v>56</v>
      </c>
      <c r="Q460">
        <v>36</v>
      </c>
      <c r="R460">
        <v>2</v>
      </c>
      <c r="S460" t="s">
        <v>85</v>
      </c>
      <c r="T460" t="s">
        <v>86</v>
      </c>
      <c r="U460">
        <v>8</v>
      </c>
      <c r="V460">
        <v>8</v>
      </c>
      <c r="W460">
        <v>8</v>
      </c>
      <c r="X460">
        <v>8</v>
      </c>
      <c r="Y460">
        <v>2</v>
      </c>
      <c r="Z460">
        <v>5</v>
      </c>
      <c r="AA460">
        <v>2.7</v>
      </c>
      <c r="AB460">
        <v>13.5</v>
      </c>
      <c r="AC460" t="s">
        <v>59</v>
      </c>
      <c r="AD460" t="s">
        <v>60</v>
      </c>
      <c r="AE460">
        <v>1</v>
      </c>
      <c r="AF460">
        <v>0</v>
      </c>
      <c r="AG460">
        <v>1</v>
      </c>
      <c r="AH460">
        <v>1</v>
      </c>
      <c r="AI460">
        <v>0</v>
      </c>
      <c r="AJ460">
        <v>0</v>
      </c>
      <c r="AK460">
        <v>1</v>
      </c>
      <c r="AL460">
        <v>0</v>
      </c>
      <c r="AM460">
        <v>1</v>
      </c>
      <c r="AN460">
        <v>0</v>
      </c>
      <c r="AO460">
        <v>5</v>
      </c>
      <c r="AP460">
        <v>0</v>
      </c>
      <c r="AQ460">
        <v>100</v>
      </c>
      <c r="AR460" s="2">
        <v>45819.114537037036</v>
      </c>
      <c r="AS460" s="2">
        <v>45993.626354166663</v>
      </c>
      <c r="AT460" t="s">
        <v>61</v>
      </c>
      <c r="AU460" t="s">
        <v>1357</v>
      </c>
      <c r="AV460">
        <v>174</v>
      </c>
    </row>
    <row r="461" spans="1:48" x14ac:dyDescent="0.25">
      <c r="A461">
        <v>672</v>
      </c>
      <c r="B461" t="s">
        <v>1953</v>
      </c>
      <c r="C461" t="s">
        <v>1954</v>
      </c>
      <c r="D461" t="s">
        <v>807</v>
      </c>
      <c r="E461" t="s">
        <v>1955</v>
      </c>
      <c r="F461" t="s">
        <v>1956</v>
      </c>
      <c r="G461" t="s">
        <v>53</v>
      </c>
      <c r="H461" s="1">
        <v>39087</v>
      </c>
      <c r="I461">
        <v>19</v>
      </c>
      <c r="J461">
        <v>2007</v>
      </c>
      <c r="K461" s="1">
        <v>45546</v>
      </c>
      <c r="L461">
        <v>2024</v>
      </c>
      <c r="M461" t="s">
        <v>54</v>
      </c>
      <c r="N461">
        <v>4</v>
      </c>
      <c r="O461" t="s">
        <v>215</v>
      </c>
      <c r="P461" t="s">
        <v>119</v>
      </c>
      <c r="Q461">
        <v>120</v>
      </c>
      <c r="R461">
        <v>2</v>
      </c>
      <c r="S461" t="s">
        <v>85</v>
      </c>
      <c r="T461" t="s">
        <v>86</v>
      </c>
      <c r="U461">
        <v>8</v>
      </c>
      <c r="V461">
        <v>8</v>
      </c>
      <c r="W461">
        <v>8</v>
      </c>
      <c r="X461">
        <v>8</v>
      </c>
      <c r="Y461">
        <v>2</v>
      </c>
      <c r="Z461">
        <v>7</v>
      </c>
      <c r="AA461">
        <v>2.3571420000000001</v>
      </c>
      <c r="AB461">
        <v>16.5</v>
      </c>
      <c r="AC461" t="s">
        <v>70</v>
      </c>
      <c r="AD461" t="s">
        <v>112</v>
      </c>
      <c r="AE461">
        <v>0</v>
      </c>
      <c r="AF461">
        <v>0</v>
      </c>
      <c r="AG461">
        <v>1</v>
      </c>
      <c r="AH461">
        <v>2</v>
      </c>
      <c r="AI461">
        <v>0</v>
      </c>
      <c r="AJ461">
        <v>2</v>
      </c>
      <c r="AK461">
        <v>1</v>
      </c>
      <c r="AL461">
        <v>0</v>
      </c>
      <c r="AM461">
        <v>0</v>
      </c>
      <c r="AN461">
        <v>1</v>
      </c>
      <c r="AO461">
        <v>6</v>
      </c>
      <c r="AP461">
        <v>1</v>
      </c>
      <c r="AQ461">
        <v>85.714285714284998</v>
      </c>
      <c r="AR461" s="2">
        <v>45723.511863425927</v>
      </c>
      <c r="AS461" s="2">
        <v>46021.347037037034</v>
      </c>
      <c r="AT461" t="s">
        <v>1357</v>
      </c>
      <c r="AU461" t="s">
        <v>62</v>
      </c>
      <c r="AV461">
        <v>298</v>
      </c>
    </row>
    <row r="462" spans="1:48" x14ac:dyDescent="0.25">
      <c r="A462">
        <v>180</v>
      </c>
      <c r="B462" t="s">
        <v>1957</v>
      </c>
      <c r="C462" t="s">
        <v>107</v>
      </c>
      <c r="D462" t="s">
        <v>1958</v>
      </c>
      <c r="E462" t="s">
        <v>1959</v>
      </c>
      <c r="F462" t="s">
        <v>1960</v>
      </c>
      <c r="G462" t="s">
        <v>53</v>
      </c>
      <c r="H462" s="1">
        <v>36338</v>
      </c>
      <c r="I462">
        <v>27</v>
      </c>
      <c r="J462">
        <v>1999</v>
      </c>
      <c r="K462" s="1">
        <v>45522</v>
      </c>
      <c r="L462">
        <v>2024</v>
      </c>
      <c r="M462" t="s">
        <v>54</v>
      </c>
      <c r="N462">
        <v>14</v>
      </c>
      <c r="O462" t="s">
        <v>105</v>
      </c>
      <c r="P462" t="s">
        <v>56</v>
      </c>
      <c r="Q462">
        <v>36</v>
      </c>
      <c r="R462">
        <v>5</v>
      </c>
      <c r="S462" t="s">
        <v>92</v>
      </c>
      <c r="T462" t="s">
        <v>93</v>
      </c>
      <c r="U462">
        <v>7</v>
      </c>
      <c r="V462">
        <v>8</v>
      </c>
      <c r="W462">
        <v>8</v>
      </c>
      <c r="X462">
        <v>8</v>
      </c>
      <c r="Y462">
        <v>2</v>
      </c>
      <c r="Z462">
        <v>6</v>
      </c>
      <c r="AA462">
        <v>1.75</v>
      </c>
      <c r="AB462">
        <v>10.5</v>
      </c>
      <c r="AC462" t="s">
        <v>70</v>
      </c>
      <c r="AD462" t="s">
        <v>60</v>
      </c>
      <c r="AE462">
        <v>1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1</v>
      </c>
      <c r="AL462">
        <v>0</v>
      </c>
      <c r="AM462">
        <v>1</v>
      </c>
      <c r="AN462">
        <v>2</v>
      </c>
      <c r="AO462">
        <v>4</v>
      </c>
      <c r="AP462">
        <v>2</v>
      </c>
      <c r="AQ462">
        <v>66.666666666666003</v>
      </c>
      <c r="AR462" s="2">
        <v>45753.859560185185</v>
      </c>
      <c r="AS462" s="2">
        <v>46066.636655092596</v>
      </c>
      <c r="AT462" t="s">
        <v>1357</v>
      </c>
      <c r="AU462" t="s">
        <v>62</v>
      </c>
      <c r="AV462">
        <v>313</v>
      </c>
    </row>
    <row r="463" spans="1:48" x14ac:dyDescent="0.25">
      <c r="A463">
        <v>479</v>
      </c>
      <c r="B463" t="s">
        <v>1961</v>
      </c>
      <c r="C463" t="s">
        <v>1962</v>
      </c>
      <c r="D463" t="s">
        <v>1963</v>
      </c>
      <c r="E463" t="s">
        <v>1964</v>
      </c>
      <c r="F463" t="s">
        <v>1965</v>
      </c>
      <c r="G463" t="s">
        <v>53</v>
      </c>
      <c r="H463" s="1">
        <v>34809</v>
      </c>
      <c r="I463">
        <v>31</v>
      </c>
      <c r="J463">
        <v>1995</v>
      </c>
      <c r="K463" s="1">
        <v>45147</v>
      </c>
      <c r="L463">
        <v>2023</v>
      </c>
      <c r="M463" t="s">
        <v>54</v>
      </c>
      <c r="N463">
        <v>11</v>
      </c>
      <c r="O463" t="s">
        <v>378</v>
      </c>
      <c r="P463" t="s">
        <v>56</v>
      </c>
      <c r="Q463">
        <v>36</v>
      </c>
      <c r="R463">
        <v>4</v>
      </c>
      <c r="S463" t="s">
        <v>77</v>
      </c>
      <c r="T463" t="s">
        <v>78</v>
      </c>
      <c r="U463">
        <v>8</v>
      </c>
      <c r="V463">
        <v>8</v>
      </c>
      <c r="W463">
        <v>8</v>
      </c>
      <c r="X463">
        <v>8</v>
      </c>
      <c r="Y463">
        <v>2</v>
      </c>
      <c r="Z463">
        <v>8</v>
      </c>
      <c r="AA463">
        <v>2.375</v>
      </c>
      <c r="AB463">
        <v>19</v>
      </c>
      <c r="AC463" t="s">
        <v>70</v>
      </c>
      <c r="AD463" t="s">
        <v>112</v>
      </c>
      <c r="AE463">
        <v>0</v>
      </c>
      <c r="AF463">
        <v>0</v>
      </c>
      <c r="AG463">
        <v>2</v>
      </c>
      <c r="AH463">
        <v>1</v>
      </c>
      <c r="AI463">
        <v>0</v>
      </c>
      <c r="AJ463">
        <v>2</v>
      </c>
      <c r="AK463">
        <v>2</v>
      </c>
      <c r="AL463">
        <v>0</v>
      </c>
      <c r="AM463">
        <v>0</v>
      </c>
      <c r="AN463">
        <v>1</v>
      </c>
      <c r="AO463">
        <v>7</v>
      </c>
      <c r="AP463">
        <v>1</v>
      </c>
      <c r="AQ463">
        <v>87.5</v>
      </c>
      <c r="AR463" s="2">
        <v>45755.836956018517</v>
      </c>
      <c r="AS463" s="2">
        <v>46058.466006944444</v>
      </c>
      <c r="AT463" t="s">
        <v>1357</v>
      </c>
      <c r="AU463" t="s">
        <v>62</v>
      </c>
      <c r="AV463">
        <v>303</v>
      </c>
    </row>
    <row r="464" spans="1:48" x14ac:dyDescent="0.25">
      <c r="A464">
        <v>691</v>
      </c>
      <c r="B464" t="s">
        <v>1966</v>
      </c>
      <c r="C464" t="s">
        <v>1276</v>
      </c>
      <c r="D464" t="s">
        <v>1967</v>
      </c>
      <c r="E464" t="s">
        <v>1968</v>
      </c>
      <c r="F464" t="s">
        <v>1969</v>
      </c>
      <c r="G464" t="s">
        <v>104</v>
      </c>
      <c r="H464" s="1">
        <v>37248</v>
      </c>
      <c r="I464">
        <v>25</v>
      </c>
      <c r="J464">
        <v>2001</v>
      </c>
      <c r="K464" s="1">
        <v>45851</v>
      </c>
      <c r="L464">
        <v>2025</v>
      </c>
      <c r="M464" t="s">
        <v>54</v>
      </c>
      <c r="N464">
        <v>19</v>
      </c>
      <c r="O464" t="s">
        <v>162</v>
      </c>
      <c r="P464" t="s">
        <v>119</v>
      </c>
      <c r="Q464">
        <v>120</v>
      </c>
      <c r="R464">
        <v>7</v>
      </c>
      <c r="S464" t="s">
        <v>163</v>
      </c>
      <c r="T464" t="s">
        <v>164</v>
      </c>
      <c r="U464">
        <v>8</v>
      </c>
      <c r="V464">
        <v>8</v>
      </c>
      <c r="W464">
        <v>8</v>
      </c>
      <c r="X464">
        <v>8</v>
      </c>
      <c r="Y464">
        <v>2</v>
      </c>
      <c r="Z464">
        <v>6</v>
      </c>
      <c r="AA464">
        <v>1.916666</v>
      </c>
      <c r="AB464">
        <v>11.5</v>
      </c>
      <c r="AC464" t="s">
        <v>70</v>
      </c>
      <c r="AD464" t="s">
        <v>60</v>
      </c>
      <c r="AE464">
        <v>2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3</v>
      </c>
      <c r="AO464">
        <v>3</v>
      </c>
      <c r="AP464">
        <v>3</v>
      </c>
      <c r="AQ464">
        <v>50</v>
      </c>
      <c r="AR464" s="2">
        <v>45752.281122685185</v>
      </c>
      <c r="AS464" s="2">
        <v>46083.33625</v>
      </c>
      <c r="AT464" t="s">
        <v>1357</v>
      </c>
      <c r="AU464" t="s">
        <v>62</v>
      </c>
      <c r="AV464">
        <v>331</v>
      </c>
    </row>
    <row r="465" spans="1:48" x14ac:dyDescent="0.25">
      <c r="A465">
        <v>980</v>
      </c>
      <c r="B465" t="s">
        <v>1970</v>
      </c>
      <c r="C465" t="s">
        <v>1386</v>
      </c>
      <c r="D465" t="s">
        <v>487</v>
      </c>
      <c r="E465" t="s">
        <v>1971</v>
      </c>
      <c r="F465" t="s">
        <v>1972</v>
      </c>
      <c r="G465" t="s">
        <v>53</v>
      </c>
      <c r="H465" s="1">
        <v>39290</v>
      </c>
      <c r="I465">
        <v>19</v>
      </c>
      <c r="J465">
        <v>2007</v>
      </c>
      <c r="K465" s="1">
        <v>45926</v>
      </c>
      <c r="L465">
        <v>2025</v>
      </c>
      <c r="M465" t="s">
        <v>54</v>
      </c>
      <c r="N465">
        <v>19</v>
      </c>
      <c r="O465" t="s">
        <v>162</v>
      </c>
      <c r="P465" t="s">
        <v>119</v>
      </c>
      <c r="Q465">
        <v>120</v>
      </c>
      <c r="R465">
        <v>7</v>
      </c>
      <c r="S465" t="s">
        <v>163</v>
      </c>
      <c r="T465" t="s">
        <v>164</v>
      </c>
      <c r="U465">
        <v>7</v>
      </c>
      <c r="V465">
        <v>8</v>
      </c>
      <c r="W465">
        <v>8</v>
      </c>
      <c r="X465">
        <v>6</v>
      </c>
      <c r="Y465">
        <v>2</v>
      </c>
      <c r="Z465">
        <v>7</v>
      </c>
      <c r="AA465">
        <v>2.7142849999999998</v>
      </c>
      <c r="AB465">
        <v>19</v>
      </c>
      <c r="AC465" t="s">
        <v>540</v>
      </c>
      <c r="AD465" t="s">
        <v>60</v>
      </c>
      <c r="AE465">
        <v>1</v>
      </c>
      <c r="AF465">
        <v>0</v>
      </c>
      <c r="AG465">
        <v>1</v>
      </c>
      <c r="AH465">
        <v>0</v>
      </c>
      <c r="AI465">
        <v>0</v>
      </c>
      <c r="AJ465">
        <v>3</v>
      </c>
      <c r="AK465">
        <v>2</v>
      </c>
      <c r="AL465">
        <v>0</v>
      </c>
      <c r="AM465">
        <v>0</v>
      </c>
      <c r="AN465">
        <v>0</v>
      </c>
      <c r="AO465">
        <v>7</v>
      </c>
      <c r="AP465">
        <v>0</v>
      </c>
      <c r="AQ465">
        <v>100</v>
      </c>
      <c r="AR465" s="2">
        <v>45795.735208333332</v>
      </c>
      <c r="AS465" s="2">
        <v>46041.764097222222</v>
      </c>
      <c r="AT465" t="s">
        <v>61</v>
      </c>
      <c r="AU465" t="s">
        <v>1357</v>
      </c>
      <c r="AV465">
        <v>246</v>
      </c>
    </row>
    <row r="466" spans="1:48" x14ac:dyDescent="0.25">
      <c r="A466">
        <v>495</v>
      </c>
      <c r="B466" t="s">
        <v>1973</v>
      </c>
      <c r="C466" t="s">
        <v>595</v>
      </c>
      <c r="D466" t="s">
        <v>342</v>
      </c>
      <c r="E466" t="s">
        <v>1974</v>
      </c>
      <c r="F466" t="s">
        <v>1975</v>
      </c>
      <c r="G466" t="s">
        <v>104</v>
      </c>
      <c r="H466" s="1">
        <v>38088</v>
      </c>
      <c r="I466">
        <v>22</v>
      </c>
      <c r="J466">
        <v>2004</v>
      </c>
      <c r="K466" s="1">
        <v>45664</v>
      </c>
      <c r="L466">
        <v>2025</v>
      </c>
      <c r="M466" t="s">
        <v>54</v>
      </c>
      <c r="N466">
        <v>6</v>
      </c>
      <c r="O466" t="s">
        <v>133</v>
      </c>
      <c r="P466" t="s">
        <v>69</v>
      </c>
      <c r="Q466">
        <v>60</v>
      </c>
      <c r="R466">
        <v>2</v>
      </c>
      <c r="S466" t="s">
        <v>85</v>
      </c>
      <c r="T466" t="s">
        <v>86</v>
      </c>
      <c r="U466">
        <v>8</v>
      </c>
      <c r="V466">
        <v>8</v>
      </c>
      <c r="W466">
        <v>8</v>
      </c>
      <c r="X466">
        <v>7</v>
      </c>
      <c r="Y466">
        <v>2</v>
      </c>
      <c r="Z466">
        <v>8</v>
      </c>
      <c r="AA466">
        <v>2.3125</v>
      </c>
      <c r="AB466">
        <v>18.5</v>
      </c>
      <c r="AC466" t="s">
        <v>59</v>
      </c>
      <c r="AD466" t="s">
        <v>112</v>
      </c>
      <c r="AE466">
        <v>0</v>
      </c>
      <c r="AF466">
        <v>0</v>
      </c>
      <c r="AG466">
        <v>1</v>
      </c>
      <c r="AH466">
        <v>2</v>
      </c>
      <c r="AI466">
        <v>0</v>
      </c>
      <c r="AJ466">
        <v>2</v>
      </c>
      <c r="AK466">
        <v>1</v>
      </c>
      <c r="AL466">
        <v>0</v>
      </c>
      <c r="AM466">
        <v>2</v>
      </c>
      <c r="AN466">
        <v>0</v>
      </c>
      <c r="AO466">
        <v>8</v>
      </c>
      <c r="AP466">
        <v>0</v>
      </c>
      <c r="AQ466">
        <v>100</v>
      </c>
      <c r="AR466" s="2">
        <v>45756.71634259259</v>
      </c>
      <c r="AS466" s="2">
        <v>46076.542314814818</v>
      </c>
      <c r="AT466" t="s">
        <v>61</v>
      </c>
      <c r="AU466" t="s">
        <v>62</v>
      </c>
      <c r="AV466">
        <v>320</v>
      </c>
    </row>
    <row r="467" spans="1:48" x14ac:dyDescent="0.25">
      <c r="A467">
        <v>679</v>
      </c>
      <c r="B467" t="s">
        <v>1976</v>
      </c>
      <c r="C467" t="s">
        <v>1784</v>
      </c>
      <c r="D467" t="s">
        <v>596</v>
      </c>
      <c r="E467" t="s">
        <v>1977</v>
      </c>
      <c r="F467">
        <f>1-600-932-9633</f>
        <v>-11164</v>
      </c>
      <c r="G467" t="s">
        <v>53</v>
      </c>
      <c r="H467" s="1">
        <v>35482</v>
      </c>
      <c r="I467">
        <v>29</v>
      </c>
      <c r="J467">
        <v>1997</v>
      </c>
      <c r="K467" s="1">
        <v>45814</v>
      </c>
      <c r="L467">
        <v>2025</v>
      </c>
      <c r="M467" t="s">
        <v>111</v>
      </c>
      <c r="N467">
        <v>2</v>
      </c>
      <c r="O467" t="s">
        <v>55</v>
      </c>
      <c r="P467" t="s">
        <v>56</v>
      </c>
      <c r="Q467">
        <v>36</v>
      </c>
      <c r="R467">
        <v>1</v>
      </c>
      <c r="S467" t="s">
        <v>57</v>
      </c>
      <c r="T467" t="s">
        <v>58</v>
      </c>
      <c r="U467">
        <v>8</v>
      </c>
      <c r="V467">
        <v>8</v>
      </c>
      <c r="W467">
        <v>8</v>
      </c>
      <c r="X467">
        <v>7</v>
      </c>
      <c r="Y467">
        <v>2</v>
      </c>
      <c r="Z467">
        <v>5</v>
      </c>
      <c r="AA467">
        <v>2.6</v>
      </c>
      <c r="AB467">
        <v>13</v>
      </c>
      <c r="AC467" t="s">
        <v>70</v>
      </c>
      <c r="AD467" t="s">
        <v>60</v>
      </c>
      <c r="AE467">
        <v>1</v>
      </c>
      <c r="AF467">
        <v>0</v>
      </c>
      <c r="AG467">
        <v>1</v>
      </c>
      <c r="AH467">
        <v>1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1</v>
      </c>
      <c r="AO467">
        <v>4</v>
      </c>
      <c r="AP467">
        <v>1</v>
      </c>
      <c r="AQ467">
        <v>80</v>
      </c>
      <c r="AR467" s="2">
        <v>45820.705000000002</v>
      </c>
      <c r="AS467" s="2">
        <v>46075.97855324074</v>
      </c>
      <c r="AT467" t="s">
        <v>1357</v>
      </c>
      <c r="AU467" t="s">
        <v>62</v>
      </c>
      <c r="AV467">
        <v>255</v>
      </c>
    </row>
    <row r="468" spans="1:48" x14ac:dyDescent="0.25">
      <c r="A468">
        <v>847</v>
      </c>
      <c r="B468" t="s">
        <v>1978</v>
      </c>
      <c r="C468" t="s">
        <v>148</v>
      </c>
      <c r="D468" t="s">
        <v>1979</v>
      </c>
      <c r="E468" t="s">
        <v>1980</v>
      </c>
      <c r="F468" t="s">
        <v>1981</v>
      </c>
      <c r="G468" t="s">
        <v>53</v>
      </c>
      <c r="H468" s="1">
        <v>37816</v>
      </c>
      <c r="I468">
        <v>23</v>
      </c>
      <c r="J468">
        <v>2003</v>
      </c>
      <c r="K468" s="1">
        <v>45643</v>
      </c>
      <c r="L468">
        <v>2024</v>
      </c>
      <c r="M468" t="s">
        <v>54</v>
      </c>
      <c r="N468">
        <v>10</v>
      </c>
      <c r="O468" t="s">
        <v>118</v>
      </c>
      <c r="P468" t="s">
        <v>119</v>
      </c>
      <c r="Q468">
        <v>120</v>
      </c>
      <c r="R468">
        <v>4</v>
      </c>
      <c r="S468" t="s">
        <v>77</v>
      </c>
      <c r="T468" t="s">
        <v>78</v>
      </c>
      <c r="U468">
        <v>8</v>
      </c>
      <c r="V468">
        <v>8</v>
      </c>
      <c r="W468">
        <v>8</v>
      </c>
      <c r="X468">
        <v>8</v>
      </c>
      <c r="Y468">
        <v>2</v>
      </c>
      <c r="Z468">
        <v>7</v>
      </c>
      <c r="AA468">
        <v>1.3571420000000001</v>
      </c>
      <c r="AB468">
        <v>9.5</v>
      </c>
      <c r="AC468" t="s">
        <v>70</v>
      </c>
      <c r="AD468" t="s">
        <v>112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1</v>
      </c>
      <c r="AK468">
        <v>1</v>
      </c>
      <c r="AL468">
        <v>0</v>
      </c>
      <c r="AM468">
        <v>2</v>
      </c>
      <c r="AN468">
        <v>2</v>
      </c>
      <c r="AO468">
        <v>5</v>
      </c>
      <c r="AP468">
        <v>2</v>
      </c>
      <c r="AQ468">
        <v>71.428571428571004</v>
      </c>
      <c r="AR468" s="2">
        <v>45731.840104166666</v>
      </c>
      <c r="AS468" s="2">
        <v>46085.483344907407</v>
      </c>
      <c r="AT468" t="s">
        <v>61</v>
      </c>
      <c r="AU468" t="s">
        <v>1357</v>
      </c>
      <c r="AV468">
        <v>354</v>
      </c>
    </row>
    <row r="469" spans="1:48" x14ac:dyDescent="0.25">
      <c r="A469">
        <v>817</v>
      </c>
      <c r="B469" t="s">
        <v>1982</v>
      </c>
      <c r="C469" t="s">
        <v>1514</v>
      </c>
      <c r="D469" t="s">
        <v>1607</v>
      </c>
      <c r="E469" t="s">
        <v>1983</v>
      </c>
      <c r="F469" t="s">
        <v>1984</v>
      </c>
      <c r="G469" t="s">
        <v>104</v>
      </c>
      <c r="H469" s="1">
        <v>35709</v>
      </c>
      <c r="I469">
        <v>29</v>
      </c>
      <c r="J469">
        <v>1997</v>
      </c>
      <c r="K469" s="1">
        <v>45118</v>
      </c>
      <c r="L469">
        <v>2023</v>
      </c>
      <c r="M469" t="s">
        <v>111</v>
      </c>
      <c r="N469">
        <v>9</v>
      </c>
      <c r="O469" t="s">
        <v>151</v>
      </c>
      <c r="P469" t="s">
        <v>69</v>
      </c>
      <c r="Q469">
        <v>60</v>
      </c>
      <c r="R469">
        <v>3</v>
      </c>
      <c r="S469" t="s">
        <v>126</v>
      </c>
      <c r="T469" t="s">
        <v>127</v>
      </c>
      <c r="U469">
        <v>8</v>
      </c>
      <c r="V469">
        <v>8</v>
      </c>
      <c r="W469">
        <v>8</v>
      </c>
      <c r="X469">
        <v>8</v>
      </c>
      <c r="Y469">
        <v>2</v>
      </c>
      <c r="Z469">
        <v>5</v>
      </c>
      <c r="AA469">
        <v>2.8</v>
      </c>
      <c r="AB469">
        <v>14</v>
      </c>
      <c r="AC469" t="s">
        <v>540</v>
      </c>
      <c r="AD469" t="s">
        <v>112</v>
      </c>
      <c r="AE469">
        <v>0</v>
      </c>
      <c r="AF469">
        <v>0</v>
      </c>
      <c r="AG469">
        <v>1</v>
      </c>
      <c r="AH469">
        <v>2</v>
      </c>
      <c r="AI469">
        <v>0</v>
      </c>
      <c r="AJ469">
        <v>1</v>
      </c>
      <c r="AK469">
        <v>1</v>
      </c>
      <c r="AL469">
        <v>0</v>
      </c>
      <c r="AM469">
        <v>0</v>
      </c>
      <c r="AN469">
        <v>0</v>
      </c>
      <c r="AO469">
        <v>5</v>
      </c>
      <c r="AP469">
        <v>0</v>
      </c>
      <c r="AQ469">
        <v>100</v>
      </c>
      <c r="AR469" s="2">
        <v>45747.154444444444</v>
      </c>
      <c r="AS469" s="2">
        <v>46010.295393518521</v>
      </c>
      <c r="AT469" t="s">
        <v>61</v>
      </c>
      <c r="AU469" t="s">
        <v>1357</v>
      </c>
      <c r="AV469">
        <v>263</v>
      </c>
    </row>
    <row r="470" spans="1:48" x14ac:dyDescent="0.25">
      <c r="A470">
        <v>233</v>
      </c>
      <c r="B470" t="s">
        <v>1985</v>
      </c>
      <c r="C470" t="s">
        <v>690</v>
      </c>
      <c r="D470" t="s">
        <v>562</v>
      </c>
      <c r="E470" t="s">
        <v>1986</v>
      </c>
      <c r="F470" t="s">
        <v>1987</v>
      </c>
      <c r="G470" t="s">
        <v>104</v>
      </c>
      <c r="H470" s="1">
        <v>36943</v>
      </c>
      <c r="I470">
        <v>25</v>
      </c>
      <c r="J470">
        <v>2001</v>
      </c>
      <c r="K470" s="1">
        <v>45109</v>
      </c>
      <c r="L470">
        <v>2023</v>
      </c>
      <c r="M470" t="s">
        <v>111</v>
      </c>
      <c r="N470">
        <v>18</v>
      </c>
      <c r="O470" t="s">
        <v>139</v>
      </c>
      <c r="P470" t="s">
        <v>69</v>
      </c>
      <c r="Q470">
        <v>60</v>
      </c>
      <c r="R470">
        <v>6</v>
      </c>
      <c r="S470" t="s">
        <v>140</v>
      </c>
      <c r="T470" t="s">
        <v>141</v>
      </c>
      <c r="U470">
        <v>8</v>
      </c>
      <c r="V470">
        <v>8</v>
      </c>
      <c r="W470">
        <v>8</v>
      </c>
      <c r="X470">
        <v>8</v>
      </c>
      <c r="Y470">
        <v>2</v>
      </c>
      <c r="Z470">
        <v>6</v>
      </c>
      <c r="AA470">
        <v>2.8333330000000001</v>
      </c>
      <c r="AB470">
        <v>17</v>
      </c>
      <c r="AC470" t="s">
        <v>59</v>
      </c>
      <c r="AD470" t="s">
        <v>60</v>
      </c>
      <c r="AE470">
        <v>2</v>
      </c>
      <c r="AF470">
        <v>0</v>
      </c>
      <c r="AG470">
        <v>0</v>
      </c>
      <c r="AH470">
        <v>1</v>
      </c>
      <c r="AI470">
        <v>0</v>
      </c>
      <c r="AJ470">
        <v>2</v>
      </c>
      <c r="AK470">
        <v>0</v>
      </c>
      <c r="AL470">
        <v>0</v>
      </c>
      <c r="AM470">
        <v>1</v>
      </c>
      <c r="AN470">
        <v>0</v>
      </c>
      <c r="AO470">
        <v>6</v>
      </c>
      <c r="AP470">
        <v>0</v>
      </c>
      <c r="AQ470">
        <v>100</v>
      </c>
      <c r="AR470" s="2">
        <v>45778.158113425925</v>
      </c>
      <c r="AS470" s="2">
        <v>46027.688472222224</v>
      </c>
      <c r="AT470" t="s">
        <v>61</v>
      </c>
      <c r="AU470" t="s">
        <v>1357</v>
      </c>
      <c r="AV470">
        <v>249</v>
      </c>
    </row>
    <row r="471" spans="1:48" x14ac:dyDescent="0.25">
      <c r="A471">
        <v>954</v>
      </c>
      <c r="B471" t="s">
        <v>1988</v>
      </c>
      <c r="C471" t="s">
        <v>1989</v>
      </c>
      <c r="D471" t="s">
        <v>311</v>
      </c>
      <c r="E471" t="s">
        <v>1990</v>
      </c>
      <c r="F471" t="s">
        <v>1991</v>
      </c>
      <c r="G471" t="s">
        <v>104</v>
      </c>
      <c r="H471" s="1">
        <v>35544</v>
      </c>
      <c r="I471">
        <v>29</v>
      </c>
      <c r="J471">
        <v>1997</v>
      </c>
      <c r="K471" s="1">
        <v>45028</v>
      </c>
      <c r="L471">
        <v>2023</v>
      </c>
      <c r="M471" t="s">
        <v>54</v>
      </c>
      <c r="N471">
        <v>20</v>
      </c>
      <c r="O471" t="s">
        <v>180</v>
      </c>
      <c r="P471" t="s">
        <v>56</v>
      </c>
      <c r="Q471">
        <v>36</v>
      </c>
      <c r="R471">
        <v>7</v>
      </c>
      <c r="S471" t="s">
        <v>163</v>
      </c>
      <c r="T471" t="s">
        <v>164</v>
      </c>
      <c r="U471">
        <v>8</v>
      </c>
      <c r="V471">
        <v>8</v>
      </c>
      <c r="W471">
        <v>8</v>
      </c>
      <c r="X471">
        <v>8</v>
      </c>
      <c r="Y471">
        <v>2</v>
      </c>
      <c r="Z471">
        <v>8</v>
      </c>
      <c r="AA471">
        <v>2.1875</v>
      </c>
      <c r="AB471">
        <v>17.5</v>
      </c>
      <c r="AC471" t="s">
        <v>70</v>
      </c>
      <c r="AD471" t="s">
        <v>112</v>
      </c>
      <c r="AE471">
        <v>0</v>
      </c>
      <c r="AF471">
        <v>0</v>
      </c>
      <c r="AG471">
        <v>1</v>
      </c>
      <c r="AH471">
        <v>3</v>
      </c>
      <c r="AI471">
        <v>0</v>
      </c>
      <c r="AJ471">
        <v>0</v>
      </c>
      <c r="AK471">
        <v>2</v>
      </c>
      <c r="AL471">
        <v>0</v>
      </c>
      <c r="AM471">
        <v>1</v>
      </c>
      <c r="AN471">
        <v>1</v>
      </c>
      <c r="AO471">
        <v>7</v>
      </c>
      <c r="AP471">
        <v>1</v>
      </c>
      <c r="AQ471">
        <v>87.5</v>
      </c>
      <c r="AR471" s="2">
        <v>45733.427152777775</v>
      </c>
      <c r="AS471" s="2">
        <v>46027.8049537037</v>
      </c>
      <c r="AT471" t="s">
        <v>61</v>
      </c>
      <c r="AU471" t="s">
        <v>62</v>
      </c>
      <c r="AV471">
        <v>294</v>
      </c>
    </row>
    <row r="472" spans="1:48" x14ac:dyDescent="0.25">
      <c r="A472">
        <v>283</v>
      </c>
      <c r="B472" t="s">
        <v>1992</v>
      </c>
      <c r="C472" t="s">
        <v>837</v>
      </c>
      <c r="D472" t="s">
        <v>1993</v>
      </c>
      <c r="E472" t="s">
        <v>1994</v>
      </c>
      <c r="F472">
        <f>1-748-973-9285</f>
        <v>-11005</v>
      </c>
      <c r="G472" t="s">
        <v>104</v>
      </c>
      <c r="H472" s="1">
        <v>36070</v>
      </c>
      <c r="I472">
        <v>28</v>
      </c>
      <c r="J472">
        <v>1998</v>
      </c>
      <c r="K472" s="1">
        <v>45839</v>
      </c>
      <c r="L472">
        <v>2025</v>
      </c>
      <c r="M472" t="s">
        <v>54</v>
      </c>
      <c r="N472">
        <v>5</v>
      </c>
      <c r="O472" t="s">
        <v>84</v>
      </c>
      <c r="P472" t="s">
        <v>56</v>
      </c>
      <c r="Q472">
        <v>36</v>
      </c>
      <c r="R472">
        <v>2</v>
      </c>
      <c r="S472" t="s">
        <v>85</v>
      </c>
      <c r="T472" t="s">
        <v>86</v>
      </c>
      <c r="U472">
        <v>8</v>
      </c>
      <c r="V472">
        <v>8</v>
      </c>
      <c r="W472">
        <v>8</v>
      </c>
      <c r="X472">
        <v>8</v>
      </c>
      <c r="Y472">
        <v>2</v>
      </c>
      <c r="Z472">
        <v>6</v>
      </c>
      <c r="AA472">
        <v>2.0833330000000001</v>
      </c>
      <c r="AB472">
        <v>12.5</v>
      </c>
      <c r="AC472" t="s">
        <v>70</v>
      </c>
      <c r="AD472" t="s">
        <v>60</v>
      </c>
      <c r="AE472">
        <v>2</v>
      </c>
      <c r="AF472">
        <v>0</v>
      </c>
      <c r="AG472">
        <v>0</v>
      </c>
      <c r="AH472">
        <v>0</v>
      </c>
      <c r="AI472">
        <v>0</v>
      </c>
      <c r="AJ472">
        <v>1</v>
      </c>
      <c r="AK472">
        <v>0</v>
      </c>
      <c r="AL472">
        <v>0</v>
      </c>
      <c r="AM472">
        <v>2</v>
      </c>
      <c r="AN472">
        <v>1</v>
      </c>
      <c r="AO472">
        <v>5</v>
      </c>
      <c r="AP472">
        <v>1</v>
      </c>
      <c r="AQ472">
        <v>83.333333333333002</v>
      </c>
      <c r="AR472" s="2">
        <v>45757.81045138889</v>
      </c>
      <c r="AS472" s="2">
        <v>46079.480023148149</v>
      </c>
      <c r="AT472" t="s">
        <v>1357</v>
      </c>
      <c r="AU472" t="s">
        <v>62</v>
      </c>
      <c r="AV472">
        <v>322</v>
      </c>
    </row>
    <row r="473" spans="1:48" x14ac:dyDescent="0.25">
      <c r="A473">
        <v>583</v>
      </c>
      <c r="B473" t="s">
        <v>1995</v>
      </c>
      <c r="C473" t="s">
        <v>686</v>
      </c>
      <c r="D473" t="s">
        <v>1996</v>
      </c>
      <c r="E473" t="s">
        <v>1997</v>
      </c>
      <c r="F473" t="s">
        <v>1998</v>
      </c>
      <c r="G473" t="s">
        <v>53</v>
      </c>
      <c r="H473" s="1">
        <v>37132</v>
      </c>
      <c r="I473">
        <v>25</v>
      </c>
      <c r="J473">
        <v>2001</v>
      </c>
      <c r="K473" s="1">
        <v>45289</v>
      </c>
      <c r="L473">
        <v>2023</v>
      </c>
      <c r="M473" t="s">
        <v>54</v>
      </c>
      <c r="N473">
        <v>1</v>
      </c>
      <c r="O473" t="s">
        <v>157</v>
      </c>
      <c r="P473" t="s">
        <v>119</v>
      </c>
      <c r="Q473">
        <v>120</v>
      </c>
      <c r="R473">
        <v>1</v>
      </c>
      <c r="S473" t="s">
        <v>57</v>
      </c>
      <c r="T473" t="s">
        <v>58</v>
      </c>
      <c r="U473">
        <v>8</v>
      </c>
      <c r="V473">
        <v>8</v>
      </c>
      <c r="W473">
        <v>8</v>
      </c>
      <c r="X473">
        <v>8</v>
      </c>
      <c r="Y473">
        <v>2</v>
      </c>
      <c r="Z473">
        <v>8</v>
      </c>
      <c r="AA473">
        <v>2</v>
      </c>
      <c r="AB473">
        <v>16</v>
      </c>
      <c r="AC473" t="s">
        <v>70</v>
      </c>
      <c r="AD473" t="s">
        <v>60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2</v>
      </c>
      <c r="AK473">
        <v>3</v>
      </c>
      <c r="AL473">
        <v>0</v>
      </c>
      <c r="AM473">
        <v>1</v>
      </c>
      <c r="AN473">
        <v>1</v>
      </c>
      <c r="AO473">
        <v>7</v>
      </c>
      <c r="AP473">
        <v>1</v>
      </c>
      <c r="AQ473">
        <v>87.5</v>
      </c>
      <c r="AR473" s="2">
        <v>45762.688518518517</v>
      </c>
      <c r="AS473" s="2">
        <v>46078.897048611114</v>
      </c>
      <c r="AT473" t="s">
        <v>61</v>
      </c>
      <c r="AU473" t="s">
        <v>62</v>
      </c>
      <c r="AV473">
        <v>316</v>
      </c>
    </row>
    <row r="474" spans="1:48" x14ac:dyDescent="0.25">
      <c r="A474">
        <v>88</v>
      </c>
      <c r="B474" t="s">
        <v>1999</v>
      </c>
      <c r="C474" t="s">
        <v>700</v>
      </c>
      <c r="D474" t="s">
        <v>2000</v>
      </c>
      <c r="E474" t="s">
        <v>2001</v>
      </c>
      <c r="F474" t="s">
        <v>2002</v>
      </c>
      <c r="G474" t="s">
        <v>53</v>
      </c>
      <c r="H474" s="1">
        <v>36006</v>
      </c>
      <c r="I474">
        <v>28</v>
      </c>
      <c r="J474">
        <v>1998</v>
      </c>
      <c r="K474" s="1">
        <v>45005</v>
      </c>
      <c r="L474">
        <v>2023</v>
      </c>
      <c r="M474" t="s">
        <v>225</v>
      </c>
      <c r="N474">
        <v>10</v>
      </c>
      <c r="O474" t="s">
        <v>118</v>
      </c>
      <c r="P474" t="s">
        <v>119</v>
      </c>
      <c r="Q474">
        <v>120</v>
      </c>
      <c r="R474">
        <v>4</v>
      </c>
      <c r="S474" t="s">
        <v>77</v>
      </c>
      <c r="T474" t="s">
        <v>78</v>
      </c>
      <c r="U474">
        <v>8</v>
      </c>
      <c r="V474">
        <v>8</v>
      </c>
      <c r="W474">
        <v>8</v>
      </c>
      <c r="X474">
        <v>8</v>
      </c>
      <c r="Y474">
        <v>2</v>
      </c>
      <c r="Z474">
        <v>6</v>
      </c>
      <c r="AA474">
        <v>2.4166660000000002</v>
      </c>
      <c r="AB474">
        <v>14.5</v>
      </c>
      <c r="AC474" t="s">
        <v>59</v>
      </c>
      <c r="AD474" t="s">
        <v>60</v>
      </c>
      <c r="AE474">
        <v>1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3</v>
      </c>
      <c r="AL474">
        <v>0</v>
      </c>
      <c r="AM474">
        <v>1</v>
      </c>
      <c r="AN474">
        <v>0</v>
      </c>
      <c r="AO474">
        <v>6</v>
      </c>
      <c r="AP474">
        <v>0</v>
      </c>
      <c r="AQ474">
        <v>100</v>
      </c>
      <c r="AR474" s="2">
        <v>45726.722615740742</v>
      </c>
      <c r="AS474" s="2">
        <v>46082.241631944446</v>
      </c>
      <c r="AT474" t="s">
        <v>61</v>
      </c>
      <c r="AU474" t="s">
        <v>1357</v>
      </c>
      <c r="AV474">
        <v>356</v>
      </c>
    </row>
    <row r="475" spans="1:48" x14ac:dyDescent="0.25">
      <c r="A475">
        <v>492</v>
      </c>
      <c r="B475" t="s">
        <v>2003</v>
      </c>
      <c r="C475" t="s">
        <v>1019</v>
      </c>
      <c r="D475" t="s">
        <v>726</v>
      </c>
      <c r="E475" t="s">
        <v>2004</v>
      </c>
      <c r="F475" t="s">
        <v>2005</v>
      </c>
      <c r="G475" t="s">
        <v>53</v>
      </c>
      <c r="H475" s="1">
        <v>38687</v>
      </c>
      <c r="I475">
        <v>21</v>
      </c>
      <c r="J475">
        <v>2005</v>
      </c>
      <c r="K475" s="1">
        <v>45506</v>
      </c>
      <c r="L475">
        <v>2024</v>
      </c>
      <c r="M475" t="s">
        <v>54</v>
      </c>
      <c r="N475">
        <v>3</v>
      </c>
      <c r="O475" t="s">
        <v>68</v>
      </c>
      <c r="P475" t="s">
        <v>69</v>
      </c>
      <c r="Q475">
        <v>60</v>
      </c>
      <c r="R475">
        <v>1</v>
      </c>
      <c r="S475" t="s">
        <v>57</v>
      </c>
      <c r="T475" t="s">
        <v>58</v>
      </c>
      <c r="U475">
        <v>8</v>
      </c>
      <c r="V475">
        <v>8</v>
      </c>
      <c r="W475">
        <v>8</v>
      </c>
      <c r="X475">
        <v>8</v>
      </c>
      <c r="Y475">
        <v>2</v>
      </c>
      <c r="Z475">
        <v>8</v>
      </c>
      <c r="AA475">
        <v>2.0625</v>
      </c>
      <c r="AB475">
        <v>16.5</v>
      </c>
      <c r="AC475" t="s">
        <v>70</v>
      </c>
      <c r="AD475" t="s">
        <v>60</v>
      </c>
      <c r="AE475">
        <v>1</v>
      </c>
      <c r="AF475">
        <v>0</v>
      </c>
      <c r="AG475">
        <v>1</v>
      </c>
      <c r="AH475">
        <v>0</v>
      </c>
      <c r="AI475">
        <v>0</v>
      </c>
      <c r="AJ475">
        <v>2</v>
      </c>
      <c r="AK475">
        <v>1</v>
      </c>
      <c r="AL475">
        <v>0</v>
      </c>
      <c r="AM475">
        <v>2</v>
      </c>
      <c r="AN475">
        <v>1</v>
      </c>
      <c r="AO475">
        <v>7</v>
      </c>
      <c r="AP475">
        <v>1</v>
      </c>
      <c r="AQ475">
        <v>87.5</v>
      </c>
      <c r="AR475" s="2">
        <v>45915.651064814818</v>
      </c>
      <c r="AS475" s="2">
        <v>46062.436006944445</v>
      </c>
      <c r="AT475" t="s">
        <v>61</v>
      </c>
      <c r="AU475" t="s">
        <v>62</v>
      </c>
      <c r="AV475">
        <v>147</v>
      </c>
    </row>
    <row r="476" spans="1:48" x14ac:dyDescent="0.25">
      <c r="A476">
        <v>438</v>
      </c>
      <c r="B476" t="s">
        <v>2006</v>
      </c>
      <c r="C476" t="s">
        <v>2007</v>
      </c>
      <c r="D476" t="s">
        <v>2008</v>
      </c>
      <c r="E476" t="s">
        <v>2009</v>
      </c>
      <c r="F476">
        <f>1-940-576-7899</f>
        <v>-9414</v>
      </c>
      <c r="G476" t="s">
        <v>53</v>
      </c>
      <c r="H476" s="1">
        <v>38155</v>
      </c>
      <c r="I476">
        <v>22</v>
      </c>
      <c r="J476">
        <v>2004</v>
      </c>
      <c r="K476" s="1">
        <v>45396</v>
      </c>
      <c r="L476">
        <v>2024</v>
      </c>
      <c r="M476" t="s">
        <v>54</v>
      </c>
      <c r="N476">
        <v>11</v>
      </c>
      <c r="O476" t="s">
        <v>378</v>
      </c>
      <c r="P476" t="s">
        <v>56</v>
      </c>
      <c r="Q476">
        <v>36</v>
      </c>
      <c r="R476">
        <v>4</v>
      </c>
      <c r="S476" t="s">
        <v>77</v>
      </c>
      <c r="T476" t="s">
        <v>78</v>
      </c>
      <c r="U476">
        <v>6</v>
      </c>
      <c r="V476">
        <v>8</v>
      </c>
      <c r="W476">
        <v>8</v>
      </c>
      <c r="X476">
        <v>8</v>
      </c>
      <c r="Y476">
        <v>2</v>
      </c>
      <c r="Z476">
        <v>8</v>
      </c>
      <c r="AA476">
        <v>1.9375</v>
      </c>
      <c r="AB476">
        <v>15.5</v>
      </c>
      <c r="AC476" t="s">
        <v>70</v>
      </c>
      <c r="AD476" t="s">
        <v>112</v>
      </c>
      <c r="AE476">
        <v>0</v>
      </c>
      <c r="AF476">
        <v>0</v>
      </c>
      <c r="AG476">
        <v>1</v>
      </c>
      <c r="AH476">
        <v>2</v>
      </c>
      <c r="AI476">
        <v>0</v>
      </c>
      <c r="AJ476">
        <v>2</v>
      </c>
      <c r="AK476">
        <v>0</v>
      </c>
      <c r="AL476">
        <v>0</v>
      </c>
      <c r="AM476">
        <v>1</v>
      </c>
      <c r="AN476">
        <v>2</v>
      </c>
      <c r="AO476">
        <v>6</v>
      </c>
      <c r="AP476">
        <v>2</v>
      </c>
      <c r="AQ476">
        <v>75</v>
      </c>
      <c r="AR476" s="2">
        <v>45751.287037037036</v>
      </c>
      <c r="AS476" s="2">
        <v>46081.520775462966</v>
      </c>
      <c r="AT476" t="s">
        <v>61</v>
      </c>
      <c r="AU476" t="s">
        <v>62</v>
      </c>
      <c r="AV476">
        <v>330</v>
      </c>
    </row>
    <row r="477" spans="1:48" x14ac:dyDescent="0.25">
      <c r="A477">
        <v>863</v>
      </c>
      <c r="B477" t="s">
        <v>2010</v>
      </c>
      <c r="C477" t="s">
        <v>1245</v>
      </c>
      <c r="D477" t="s">
        <v>1768</v>
      </c>
      <c r="E477" t="s">
        <v>2011</v>
      </c>
      <c r="F477" t="s">
        <v>2012</v>
      </c>
      <c r="G477" t="s">
        <v>104</v>
      </c>
      <c r="H477" s="1">
        <v>35966</v>
      </c>
      <c r="I477">
        <v>28</v>
      </c>
      <c r="J477">
        <v>1998</v>
      </c>
      <c r="K477" s="1">
        <v>46014</v>
      </c>
      <c r="L477">
        <v>2025</v>
      </c>
      <c r="M477" t="s">
        <v>54</v>
      </c>
      <c r="N477">
        <v>15</v>
      </c>
      <c r="O477" t="s">
        <v>91</v>
      </c>
      <c r="P477" t="s">
        <v>69</v>
      </c>
      <c r="Q477">
        <v>60</v>
      </c>
      <c r="R477">
        <v>5</v>
      </c>
      <c r="S477" t="s">
        <v>92</v>
      </c>
      <c r="T477" t="s">
        <v>93</v>
      </c>
      <c r="U477">
        <v>8</v>
      </c>
      <c r="V477">
        <v>8</v>
      </c>
      <c r="W477">
        <v>8</v>
      </c>
      <c r="X477">
        <v>8</v>
      </c>
      <c r="Y477">
        <v>2</v>
      </c>
      <c r="Z477">
        <v>5</v>
      </c>
      <c r="AA477">
        <v>1.2</v>
      </c>
      <c r="AB477">
        <v>6</v>
      </c>
      <c r="AC477" t="s">
        <v>70</v>
      </c>
      <c r="AD477" t="s">
        <v>112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1</v>
      </c>
      <c r="AL477">
        <v>0</v>
      </c>
      <c r="AM477">
        <v>1</v>
      </c>
      <c r="AN477">
        <v>2</v>
      </c>
      <c r="AO477">
        <v>3</v>
      </c>
      <c r="AP477">
        <v>2</v>
      </c>
      <c r="AQ477">
        <v>60</v>
      </c>
      <c r="AR477" s="2">
        <v>45745.080462962964</v>
      </c>
      <c r="AS477" s="2">
        <v>45897.187650462962</v>
      </c>
      <c r="AT477" t="s">
        <v>1357</v>
      </c>
      <c r="AU477" t="s">
        <v>62</v>
      </c>
      <c r="AV477">
        <v>152</v>
      </c>
    </row>
    <row r="478" spans="1:48" x14ac:dyDescent="0.25">
      <c r="A478">
        <v>210</v>
      </c>
      <c r="B478" t="s">
        <v>2013</v>
      </c>
      <c r="C478" t="s">
        <v>390</v>
      </c>
      <c r="D478" t="s">
        <v>311</v>
      </c>
      <c r="E478" t="s">
        <v>2014</v>
      </c>
      <c r="F478" t="s">
        <v>2015</v>
      </c>
      <c r="G478" t="s">
        <v>53</v>
      </c>
      <c r="H478" s="1">
        <v>38096</v>
      </c>
      <c r="I478">
        <v>22</v>
      </c>
      <c r="J478">
        <v>2004</v>
      </c>
      <c r="K478" s="1">
        <v>44925</v>
      </c>
      <c r="L478">
        <v>2022</v>
      </c>
      <c r="M478" t="s">
        <v>225</v>
      </c>
      <c r="N478">
        <v>15</v>
      </c>
      <c r="O478" t="s">
        <v>91</v>
      </c>
      <c r="P478" t="s">
        <v>69</v>
      </c>
      <c r="Q478">
        <v>60</v>
      </c>
      <c r="R478">
        <v>5</v>
      </c>
      <c r="S478" t="s">
        <v>92</v>
      </c>
      <c r="T478" t="s">
        <v>93</v>
      </c>
      <c r="U478">
        <v>7</v>
      </c>
      <c r="V478">
        <v>8</v>
      </c>
      <c r="W478">
        <v>8</v>
      </c>
      <c r="X478">
        <v>7</v>
      </c>
      <c r="Y478">
        <v>2</v>
      </c>
      <c r="Z478">
        <v>5</v>
      </c>
      <c r="AA478">
        <v>2.1</v>
      </c>
      <c r="AB478">
        <v>10.5</v>
      </c>
      <c r="AC478" t="s">
        <v>59</v>
      </c>
      <c r="AD478" t="s">
        <v>60</v>
      </c>
      <c r="AE478">
        <v>1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3</v>
      </c>
      <c r="AN478">
        <v>0</v>
      </c>
      <c r="AO478">
        <v>5</v>
      </c>
      <c r="AP478">
        <v>0</v>
      </c>
      <c r="AQ478">
        <v>100</v>
      </c>
      <c r="AR478" s="2">
        <v>45844.384780092594</v>
      </c>
      <c r="AS478" s="2">
        <v>46083.132997685185</v>
      </c>
      <c r="AT478" t="s">
        <v>1357</v>
      </c>
      <c r="AU478" t="s">
        <v>62</v>
      </c>
      <c r="AV478">
        <v>239</v>
      </c>
    </row>
    <row r="479" spans="1:48" x14ac:dyDescent="0.25">
      <c r="A479">
        <v>750</v>
      </c>
      <c r="B479" t="s">
        <v>2016</v>
      </c>
      <c r="C479" t="s">
        <v>1093</v>
      </c>
      <c r="D479" t="s">
        <v>1294</v>
      </c>
      <c r="E479" t="s">
        <v>2017</v>
      </c>
      <c r="F479" t="s">
        <v>2018</v>
      </c>
      <c r="G479" t="s">
        <v>53</v>
      </c>
      <c r="H479" s="1">
        <v>37004</v>
      </c>
      <c r="I479">
        <v>25</v>
      </c>
      <c r="J479">
        <v>2001</v>
      </c>
      <c r="K479" s="1">
        <v>45875</v>
      </c>
      <c r="L479">
        <v>2025</v>
      </c>
      <c r="M479" t="s">
        <v>54</v>
      </c>
      <c r="N479">
        <v>7</v>
      </c>
      <c r="O479" t="s">
        <v>231</v>
      </c>
      <c r="P479" t="s">
        <v>119</v>
      </c>
      <c r="Q479">
        <v>120</v>
      </c>
      <c r="R479">
        <v>3</v>
      </c>
      <c r="S479" t="s">
        <v>126</v>
      </c>
      <c r="T479" t="s">
        <v>127</v>
      </c>
      <c r="U479">
        <v>8</v>
      </c>
      <c r="V479">
        <v>8</v>
      </c>
      <c r="W479">
        <v>8</v>
      </c>
      <c r="X479">
        <v>8</v>
      </c>
      <c r="Y479">
        <v>2</v>
      </c>
      <c r="Z479">
        <v>4</v>
      </c>
      <c r="AA479">
        <v>2.625</v>
      </c>
      <c r="AB479">
        <v>10.5</v>
      </c>
      <c r="AC479" t="s">
        <v>70</v>
      </c>
      <c r="AD479" t="s">
        <v>60</v>
      </c>
      <c r="AE479">
        <v>2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1</v>
      </c>
      <c r="AO479">
        <v>3</v>
      </c>
      <c r="AP479">
        <v>1</v>
      </c>
      <c r="AQ479">
        <v>75</v>
      </c>
      <c r="AR479" s="2">
        <v>45810.959548611114</v>
      </c>
      <c r="AS479" s="2">
        <v>46075.150138888886</v>
      </c>
      <c r="AT479" t="s">
        <v>61</v>
      </c>
      <c r="AU479" t="s">
        <v>1357</v>
      </c>
      <c r="AV479">
        <v>265</v>
      </c>
    </row>
    <row r="480" spans="1:48" x14ac:dyDescent="0.25">
      <c r="A480">
        <v>880</v>
      </c>
      <c r="B480" t="s">
        <v>2019</v>
      </c>
      <c r="C480" t="s">
        <v>681</v>
      </c>
      <c r="D480" t="s">
        <v>2020</v>
      </c>
      <c r="E480" t="s">
        <v>2021</v>
      </c>
      <c r="F480" t="s">
        <v>2022</v>
      </c>
      <c r="G480" t="s">
        <v>53</v>
      </c>
      <c r="H480" s="1">
        <v>35457</v>
      </c>
      <c r="I480">
        <v>29</v>
      </c>
      <c r="J480">
        <v>1997</v>
      </c>
      <c r="K480" s="1">
        <v>45510</v>
      </c>
      <c r="L480">
        <v>2024</v>
      </c>
      <c r="M480" t="s">
        <v>54</v>
      </c>
      <c r="N480">
        <v>3</v>
      </c>
      <c r="O480" t="s">
        <v>68</v>
      </c>
      <c r="P480" t="s">
        <v>69</v>
      </c>
      <c r="Q480">
        <v>60</v>
      </c>
      <c r="R480">
        <v>1</v>
      </c>
      <c r="S480" t="s">
        <v>57</v>
      </c>
      <c r="T480" t="s">
        <v>58</v>
      </c>
      <c r="U480">
        <v>8</v>
      </c>
      <c r="V480">
        <v>8</v>
      </c>
      <c r="W480">
        <v>8</v>
      </c>
      <c r="X480">
        <v>8</v>
      </c>
      <c r="Y480">
        <v>2</v>
      </c>
      <c r="Z480">
        <v>5</v>
      </c>
      <c r="AA480">
        <v>3.3</v>
      </c>
      <c r="AB480">
        <v>16.5</v>
      </c>
      <c r="AC480" t="s">
        <v>540</v>
      </c>
      <c r="AD480" t="s">
        <v>60</v>
      </c>
      <c r="AE480">
        <v>1</v>
      </c>
      <c r="AF480">
        <v>0</v>
      </c>
      <c r="AG480">
        <v>2</v>
      </c>
      <c r="AH480">
        <v>1</v>
      </c>
      <c r="AI480">
        <v>0</v>
      </c>
      <c r="AJ480">
        <v>1</v>
      </c>
      <c r="AK480">
        <v>0</v>
      </c>
      <c r="AL480">
        <v>0</v>
      </c>
      <c r="AM480">
        <v>0</v>
      </c>
      <c r="AN480">
        <v>0</v>
      </c>
      <c r="AO480">
        <v>5</v>
      </c>
      <c r="AP480">
        <v>0</v>
      </c>
      <c r="AQ480">
        <v>100</v>
      </c>
      <c r="AR480" s="2">
        <v>45819.073761574073</v>
      </c>
      <c r="AS480" s="2">
        <v>46071.931226851855</v>
      </c>
      <c r="AT480" t="s">
        <v>61</v>
      </c>
      <c r="AU480" t="s">
        <v>1357</v>
      </c>
      <c r="AV480">
        <v>252</v>
      </c>
    </row>
    <row r="481" spans="1:48" x14ac:dyDescent="0.25">
      <c r="A481">
        <v>287</v>
      </c>
      <c r="B481" t="s">
        <v>2023</v>
      </c>
      <c r="C481" t="s">
        <v>627</v>
      </c>
      <c r="D481" t="s">
        <v>611</v>
      </c>
      <c r="E481" t="s">
        <v>2024</v>
      </c>
      <c r="F481" t="s">
        <v>2025</v>
      </c>
      <c r="G481" t="s">
        <v>104</v>
      </c>
      <c r="H481" s="1">
        <v>38534</v>
      </c>
      <c r="I481">
        <v>21</v>
      </c>
      <c r="J481">
        <v>2005</v>
      </c>
      <c r="K481" s="1">
        <v>44710</v>
      </c>
      <c r="L481">
        <v>2022</v>
      </c>
      <c r="M481" t="s">
        <v>54</v>
      </c>
      <c r="N481">
        <v>17</v>
      </c>
      <c r="O481" t="s">
        <v>350</v>
      </c>
      <c r="P481" t="s">
        <v>56</v>
      </c>
      <c r="Q481">
        <v>36</v>
      </c>
      <c r="R481">
        <v>6</v>
      </c>
      <c r="S481" t="s">
        <v>140</v>
      </c>
      <c r="T481" t="s">
        <v>141</v>
      </c>
      <c r="U481">
        <v>8</v>
      </c>
      <c r="V481">
        <v>8</v>
      </c>
      <c r="W481">
        <v>8</v>
      </c>
      <c r="X481">
        <v>8</v>
      </c>
      <c r="Y481">
        <v>2</v>
      </c>
      <c r="Z481">
        <v>4</v>
      </c>
      <c r="AA481">
        <v>2.375</v>
      </c>
      <c r="AB481">
        <v>9.5</v>
      </c>
      <c r="AC481" t="s">
        <v>59</v>
      </c>
      <c r="AD481" t="s">
        <v>281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2</v>
      </c>
      <c r="AK481">
        <v>0</v>
      </c>
      <c r="AL481">
        <v>0</v>
      </c>
      <c r="AM481">
        <v>1</v>
      </c>
      <c r="AN481">
        <v>0</v>
      </c>
      <c r="AO481">
        <v>4</v>
      </c>
      <c r="AP481">
        <v>0</v>
      </c>
      <c r="AQ481">
        <v>100</v>
      </c>
      <c r="AR481" s="2">
        <v>45847.779814814814</v>
      </c>
      <c r="AS481" s="2">
        <v>46083.097893518519</v>
      </c>
      <c r="AT481" t="s">
        <v>61</v>
      </c>
      <c r="AU481" t="s">
        <v>1357</v>
      </c>
      <c r="AV481">
        <v>236</v>
      </c>
    </row>
    <row r="482" spans="1:48" x14ac:dyDescent="0.25">
      <c r="A482">
        <v>144</v>
      </c>
      <c r="B482" t="s">
        <v>2026</v>
      </c>
      <c r="C482" t="s">
        <v>1768</v>
      </c>
      <c r="D482" t="s">
        <v>1597</v>
      </c>
      <c r="E482" t="s">
        <v>2027</v>
      </c>
      <c r="F482" t="s">
        <v>2028</v>
      </c>
      <c r="G482" t="s">
        <v>104</v>
      </c>
      <c r="H482" s="1">
        <v>38559</v>
      </c>
      <c r="I482">
        <v>21</v>
      </c>
      <c r="J482">
        <v>2005</v>
      </c>
      <c r="K482" s="1">
        <v>45409</v>
      </c>
      <c r="L482">
        <v>2024</v>
      </c>
      <c r="M482" t="s">
        <v>54</v>
      </c>
      <c r="N482">
        <v>14</v>
      </c>
      <c r="O482" t="s">
        <v>105</v>
      </c>
      <c r="P482" t="s">
        <v>56</v>
      </c>
      <c r="Q482">
        <v>36</v>
      </c>
      <c r="R482">
        <v>5</v>
      </c>
      <c r="S482" t="s">
        <v>92</v>
      </c>
      <c r="T482" t="s">
        <v>93</v>
      </c>
      <c r="U482">
        <v>8</v>
      </c>
      <c r="V482">
        <v>8</v>
      </c>
      <c r="W482">
        <v>8</v>
      </c>
      <c r="X482">
        <v>8</v>
      </c>
      <c r="Y482">
        <v>2</v>
      </c>
      <c r="Z482">
        <v>6</v>
      </c>
      <c r="AA482">
        <v>3</v>
      </c>
      <c r="AB482">
        <v>18</v>
      </c>
      <c r="AC482" t="s">
        <v>59</v>
      </c>
      <c r="AD482" t="s">
        <v>60</v>
      </c>
      <c r="AE482">
        <v>2</v>
      </c>
      <c r="AF482">
        <v>0</v>
      </c>
      <c r="AG482">
        <v>1</v>
      </c>
      <c r="AH482">
        <v>1</v>
      </c>
      <c r="AI482">
        <v>0</v>
      </c>
      <c r="AJ482">
        <v>1</v>
      </c>
      <c r="AK482">
        <v>0</v>
      </c>
      <c r="AL482">
        <v>0</v>
      </c>
      <c r="AM482">
        <v>1</v>
      </c>
      <c r="AN482">
        <v>0</v>
      </c>
      <c r="AO482">
        <v>6</v>
      </c>
      <c r="AP482">
        <v>0</v>
      </c>
      <c r="AQ482">
        <v>100</v>
      </c>
      <c r="AR482" s="2">
        <v>45727.054664351854</v>
      </c>
      <c r="AS482" s="2">
        <v>45978.707650462966</v>
      </c>
      <c r="AT482" t="s">
        <v>61</v>
      </c>
      <c r="AU482" t="s">
        <v>1357</v>
      </c>
      <c r="AV482">
        <v>251</v>
      </c>
    </row>
    <row r="483" spans="1:48" x14ac:dyDescent="0.25">
      <c r="A483">
        <v>425</v>
      </c>
      <c r="B483" t="s">
        <v>2029</v>
      </c>
      <c r="C483" t="s">
        <v>1431</v>
      </c>
      <c r="D483" t="s">
        <v>532</v>
      </c>
      <c r="E483" t="s">
        <v>2030</v>
      </c>
      <c r="F483" t="s">
        <v>2031</v>
      </c>
      <c r="G483" t="s">
        <v>53</v>
      </c>
      <c r="H483" s="1">
        <v>35350</v>
      </c>
      <c r="I483">
        <v>30</v>
      </c>
      <c r="J483">
        <v>1996</v>
      </c>
      <c r="K483" s="1">
        <v>44761</v>
      </c>
      <c r="L483">
        <v>2022</v>
      </c>
      <c r="M483" t="s">
        <v>54</v>
      </c>
      <c r="N483">
        <v>11</v>
      </c>
      <c r="O483" t="s">
        <v>378</v>
      </c>
      <c r="P483" t="s">
        <v>56</v>
      </c>
      <c r="Q483">
        <v>36</v>
      </c>
      <c r="R483">
        <v>4</v>
      </c>
      <c r="S483" t="s">
        <v>77</v>
      </c>
      <c r="T483" t="s">
        <v>78</v>
      </c>
      <c r="U483">
        <v>8</v>
      </c>
      <c r="V483">
        <v>8</v>
      </c>
      <c r="W483">
        <v>8</v>
      </c>
      <c r="X483">
        <v>8</v>
      </c>
      <c r="Y483">
        <v>2</v>
      </c>
      <c r="Z483">
        <v>8</v>
      </c>
      <c r="AA483">
        <v>1.9375</v>
      </c>
      <c r="AB483">
        <v>15.5</v>
      </c>
      <c r="AC483" t="s">
        <v>70</v>
      </c>
      <c r="AD483" t="s">
        <v>60</v>
      </c>
      <c r="AE483">
        <v>1</v>
      </c>
      <c r="AF483">
        <v>0</v>
      </c>
      <c r="AG483">
        <v>2</v>
      </c>
      <c r="AH483">
        <v>0</v>
      </c>
      <c r="AI483">
        <v>0</v>
      </c>
      <c r="AJ483">
        <v>1</v>
      </c>
      <c r="AK483">
        <v>0</v>
      </c>
      <c r="AL483">
        <v>0</v>
      </c>
      <c r="AM483">
        <v>2</v>
      </c>
      <c r="AN483">
        <v>2</v>
      </c>
      <c r="AO483">
        <v>6</v>
      </c>
      <c r="AP483">
        <v>2</v>
      </c>
      <c r="AQ483">
        <v>75</v>
      </c>
      <c r="AR483" s="2">
        <v>45760.587465277778</v>
      </c>
      <c r="AS483" s="2">
        <v>46038.891805555555</v>
      </c>
      <c r="AT483" t="s">
        <v>61</v>
      </c>
      <c r="AU483" t="s">
        <v>62</v>
      </c>
      <c r="AV483">
        <v>278</v>
      </c>
    </row>
    <row r="484" spans="1:48" x14ac:dyDescent="0.25">
      <c r="A484">
        <v>212</v>
      </c>
      <c r="B484" t="s">
        <v>2032</v>
      </c>
      <c r="C484" t="s">
        <v>2033</v>
      </c>
      <c r="D484" t="s">
        <v>1670</v>
      </c>
      <c r="E484" t="s">
        <v>2034</v>
      </c>
      <c r="F484" t="s">
        <v>2035</v>
      </c>
      <c r="G484" t="s">
        <v>53</v>
      </c>
      <c r="H484" s="1">
        <v>35876</v>
      </c>
      <c r="I484">
        <v>28</v>
      </c>
      <c r="J484">
        <v>1998</v>
      </c>
      <c r="K484" s="1">
        <v>44643</v>
      </c>
      <c r="L484">
        <v>2022</v>
      </c>
      <c r="M484" t="s">
        <v>54</v>
      </c>
      <c r="N484">
        <v>21</v>
      </c>
      <c r="O484" t="s">
        <v>339</v>
      </c>
      <c r="P484" t="s">
        <v>69</v>
      </c>
      <c r="Q484">
        <v>60</v>
      </c>
      <c r="R484">
        <v>7</v>
      </c>
      <c r="S484" t="s">
        <v>163</v>
      </c>
      <c r="T484" t="s">
        <v>164</v>
      </c>
      <c r="U484">
        <v>7</v>
      </c>
      <c r="V484">
        <v>8</v>
      </c>
      <c r="W484">
        <v>8</v>
      </c>
      <c r="X484">
        <v>8</v>
      </c>
      <c r="Y484">
        <v>2</v>
      </c>
      <c r="Z484">
        <v>6</v>
      </c>
      <c r="AA484">
        <v>1.5833330000000001</v>
      </c>
      <c r="AB484">
        <v>9.5</v>
      </c>
      <c r="AC484" t="s">
        <v>70</v>
      </c>
      <c r="AD484" t="s">
        <v>281</v>
      </c>
      <c r="AE484">
        <v>0</v>
      </c>
      <c r="AF484">
        <v>0</v>
      </c>
      <c r="AG484">
        <v>1</v>
      </c>
      <c r="AH484">
        <v>0</v>
      </c>
      <c r="AI484">
        <v>0</v>
      </c>
      <c r="AJ484">
        <v>2</v>
      </c>
      <c r="AK484">
        <v>0</v>
      </c>
      <c r="AL484">
        <v>0</v>
      </c>
      <c r="AM484">
        <v>1</v>
      </c>
      <c r="AN484">
        <v>2</v>
      </c>
      <c r="AO484">
        <v>4</v>
      </c>
      <c r="AP484">
        <v>2</v>
      </c>
      <c r="AQ484">
        <v>66.666666666666003</v>
      </c>
      <c r="AR484" s="2">
        <v>45742.840416666666</v>
      </c>
      <c r="AS484" s="2">
        <v>46055.199999999997</v>
      </c>
      <c r="AT484" t="s">
        <v>61</v>
      </c>
      <c r="AU484" t="s">
        <v>1357</v>
      </c>
      <c r="AV484">
        <v>313</v>
      </c>
    </row>
    <row r="485" spans="1:48" x14ac:dyDescent="0.25">
      <c r="A485">
        <v>414</v>
      </c>
      <c r="B485" t="s">
        <v>2036</v>
      </c>
      <c r="C485" t="s">
        <v>2037</v>
      </c>
      <c r="D485" t="s">
        <v>2038</v>
      </c>
      <c r="E485" t="s">
        <v>2039</v>
      </c>
      <c r="F485" t="s">
        <v>2040</v>
      </c>
      <c r="G485" t="s">
        <v>53</v>
      </c>
      <c r="H485" s="1">
        <v>39162</v>
      </c>
      <c r="I485">
        <v>19</v>
      </c>
      <c r="J485">
        <v>2007</v>
      </c>
      <c r="K485" s="1">
        <v>45111</v>
      </c>
      <c r="L485">
        <v>2023</v>
      </c>
      <c r="M485" t="s">
        <v>54</v>
      </c>
      <c r="N485">
        <v>19</v>
      </c>
      <c r="O485" t="s">
        <v>162</v>
      </c>
      <c r="P485" t="s">
        <v>119</v>
      </c>
      <c r="Q485">
        <v>120</v>
      </c>
      <c r="R485">
        <v>7</v>
      </c>
      <c r="S485" t="s">
        <v>163</v>
      </c>
      <c r="T485" t="s">
        <v>164</v>
      </c>
      <c r="U485">
        <v>8</v>
      </c>
      <c r="V485">
        <v>8</v>
      </c>
      <c r="W485">
        <v>8</v>
      </c>
      <c r="X485">
        <v>8</v>
      </c>
      <c r="Y485">
        <v>2</v>
      </c>
      <c r="Z485">
        <v>6</v>
      </c>
      <c r="AA485">
        <v>1.916666</v>
      </c>
      <c r="AB485">
        <v>11.5</v>
      </c>
      <c r="AC485" t="s">
        <v>59</v>
      </c>
      <c r="AD485" t="s">
        <v>112</v>
      </c>
      <c r="AE485">
        <v>0</v>
      </c>
      <c r="AF485">
        <v>0</v>
      </c>
      <c r="AG485">
        <v>1</v>
      </c>
      <c r="AH485">
        <v>1</v>
      </c>
      <c r="AI485">
        <v>0</v>
      </c>
      <c r="AJ485">
        <v>0</v>
      </c>
      <c r="AK485">
        <v>1</v>
      </c>
      <c r="AL485">
        <v>0</v>
      </c>
      <c r="AM485">
        <v>3</v>
      </c>
      <c r="AN485">
        <v>0</v>
      </c>
      <c r="AO485">
        <v>6</v>
      </c>
      <c r="AP485">
        <v>0</v>
      </c>
      <c r="AQ485">
        <v>100</v>
      </c>
      <c r="AR485" s="2">
        <v>45811.356134259258</v>
      </c>
      <c r="AS485" s="2">
        <v>46003.479722222219</v>
      </c>
      <c r="AT485" t="s">
        <v>1357</v>
      </c>
      <c r="AU485" t="s">
        <v>62</v>
      </c>
      <c r="AV485">
        <v>192</v>
      </c>
    </row>
    <row r="486" spans="1:48" x14ac:dyDescent="0.25">
      <c r="A486">
        <v>681</v>
      </c>
      <c r="B486" t="s">
        <v>2041</v>
      </c>
      <c r="C486" t="s">
        <v>2042</v>
      </c>
      <c r="D486" t="s">
        <v>2043</v>
      </c>
      <c r="E486" t="s">
        <v>2044</v>
      </c>
      <c r="F486" t="s">
        <v>2045</v>
      </c>
      <c r="G486" t="s">
        <v>104</v>
      </c>
      <c r="H486" s="1">
        <v>37602</v>
      </c>
      <c r="I486">
        <v>24</v>
      </c>
      <c r="J486">
        <v>2002</v>
      </c>
      <c r="K486" s="1">
        <v>45418</v>
      </c>
      <c r="L486">
        <v>2024</v>
      </c>
      <c r="M486" t="s">
        <v>111</v>
      </c>
      <c r="N486">
        <v>6</v>
      </c>
      <c r="O486" t="s">
        <v>133</v>
      </c>
      <c r="P486" t="s">
        <v>69</v>
      </c>
      <c r="Q486">
        <v>60</v>
      </c>
      <c r="R486">
        <v>2</v>
      </c>
      <c r="S486" t="s">
        <v>85</v>
      </c>
      <c r="T486" t="s">
        <v>86</v>
      </c>
      <c r="U486">
        <v>8</v>
      </c>
      <c r="V486">
        <v>8</v>
      </c>
      <c r="W486">
        <v>8</v>
      </c>
      <c r="X486">
        <v>8</v>
      </c>
      <c r="Y486">
        <v>2</v>
      </c>
      <c r="Z486">
        <v>8</v>
      </c>
      <c r="AA486">
        <v>1.6875</v>
      </c>
      <c r="AB486">
        <v>13.5</v>
      </c>
      <c r="AC486" t="s">
        <v>70</v>
      </c>
      <c r="AD486" t="s">
        <v>60</v>
      </c>
      <c r="AE486">
        <v>1</v>
      </c>
      <c r="AF486">
        <v>0</v>
      </c>
      <c r="AG486">
        <v>0</v>
      </c>
      <c r="AH486">
        <v>1</v>
      </c>
      <c r="AI486">
        <v>0</v>
      </c>
      <c r="AJ486">
        <v>1</v>
      </c>
      <c r="AK486">
        <v>1</v>
      </c>
      <c r="AL486">
        <v>0</v>
      </c>
      <c r="AM486">
        <v>2</v>
      </c>
      <c r="AN486">
        <v>2</v>
      </c>
      <c r="AO486">
        <v>6</v>
      </c>
      <c r="AP486">
        <v>2</v>
      </c>
      <c r="AQ486">
        <v>75</v>
      </c>
      <c r="AR486" s="2">
        <v>45805.673113425924</v>
      </c>
      <c r="AS486" s="2">
        <v>46086.265694444446</v>
      </c>
      <c r="AT486" t="s">
        <v>61</v>
      </c>
      <c r="AU486" t="s">
        <v>1357</v>
      </c>
      <c r="AV486">
        <v>281</v>
      </c>
    </row>
    <row r="487" spans="1:48" x14ac:dyDescent="0.25">
      <c r="A487">
        <v>635</v>
      </c>
      <c r="B487" t="s">
        <v>2046</v>
      </c>
      <c r="C487" t="s">
        <v>873</v>
      </c>
      <c r="D487" t="s">
        <v>2047</v>
      </c>
      <c r="E487" t="s">
        <v>2048</v>
      </c>
      <c r="F487" t="s">
        <v>2049</v>
      </c>
      <c r="G487" t="s">
        <v>53</v>
      </c>
      <c r="H487" s="1">
        <v>35307</v>
      </c>
      <c r="I487">
        <v>30</v>
      </c>
      <c r="J487">
        <v>1996</v>
      </c>
      <c r="K487" s="1">
        <v>44625</v>
      </c>
      <c r="L487">
        <v>2022</v>
      </c>
      <c r="M487" t="s">
        <v>54</v>
      </c>
      <c r="N487">
        <v>16</v>
      </c>
      <c r="O487" t="s">
        <v>280</v>
      </c>
      <c r="P487" t="s">
        <v>119</v>
      </c>
      <c r="Q487">
        <v>120</v>
      </c>
      <c r="R487">
        <v>6</v>
      </c>
      <c r="S487" t="s">
        <v>140</v>
      </c>
      <c r="T487" t="s">
        <v>141</v>
      </c>
      <c r="U487">
        <v>8</v>
      </c>
      <c r="V487">
        <v>8</v>
      </c>
      <c r="W487">
        <v>8</v>
      </c>
      <c r="X487">
        <v>7</v>
      </c>
      <c r="Y487">
        <v>2</v>
      </c>
      <c r="Z487">
        <v>8</v>
      </c>
      <c r="AA487">
        <v>1.625</v>
      </c>
      <c r="AB487">
        <v>13</v>
      </c>
      <c r="AC487" t="s">
        <v>70</v>
      </c>
      <c r="AD487" t="s">
        <v>112</v>
      </c>
      <c r="AE487">
        <v>0</v>
      </c>
      <c r="AF487">
        <v>0</v>
      </c>
      <c r="AG487">
        <v>2</v>
      </c>
      <c r="AH487">
        <v>1</v>
      </c>
      <c r="AI487">
        <v>0</v>
      </c>
      <c r="AJ487">
        <v>0</v>
      </c>
      <c r="AK487">
        <v>1</v>
      </c>
      <c r="AL487">
        <v>0</v>
      </c>
      <c r="AM487">
        <v>1</v>
      </c>
      <c r="AN487">
        <v>3</v>
      </c>
      <c r="AO487">
        <v>5</v>
      </c>
      <c r="AP487">
        <v>3</v>
      </c>
      <c r="AQ487">
        <v>62.5</v>
      </c>
      <c r="AR487" s="2">
        <v>45817.006203703706</v>
      </c>
      <c r="AS487" s="2">
        <v>46030.518101851849</v>
      </c>
      <c r="AT487" t="s">
        <v>61</v>
      </c>
      <c r="AU487" t="s">
        <v>62</v>
      </c>
      <c r="AV487">
        <v>213</v>
      </c>
    </row>
    <row r="488" spans="1:48" x14ac:dyDescent="0.25">
      <c r="A488">
        <v>399</v>
      </c>
      <c r="B488" t="s">
        <v>2050</v>
      </c>
      <c r="C488" t="s">
        <v>2051</v>
      </c>
      <c r="D488" t="s">
        <v>619</v>
      </c>
      <c r="E488" t="s">
        <v>2052</v>
      </c>
      <c r="F488" t="s">
        <v>2053</v>
      </c>
      <c r="G488" t="s">
        <v>104</v>
      </c>
      <c r="H488" s="1">
        <v>36256</v>
      </c>
      <c r="I488">
        <v>27</v>
      </c>
      <c r="J488">
        <v>1999</v>
      </c>
      <c r="K488" s="1">
        <v>45174</v>
      </c>
      <c r="L488">
        <v>2023</v>
      </c>
      <c r="M488" t="s">
        <v>111</v>
      </c>
      <c r="N488">
        <v>9</v>
      </c>
      <c r="O488" t="s">
        <v>151</v>
      </c>
      <c r="P488" t="s">
        <v>69</v>
      </c>
      <c r="Q488">
        <v>60</v>
      </c>
      <c r="R488">
        <v>3</v>
      </c>
      <c r="S488" t="s">
        <v>126</v>
      </c>
      <c r="T488" t="s">
        <v>127</v>
      </c>
      <c r="U488">
        <v>7</v>
      </c>
      <c r="V488">
        <v>8</v>
      </c>
      <c r="W488">
        <v>8</v>
      </c>
      <c r="X488">
        <v>8</v>
      </c>
      <c r="Y488">
        <v>2</v>
      </c>
      <c r="Z488">
        <v>5</v>
      </c>
      <c r="AA488">
        <v>1.8</v>
      </c>
      <c r="AB488">
        <v>9</v>
      </c>
      <c r="AC488" t="s">
        <v>70</v>
      </c>
      <c r="AD488" t="s">
        <v>281</v>
      </c>
      <c r="AE488">
        <v>0</v>
      </c>
      <c r="AF488">
        <v>0</v>
      </c>
      <c r="AG488">
        <v>1</v>
      </c>
      <c r="AH488">
        <v>0</v>
      </c>
      <c r="AI488">
        <v>0</v>
      </c>
      <c r="AJ488">
        <v>1</v>
      </c>
      <c r="AK488">
        <v>1</v>
      </c>
      <c r="AL488">
        <v>0</v>
      </c>
      <c r="AM488">
        <v>1</v>
      </c>
      <c r="AN488">
        <v>1</v>
      </c>
      <c r="AO488">
        <v>4</v>
      </c>
      <c r="AP488">
        <v>1</v>
      </c>
      <c r="AQ488">
        <v>80</v>
      </c>
      <c r="AR488" s="2">
        <v>45736.397280092591</v>
      </c>
      <c r="AS488" s="2">
        <v>45964.894456018519</v>
      </c>
      <c r="AT488" t="s">
        <v>61</v>
      </c>
      <c r="AU488" t="s">
        <v>1357</v>
      </c>
      <c r="AV488">
        <v>228</v>
      </c>
    </row>
    <row r="489" spans="1:48" x14ac:dyDescent="0.25">
      <c r="A489">
        <v>768</v>
      </c>
      <c r="B489" t="s">
        <v>2054</v>
      </c>
      <c r="C489" t="s">
        <v>1414</v>
      </c>
      <c r="D489" t="s">
        <v>878</v>
      </c>
      <c r="E489" t="s">
        <v>2055</v>
      </c>
      <c r="F489" t="s">
        <v>2056</v>
      </c>
      <c r="G489" t="s">
        <v>53</v>
      </c>
      <c r="H489" s="1">
        <v>37103</v>
      </c>
      <c r="I489">
        <v>25</v>
      </c>
      <c r="J489">
        <v>2001</v>
      </c>
      <c r="K489" s="1">
        <v>45839</v>
      </c>
      <c r="L489">
        <v>2025</v>
      </c>
      <c r="M489" t="s">
        <v>54</v>
      </c>
      <c r="N489">
        <v>1</v>
      </c>
      <c r="O489" t="s">
        <v>157</v>
      </c>
      <c r="P489" t="s">
        <v>119</v>
      </c>
      <c r="Q489">
        <v>120</v>
      </c>
      <c r="R489">
        <v>1</v>
      </c>
      <c r="S489" t="s">
        <v>57</v>
      </c>
      <c r="T489" t="s">
        <v>58</v>
      </c>
      <c r="U489">
        <v>7</v>
      </c>
      <c r="V489">
        <v>8</v>
      </c>
      <c r="W489">
        <v>8</v>
      </c>
      <c r="X489">
        <v>8</v>
      </c>
      <c r="Y489">
        <v>2</v>
      </c>
      <c r="Z489">
        <v>8</v>
      </c>
      <c r="AA489">
        <v>2.5625</v>
      </c>
      <c r="AB489">
        <v>20.5</v>
      </c>
      <c r="AC489" t="s">
        <v>70</v>
      </c>
      <c r="AD489" t="s">
        <v>60</v>
      </c>
      <c r="AE489">
        <v>2</v>
      </c>
      <c r="AF489">
        <v>0</v>
      </c>
      <c r="AG489">
        <v>2</v>
      </c>
      <c r="AH489">
        <v>0</v>
      </c>
      <c r="AI489">
        <v>0</v>
      </c>
      <c r="AJ489">
        <v>1</v>
      </c>
      <c r="AK489">
        <v>1</v>
      </c>
      <c r="AL489">
        <v>0</v>
      </c>
      <c r="AM489">
        <v>1</v>
      </c>
      <c r="AN489">
        <v>1</v>
      </c>
      <c r="AO489">
        <v>7</v>
      </c>
      <c r="AP489">
        <v>1</v>
      </c>
      <c r="AQ489">
        <v>87.5</v>
      </c>
      <c r="AR489" s="2">
        <v>45747.290486111109</v>
      </c>
      <c r="AS489" s="2">
        <v>46070.245092592595</v>
      </c>
      <c r="AT489" t="s">
        <v>61</v>
      </c>
      <c r="AU489" t="s">
        <v>62</v>
      </c>
      <c r="AV489">
        <v>323</v>
      </c>
    </row>
    <row r="490" spans="1:48" x14ac:dyDescent="0.25">
      <c r="A490">
        <v>68</v>
      </c>
      <c r="B490" t="s">
        <v>2057</v>
      </c>
      <c r="C490" t="s">
        <v>211</v>
      </c>
      <c r="D490" t="s">
        <v>1329</v>
      </c>
      <c r="E490" t="s">
        <v>2058</v>
      </c>
      <c r="F490" t="s">
        <v>2059</v>
      </c>
      <c r="G490" t="s">
        <v>53</v>
      </c>
      <c r="H490" s="1">
        <v>35586</v>
      </c>
      <c r="I490">
        <v>29</v>
      </c>
      <c r="J490">
        <v>1997</v>
      </c>
      <c r="K490" s="1">
        <v>44848</v>
      </c>
      <c r="L490">
        <v>2022</v>
      </c>
      <c r="M490" t="s">
        <v>54</v>
      </c>
      <c r="N490">
        <v>19</v>
      </c>
      <c r="O490" t="s">
        <v>162</v>
      </c>
      <c r="P490" t="s">
        <v>119</v>
      </c>
      <c r="Q490">
        <v>120</v>
      </c>
      <c r="R490">
        <v>7</v>
      </c>
      <c r="S490" t="s">
        <v>163</v>
      </c>
      <c r="T490" t="s">
        <v>164</v>
      </c>
      <c r="U490">
        <v>8</v>
      </c>
      <c r="V490">
        <v>8</v>
      </c>
      <c r="W490">
        <v>8</v>
      </c>
      <c r="X490">
        <v>6</v>
      </c>
      <c r="Y490">
        <v>2</v>
      </c>
      <c r="Z490">
        <v>8</v>
      </c>
      <c r="AA490">
        <v>1.625</v>
      </c>
      <c r="AB490">
        <v>13</v>
      </c>
      <c r="AC490" t="s">
        <v>70</v>
      </c>
      <c r="AD490" t="s">
        <v>112</v>
      </c>
      <c r="AE490">
        <v>0</v>
      </c>
      <c r="AF490">
        <v>0</v>
      </c>
      <c r="AG490">
        <v>0</v>
      </c>
      <c r="AH490">
        <v>2</v>
      </c>
      <c r="AI490">
        <v>0</v>
      </c>
      <c r="AJ490">
        <v>0</v>
      </c>
      <c r="AK490">
        <v>3</v>
      </c>
      <c r="AL490">
        <v>0</v>
      </c>
      <c r="AM490">
        <v>1</v>
      </c>
      <c r="AN490">
        <v>2</v>
      </c>
      <c r="AO490">
        <v>6</v>
      </c>
      <c r="AP490">
        <v>2</v>
      </c>
      <c r="AQ490">
        <v>75</v>
      </c>
      <c r="AR490" s="2">
        <v>45745.065659722219</v>
      </c>
      <c r="AS490" s="2">
        <v>46085.891979166663</v>
      </c>
      <c r="AT490" t="s">
        <v>61</v>
      </c>
      <c r="AU490" t="s">
        <v>62</v>
      </c>
      <c r="AV490">
        <v>340</v>
      </c>
    </row>
    <row r="491" spans="1:48" x14ac:dyDescent="0.25">
      <c r="A491">
        <v>228</v>
      </c>
      <c r="B491" t="s">
        <v>2060</v>
      </c>
      <c r="C491" t="s">
        <v>2061</v>
      </c>
      <c r="D491" t="s">
        <v>510</v>
      </c>
      <c r="E491" t="s">
        <v>2062</v>
      </c>
      <c r="F491" t="s">
        <v>2063</v>
      </c>
      <c r="G491" t="s">
        <v>53</v>
      </c>
      <c r="H491" s="1">
        <v>36554</v>
      </c>
      <c r="I491">
        <v>26</v>
      </c>
      <c r="J491">
        <v>2000</v>
      </c>
      <c r="K491" s="1">
        <v>45251</v>
      </c>
      <c r="L491">
        <v>2023</v>
      </c>
      <c r="M491" t="s">
        <v>54</v>
      </c>
      <c r="N491">
        <v>15</v>
      </c>
      <c r="O491" t="s">
        <v>91</v>
      </c>
      <c r="P491" t="s">
        <v>69</v>
      </c>
      <c r="Q491">
        <v>60</v>
      </c>
      <c r="R491">
        <v>5</v>
      </c>
      <c r="S491" t="s">
        <v>92</v>
      </c>
      <c r="T491" t="s">
        <v>93</v>
      </c>
      <c r="U491">
        <v>8</v>
      </c>
      <c r="V491">
        <v>8</v>
      </c>
      <c r="W491">
        <v>8</v>
      </c>
      <c r="X491">
        <v>8</v>
      </c>
      <c r="Y491">
        <v>2</v>
      </c>
      <c r="Z491">
        <v>8</v>
      </c>
      <c r="AA491">
        <v>2.5</v>
      </c>
      <c r="AB491">
        <v>20</v>
      </c>
      <c r="AC491" t="s">
        <v>70</v>
      </c>
      <c r="AD491" t="s">
        <v>60</v>
      </c>
      <c r="AE491">
        <v>2</v>
      </c>
      <c r="AF491">
        <v>0</v>
      </c>
      <c r="AG491">
        <v>1</v>
      </c>
      <c r="AH491">
        <v>1</v>
      </c>
      <c r="AI491">
        <v>0</v>
      </c>
      <c r="AJ491">
        <v>1</v>
      </c>
      <c r="AK491">
        <v>1</v>
      </c>
      <c r="AL491">
        <v>0</v>
      </c>
      <c r="AM491">
        <v>1</v>
      </c>
      <c r="AN491">
        <v>1</v>
      </c>
      <c r="AO491">
        <v>7</v>
      </c>
      <c r="AP491">
        <v>1</v>
      </c>
      <c r="AQ491">
        <v>87.5</v>
      </c>
      <c r="AR491" s="2">
        <v>45751.154456018521</v>
      </c>
      <c r="AS491" s="2">
        <v>45995.160925925928</v>
      </c>
      <c r="AT491" t="s">
        <v>61</v>
      </c>
      <c r="AU491" t="s">
        <v>62</v>
      </c>
      <c r="AV491">
        <v>244</v>
      </c>
    </row>
    <row r="492" spans="1:48" x14ac:dyDescent="0.25">
      <c r="A492">
        <v>447</v>
      </c>
      <c r="B492" t="s">
        <v>2064</v>
      </c>
      <c r="C492" t="s">
        <v>64</v>
      </c>
      <c r="D492" t="s">
        <v>342</v>
      </c>
      <c r="E492" t="s">
        <v>2065</v>
      </c>
      <c r="F492" t="s">
        <v>2066</v>
      </c>
      <c r="G492" t="s">
        <v>53</v>
      </c>
      <c r="H492" s="1">
        <v>36881</v>
      </c>
      <c r="I492">
        <v>26</v>
      </c>
      <c r="J492">
        <v>2000</v>
      </c>
      <c r="K492" s="1">
        <v>44924</v>
      </c>
      <c r="L492">
        <v>2022</v>
      </c>
      <c r="M492" t="s">
        <v>54</v>
      </c>
      <c r="N492">
        <v>5</v>
      </c>
      <c r="O492" t="s">
        <v>84</v>
      </c>
      <c r="P492" t="s">
        <v>56</v>
      </c>
      <c r="Q492">
        <v>36</v>
      </c>
      <c r="R492">
        <v>2</v>
      </c>
      <c r="S492" t="s">
        <v>85</v>
      </c>
      <c r="T492" t="s">
        <v>86</v>
      </c>
      <c r="U492">
        <v>8</v>
      </c>
      <c r="V492">
        <v>8</v>
      </c>
      <c r="W492">
        <v>8</v>
      </c>
      <c r="X492">
        <v>7</v>
      </c>
      <c r="Y492">
        <v>2</v>
      </c>
      <c r="Z492">
        <v>6</v>
      </c>
      <c r="AA492">
        <v>2.5833330000000001</v>
      </c>
      <c r="AB492">
        <v>15.5</v>
      </c>
      <c r="AC492" t="s">
        <v>70</v>
      </c>
      <c r="AD492" t="s">
        <v>60</v>
      </c>
      <c r="AE492">
        <v>1</v>
      </c>
      <c r="AF492">
        <v>0</v>
      </c>
      <c r="AG492">
        <v>2</v>
      </c>
      <c r="AH492">
        <v>0</v>
      </c>
      <c r="AI492">
        <v>0</v>
      </c>
      <c r="AJ492">
        <v>1</v>
      </c>
      <c r="AK492">
        <v>1</v>
      </c>
      <c r="AL492">
        <v>0</v>
      </c>
      <c r="AM492">
        <v>0</v>
      </c>
      <c r="AN492">
        <v>1</v>
      </c>
      <c r="AO492">
        <v>5</v>
      </c>
      <c r="AP492">
        <v>1</v>
      </c>
      <c r="AQ492">
        <v>83.333333333333002</v>
      </c>
      <c r="AR492" s="2">
        <v>45811.330381944441</v>
      </c>
      <c r="AS492" s="2">
        <v>46070.400995370372</v>
      </c>
      <c r="AT492" t="s">
        <v>1357</v>
      </c>
      <c r="AU492" t="s">
        <v>62</v>
      </c>
      <c r="AV492">
        <v>259</v>
      </c>
    </row>
    <row r="493" spans="1:48" x14ac:dyDescent="0.25">
      <c r="A493">
        <v>237</v>
      </c>
      <c r="B493" t="s">
        <v>2067</v>
      </c>
      <c r="C493" t="s">
        <v>1019</v>
      </c>
      <c r="D493" t="s">
        <v>2068</v>
      </c>
      <c r="E493" t="s">
        <v>2069</v>
      </c>
      <c r="F493" t="s">
        <v>2070</v>
      </c>
      <c r="G493" t="s">
        <v>53</v>
      </c>
      <c r="H493" s="1">
        <v>37949</v>
      </c>
      <c r="I493">
        <v>23</v>
      </c>
      <c r="J493">
        <v>2003</v>
      </c>
      <c r="K493" s="1">
        <v>45453</v>
      </c>
      <c r="L493">
        <v>2024</v>
      </c>
      <c r="M493" t="s">
        <v>54</v>
      </c>
      <c r="N493">
        <v>5</v>
      </c>
      <c r="O493" t="s">
        <v>84</v>
      </c>
      <c r="P493" t="s">
        <v>56</v>
      </c>
      <c r="Q493">
        <v>36</v>
      </c>
      <c r="R493">
        <v>2</v>
      </c>
      <c r="S493" t="s">
        <v>85</v>
      </c>
      <c r="T493" t="s">
        <v>86</v>
      </c>
      <c r="U493">
        <v>8</v>
      </c>
      <c r="V493">
        <v>8</v>
      </c>
      <c r="W493">
        <v>8</v>
      </c>
      <c r="X493">
        <v>7</v>
      </c>
      <c r="Y493">
        <v>2</v>
      </c>
      <c r="Z493">
        <v>6</v>
      </c>
      <c r="AA493">
        <v>2.25</v>
      </c>
      <c r="AB493">
        <v>13.5</v>
      </c>
      <c r="AC493" t="s">
        <v>70</v>
      </c>
      <c r="AD493" t="s">
        <v>60</v>
      </c>
      <c r="AE493">
        <v>2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2</v>
      </c>
      <c r="AN493">
        <v>1</v>
      </c>
      <c r="AO493">
        <v>5</v>
      </c>
      <c r="AP493">
        <v>1</v>
      </c>
      <c r="AQ493">
        <v>83.333333333333002</v>
      </c>
      <c r="AR493" s="2">
        <v>45738.547025462962</v>
      </c>
      <c r="AS493" s="2">
        <v>46005.10328703704</v>
      </c>
      <c r="AT493" t="s">
        <v>61</v>
      </c>
      <c r="AU493" t="s">
        <v>1357</v>
      </c>
      <c r="AV493">
        <v>267</v>
      </c>
    </row>
    <row r="494" spans="1:48" x14ac:dyDescent="0.25">
      <c r="A494">
        <v>78</v>
      </c>
      <c r="B494" t="s">
        <v>2071</v>
      </c>
      <c r="C494" t="s">
        <v>1276</v>
      </c>
      <c r="D494" t="s">
        <v>2072</v>
      </c>
      <c r="E494" t="s">
        <v>2073</v>
      </c>
      <c r="F494">
        <v>7605685361</v>
      </c>
      <c r="G494" t="s">
        <v>104</v>
      </c>
      <c r="H494" s="1">
        <v>34896</v>
      </c>
      <c r="I494">
        <v>31</v>
      </c>
      <c r="J494">
        <v>1995</v>
      </c>
      <c r="K494" s="1">
        <v>45984</v>
      </c>
      <c r="L494">
        <v>2025</v>
      </c>
      <c r="M494" t="s">
        <v>54</v>
      </c>
      <c r="N494">
        <v>21</v>
      </c>
      <c r="O494" t="s">
        <v>339</v>
      </c>
      <c r="P494" t="s">
        <v>69</v>
      </c>
      <c r="Q494">
        <v>60</v>
      </c>
      <c r="R494">
        <v>7</v>
      </c>
      <c r="S494" t="s">
        <v>163</v>
      </c>
      <c r="T494" t="s">
        <v>164</v>
      </c>
      <c r="U494">
        <v>7</v>
      </c>
      <c r="V494">
        <v>8</v>
      </c>
      <c r="W494">
        <v>8</v>
      </c>
      <c r="X494">
        <v>7</v>
      </c>
      <c r="Y494">
        <v>2</v>
      </c>
      <c r="Z494">
        <v>5</v>
      </c>
      <c r="AA494">
        <v>1.5</v>
      </c>
      <c r="AB494">
        <v>7.5</v>
      </c>
      <c r="AC494" t="s">
        <v>70</v>
      </c>
      <c r="AD494" t="s">
        <v>60</v>
      </c>
      <c r="AE494">
        <v>1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3</v>
      </c>
      <c r="AO494">
        <v>2</v>
      </c>
      <c r="AP494">
        <v>3</v>
      </c>
      <c r="AQ494">
        <v>40</v>
      </c>
      <c r="AR494" s="2">
        <v>45733.086608796293</v>
      </c>
      <c r="AS494" s="2">
        <v>46079.238506944443</v>
      </c>
      <c r="AT494" t="s">
        <v>1357</v>
      </c>
      <c r="AU494" t="s">
        <v>62</v>
      </c>
      <c r="AV494">
        <v>346</v>
      </c>
    </row>
    <row r="495" spans="1:48" x14ac:dyDescent="0.25">
      <c r="A495">
        <v>467</v>
      </c>
      <c r="B495" t="s">
        <v>969</v>
      </c>
      <c r="C495" t="s">
        <v>970</v>
      </c>
      <c r="D495" t="s">
        <v>562</v>
      </c>
      <c r="E495" t="s">
        <v>2074</v>
      </c>
      <c r="F495" t="s">
        <v>2075</v>
      </c>
      <c r="G495" t="s">
        <v>53</v>
      </c>
      <c r="H495" s="1">
        <v>35875</v>
      </c>
      <c r="I495">
        <v>28</v>
      </c>
      <c r="J495">
        <v>1998</v>
      </c>
      <c r="K495" s="1">
        <v>45346</v>
      </c>
      <c r="L495">
        <v>2024</v>
      </c>
      <c r="M495" t="s">
        <v>54</v>
      </c>
      <c r="N495">
        <v>9</v>
      </c>
      <c r="O495" t="s">
        <v>151</v>
      </c>
      <c r="P495" t="s">
        <v>69</v>
      </c>
      <c r="Q495">
        <v>60</v>
      </c>
      <c r="R495">
        <v>3</v>
      </c>
      <c r="S495" t="s">
        <v>126</v>
      </c>
      <c r="T495" t="s">
        <v>127</v>
      </c>
      <c r="U495">
        <v>8</v>
      </c>
      <c r="V495">
        <v>8</v>
      </c>
      <c r="W495">
        <v>8</v>
      </c>
      <c r="X495">
        <v>7</v>
      </c>
      <c r="Y495">
        <v>2</v>
      </c>
      <c r="Z495">
        <v>6</v>
      </c>
      <c r="AA495">
        <v>2.5833330000000001</v>
      </c>
      <c r="AB495">
        <v>15.5</v>
      </c>
      <c r="AC495" t="s">
        <v>70</v>
      </c>
      <c r="AD495" t="s">
        <v>60</v>
      </c>
      <c r="AE495">
        <v>2</v>
      </c>
      <c r="AF495">
        <v>0</v>
      </c>
      <c r="AG495">
        <v>1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1</v>
      </c>
      <c r="AO495">
        <v>5</v>
      </c>
      <c r="AP495">
        <v>1</v>
      </c>
      <c r="AQ495">
        <v>83.333333333333002</v>
      </c>
      <c r="AR495" s="2">
        <v>45749.903715277775</v>
      </c>
      <c r="AS495" s="2">
        <v>46046.458611111113</v>
      </c>
      <c r="AT495" t="s">
        <v>61</v>
      </c>
      <c r="AU495" t="s">
        <v>1357</v>
      </c>
      <c r="AV495">
        <v>297</v>
      </c>
    </row>
    <row r="496" spans="1:48" x14ac:dyDescent="0.25">
      <c r="A496">
        <v>795</v>
      </c>
      <c r="B496" t="s">
        <v>2076</v>
      </c>
      <c r="C496" t="s">
        <v>201</v>
      </c>
      <c r="D496" t="s">
        <v>734</v>
      </c>
      <c r="E496" t="s">
        <v>2077</v>
      </c>
      <c r="F496" t="s">
        <v>2078</v>
      </c>
      <c r="G496" t="s">
        <v>53</v>
      </c>
      <c r="H496" s="1">
        <v>35639</v>
      </c>
      <c r="I496">
        <v>29</v>
      </c>
      <c r="J496">
        <v>1997</v>
      </c>
      <c r="K496" s="1">
        <v>45211</v>
      </c>
      <c r="L496">
        <v>2023</v>
      </c>
      <c r="M496" t="s">
        <v>54</v>
      </c>
      <c r="N496">
        <v>19</v>
      </c>
      <c r="O496" t="s">
        <v>162</v>
      </c>
      <c r="P496" t="s">
        <v>119</v>
      </c>
      <c r="Q496">
        <v>120</v>
      </c>
      <c r="R496">
        <v>7</v>
      </c>
      <c r="S496" t="s">
        <v>163</v>
      </c>
      <c r="T496" t="s">
        <v>164</v>
      </c>
      <c r="U496">
        <v>8</v>
      </c>
      <c r="V496">
        <v>8</v>
      </c>
      <c r="W496">
        <v>8</v>
      </c>
      <c r="X496">
        <v>7</v>
      </c>
      <c r="Y496">
        <v>2</v>
      </c>
      <c r="Z496">
        <v>8</v>
      </c>
      <c r="AA496">
        <v>2.0625</v>
      </c>
      <c r="AB496">
        <v>16.5</v>
      </c>
      <c r="AC496" t="s">
        <v>59</v>
      </c>
      <c r="AD496" t="s">
        <v>112</v>
      </c>
      <c r="AE496">
        <v>0</v>
      </c>
      <c r="AF496">
        <v>0</v>
      </c>
      <c r="AG496">
        <v>2</v>
      </c>
      <c r="AH496">
        <v>1</v>
      </c>
      <c r="AI496">
        <v>0</v>
      </c>
      <c r="AJ496">
        <v>1</v>
      </c>
      <c r="AK496">
        <v>0</v>
      </c>
      <c r="AL496">
        <v>0</v>
      </c>
      <c r="AM496">
        <v>4</v>
      </c>
      <c r="AN496">
        <v>0</v>
      </c>
      <c r="AO496">
        <v>8</v>
      </c>
      <c r="AP496">
        <v>0</v>
      </c>
      <c r="AQ496">
        <v>100</v>
      </c>
      <c r="AR496" s="2">
        <v>45777.19734953704</v>
      </c>
      <c r="AS496" s="2">
        <v>46028.425162037034</v>
      </c>
      <c r="AT496" t="s">
        <v>61</v>
      </c>
      <c r="AU496" t="s">
        <v>62</v>
      </c>
      <c r="AV496">
        <v>251</v>
      </c>
    </row>
    <row r="497" spans="1:48" x14ac:dyDescent="0.25">
      <c r="A497">
        <v>784</v>
      </c>
      <c r="B497" t="s">
        <v>2079</v>
      </c>
      <c r="C497" t="s">
        <v>72</v>
      </c>
      <c r="D497" t="s">
        <v>1517</v>
      </c>
      <c r="E497" t="s">
        <v>2080</v>
      </c>
      <c r="F497" t="s">
        <v>2081</v>
      </c>
      <c r="G497" t="s">
        <v>53</v>
      </c>
      <c r="H497" s="1">
        <v>38280</v>
      </c>
      <c r="I497">
        <v>22</v>
      </c>
      <c r="J497">
        <v>2004</v>
      </c>
      <c r="K497" s="1">
        <v>45725</v>
      </c>
      <c r="L497">
        <v>2025</v>
      </c>
      <c r="M497" t="s">
        <v>54</v>
      </c>
      <c r="N497">
        <v>5</v>
      </c>
      <c r="O497" t="s">
        <v>84</v>
      </c>
      <c r="P497" t="s">
        <v>56</v>
      </c>
      <c r="Q497">
        <v>36</v>
      </c>
      <c r="R497">
        <v>2</v>
      </c>
      <c r="S497" t="s">
        <v>85</v>
      </c>
      <c r="T497" t="s">
        <v>86</v>
      </c>
      <c r="U497">
        <v>8</v>
      </c>
      <c r="V497">
        <v>8</v>
      </c>
      <c r="W497">
        <v>8</v>
      </c>
      <c r="X497">
        <v>8</v>
      </c>
      <c r="Y497">
        <v>2</v>
      </c>
      <c r="Z497">
        <v>8</v>
      </c>
      <c r="AA497">
        <v>2</v>
      </c>
      <c r="AB497">
        <v>16</v>
      </c>
      <c r="AC497" t="s">
        <v>70</v>
      </c>
      <c r="AD497" t="s">
        <v>112</v>
      </c>
      <c r="AE497">
        <v>0</v>
      </c>
      <c r="AF497">
        <v>0</v>
      </c>
      <c r="AG497">
        <v>1</v>
      </c>
      <c r="AH497">
        <v>1</v>
      </c>
      <c r="AI497">
        <v>0</v>
      </c>
      <c r="AJ497">
        <v>1</v>
      </c>
      <c r="AK497">
        <v>3</v>
      </c>
      <c r="AL497">
        <v>0</v>
      </c>
      <c r="AM497">
        <v>1</v>
      </c>
      <c r="AN497">
        <v>1</v>
      </c>
      <c r="AO497">
        <v>7</v>
      </c>
      <c r="AP497">
        <v>1</v>
      </c>
      <c r="AQ497">
        <v>87.5</v>
      </c>
      <c r="AR497" s="2">
        <v>45822.825497685182</v>
      </c>
      <c r="AS497" s="2">
        <v>46059.868449074071</v>
      </c>
      <c r="AT497" t="s">
        <v>61</v>
      </c>
      <c r="AU497" t="s">
        <v>62</v>
      </c>
      <c r="AV497">
        <v>237</v>
      </c>
    </row>
    <row r="498" spans="1:48" x14ac:dyDescent="0.25">
      <c r="A498">
        <v>24</v>
      </c>
      <c r="B498" t="s">
        <v>2082</v>
      </c>
      <c r="C498" t="s">
        <v>2083</v>
      </c>
      <c r="D498" t="s">
        <v>153</v>
      </c>
      <c r="E498" t="s">
        <v>2084</v>
      </c>
      <c r="F498" t="s">
        <v>2085</v>
      </c>
      <c r="G498" t="s">
        <v>53</v>
      </c>
      <c r="H498" s="1">
        <v>37293</v>
      </c>
      <c r="I498">
        <v>24</v>
      </c>
      <c r="J498">
        <v>2002</v>
      </c>
      <c r="K498" s="1">
        <v>45591</v>
      </c>
      <c r="L498">
        <v>2024</v>
      </c>
      <c r="M498" t="s">
        <v>111</v>
      </c>
      <c r="N498">
        <v>4</v>
      </c>
      <c r="O498" t="s">
        <v>215</v>
      </c>
      <c r="P498" t="s">
        <v>119</v>
      </c>
      <c r="Q498">
        <v>120</v>
      </c>
      <c r="R498">
        <v>2</v>
      </c>
      <c r="S498" t="s">
        <v>85</v>
      </c>
      <c r="T498" t="s">
        <v>86</v>
      </c>
      <c r="U498">
        <v>8</v>
      </c>
      <c r="V498">
        <v>8</v>
      </c>
      <c r="W498">
        <v>8</v>
      </c>
      <c r="X498">
        <v>8</v>
      </c>
      <c r="Y498">
        <v>2</v>
      </c>
      <c r="Z498">
        <v>6</v>
      </c>
      <c r="AA498">
        <v>2.25</v>
      </c>
      <c r="AB498">
        <v>13.5</v>
      </c>
      <c r="AC498" t="s">
        <v>70</v>
      </c>
      <c r="AD498" t="s">
        <v>60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3</v>
      </c>
      <c r="AK498">
        <v>1</v>
      </c>
      <c r="AL498">
        <v>0</v>
      </c>
      <c r="AM498">
        <v>0</v>
      </c>
      <c r="AN498">
        <v>1</v>
      </c>
      <c r="AO498">
        <v>5</v>
      </c>
      <c r="AP498">
        <v>1</v>
      </c>
      <c r="AQ498">
        <v>83.333333333333002</v>
      </c>
      <c r="AR498" s="2">
        <v>45782.578541666669</v>
      </c>
      <c r="AS498" s="2">
        <v>45991.93849537037</v>
      </c>
      <c r="AT498" t="s">
        <v>61</v>
      </c>
      <c r="AU498" t="s">
        <v>1357</v>
      </c>
      <c r="AV498">
        <v>209</v>
      </c>
    </row>
    <row r="499" spans="1:48" x14ac:dyDescent="0.25">
      <c r="A499">
        <v>982</v>
      </c>
      <c r="B499" t="s">
        <v>2086</v>
      </c>
      <c r="C499" t="s">
        <v>527</v>
      </c>
      <c r="D499" t="s">
        <v>2087</v>
      </c>
      <c r="E499" t="s">
        <v>2088</v>
      </c>
      <c r="F499">
        <v>5727348389</v>
      </c>
      <c r="G499" t="s">
        <v>53</v>
      </c>
      <c r="H499" s="1">
        <v>37945</v>
      </c>
      <c r="I499">
        <v>23</v>
      </c>
      <c r="J499">
        <v>2003</v>
      </c>
      <c r="K499" s="1">
        <v>45505</v>
      </c>
      <c r="L499">
        <v>2024</v>
      </c>
      <c r="M499" t="s">
        <v>54</v>
      </c>
      <c r="N499">
        <v>2</v>
      </c>
      <c r="O499" t="s">
        <v>55</v>
      </c>
      <c r="P499" t="s">
        <v>56</v>
      </c>
      <c r="Q499">
        <v>36</v>
      </c>
      <c r="R499">
        <v>1</v>
      </c>
      <c r="S499" t="s">
        <v>57</v>
      </c>
      <c r="T499" t="s">
        <v>58</v>
      </c>
      <c r="U499">
        <v>8</v>
      </c>
      <c r="V499">
        <v>8</v>
      </c>
      <c r="W499">
        <v>8</v>
      </c>
      <c r="X499">
        <v>7</v>
      </c>
      <c r="Y499">
        <v>2</v>
      </c>
      <c r="Z499">
        <v>6</v>
      </c>
      <c r="AA499">
        <v>2.0833330000000001</v>
      </c>
      <c r="AB499">
        <v>12.5</v>
      </c>
      <c r="AC499" t="s">
        <v>70</v>
      </c>
      <c r="AD499" t="s">
        <v>60</v>
      </c>
      <c r="AE499">
        <v>1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2</v>
      </c>
      <c r="AL499">
        <v>0</v>
      </c>
      <c r="AM499">
        <v>1</v>
      </c>
      <c r="AN499">
        <v>1</v>
      </c>
      <c r="AO499">
        <v>5</v>
      </c>
      <c r="AP499">
        <v>1</v>
      </c>
      <c r="AQ499">
        <v>83.333333333333002</v>
      </c>
      <c r="AR499" s="2">
        <v>45741.858101851853</v>
      </c>
      <c r="AS499" s="2">
        <v>45988.408356481479</v>
      </c>
      <c r="AT499" t="s">
        <v>1357</v>
      </c>
      <c r="AU499" t="s">
        <v>62</v>
      </c>
      <c r="AV499">
        <v>247</v>
      </c>
    </row>
    <row r="500" spans="1:48" x14ac:dyDescent="0.25">
      <c r="A500">
        <v>270</v>
      </c>
      <c r="B500" t="s">
        <v>2089</v>
      </c>
      <c r="C500" t="s">
        <v>211</v>
      </c>
      <c r="D500" t="s">
        <v>2090</v>
      </c>
      <c r="E500" t="s">
        <v>2091</v>
      </c>
      <c r="F500" t="s">
        <v>2092</v>
      </c>
      <c r="G500" t="s">
        <v>53</v>
      </c>
      <c r="H500" s="1">
        <v>35356</v>
      </c>
      <c r="I500">
        <v>30</v>
      </c>
      <c r="J500">
        <v>1996</v>
      </c>
      <c r="K500" s="1">
        <v>44967</v>
      </c>
      <c r="L500">
        <v>2023</v>
      </c>
      <c r="M500" t="s">
        <v>111</v>
      </c>
      <c r="N500">
        <v>4</v>
      </c>
      <c r="O500" t="s">
        <v>215</v>
      </c>
      <c r="P500" t="s">
        <v>119</v>
      </c>
      <c r="Q500">
        <v>120</v>
      </c>
      <c r="R500">
        <v>2</v>
      </c>
      <c r="S500" t="s">
        <v>85</v>
      </c>
      <c r="T500" t="s">
        <v>86</v>
      </c>
      <c r="U500">
        <v>8</v>
      </c>
      <c r="V500">
        <v>8</v>
      </c>
      <c r="W500">
        <v>8</v>
      </c>
      <c r="X500">
        <v>8</v>
      </c>
      <c r="Y500">
        <v>2</v>
      </c>
      <c r="Z500">
        <v>5</v>
      </c>
      <c r="AA500">
        <v>2.7</v>
      </c>
      <c r="AB500">
        <v>13.5</v>
      </c>
      <c r="AC500" t="s">
        <v>70</v>
      </c>
      <c r="AD500" t="s">
        <v>60</v>
      </c>
      <c r="AE500">
        <v>1</v>
      </c>
      <c r="AF500">
        <v>0</v>
      </c>
      <c r="AG500">
        <v>1</v>
      </c>
      <c r="AH500">
        <v>2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4</v>
      </c>
      <c r="AP500">
        <v>1</v>
      </c>
      <c r="AQ500">
        <v>80</v>
      </c>
      <c r="AR500" s="2">
        <v>45790.142812500002</v>
      </c>
      <c r="AS500" s="2">
        <v>45932.222800925927</v>
      </c>
      <c r="AT500" t="s">
        <v>1357</v>
      </c>
      <c r="AU500" t="s">
        <v>62</v>
      </c>
      <c r="AV500">
        <v>142</v>
      </c>
    </row>
    <row r="501" spans="1:48" x14ac:dyDescent="0.25">
      <c r="A501">
        <v>527</v>
      </c>
      <c r="B501" t="s">
        <v>2093</v>
      </c>
      <c r="C501" t="s">
        <v>238</v>
      </c>
      <c r="D501" t="s">
        <v>2094</v>
      </c>
      <c r="E501" t="s">
        <v>2095</v>
      </c>
      <c r="F501" t="s">
        <v>2096</v>
      </c>
      <c r="G501" t="s">
        <v>104</v>
      </c>
      <c r="H501" s="1">
        <v>37365</v>
      </c>
      <c r="I501">
        <v>24</v>
      </c>
      <c r="J501">
        <v>2002</v>
      </c>
      <c r="K501" s="1">
        <v>45117</v>
      </c>
      <c r="L501">
        <v>2023</v>
      </c>
      <c r="M501" t="s">
        <v>54</v>
      </c>
      <c r="N501">
        <v>18</v>
      </c>
      <c r="O501" t="s">
        <v>139</v>
      </c>
      <c r="P501" t="s">
        <v>69</v>
      </c>
      <c r="Q501">
        <v>60</v>
      </c>
      <c r="R501">
        <v>6</v>
      </c>
      <c r="S501" t="s">
        <v>140</v>
      </c>
      <c r="T501" t="s">
        <v>141</v>
      </c>
      <c r="U501">
        <v>8</v>
      </c>
      <c r="V501">
        <v>8</v>
      </c>
      <c r="W501">
        <v>8</v>
      </c>
      <c r="X501">
        <v>7</v>
      </c>
      <c r="Y501">
        <v>2</v>
      </c>
      <c r="Z501">
        <v>8</v>
      </c>
      <c r="AA501">
        <v>2.9375</v>
      </c>
      <c r="AB501">
        <v>23.5</v>
      </c>
      <c r="AC501" t="s">
        <v>59</v>
      </c>
      <c r="AD501" t="s">
        <v>60</v>
      </c>
      <c r="AE501">
        <v>1</v>
      </c>
      <c r="AF501">
        <v>0</v>
      </c>
      <c r="AG501">
        <v>3</v>
      </c>
      <c r="AH501">
        <v>2</v>
      </c>
      <c r="AI501">
        <v>0</v>
      </c>
      <c r="AJ501">
        <v>0</v>
      </c>
      <c r="AK501">
        <v>1</v>
      </c>
      <c r="AL501">
        <v>0</v>
      </c>
      <c r="AM501">
        <v>1</v>
      </c>
      <c r="AN501">
        <v>0</v>
      </c>
      <c r="AO501">
        <v>8</v>
      </c>
      <c r="AP501">
        <v>0</v>
      </c>
      <c r="AQ501">
        <v>100</v>
      </c>
      <c r="AR501" s="2">
        <v>45728.047002314815</v>
      </c>
      <c r="AS501" s="2">
        <v>46084.037939814814</v>
      </c>
      <c r="AT501" t="s">
        <v>61</v>
      </c>
      <c r="AU501" t="s">
        <v>62</v>
      </c>
      <c r="AV501">
        <v>356</v>
      </c>
    </row>
    <row r="502" spans="1:48" x14ac:dyDescent="0.25">
      <c r="A502">
        <v>67</v>
      </c>
      <c r="B502" t="s">
        <v>2097</v>
      </c>
      <c r="C502" t="s">
        <v>877</v>
      </c>
      <c r="D502" t="s">
        <v>2098</v>
      </c>
      <c r="E502" t="s">
        <v>2099</v>
      </c>
      <c r="F502" t="s">
        <v>2100</v>
      </c>
      <c r="G502" t="s">
        <v>104</v>
      </c>
      <c r="H502" s="1">
        <v>37251</v>
      </c>
      <c r="I502">
        <v>25</v>
      </c>
      <c r="J502">
        <v>2001</v>
      </c>
      <c r="K502" s="1">
        <v>45203</v>
      </c>
      <c r="L502">
        <v>2023</v>
      </c>
      <c r="M502" t="s">
        <v>54</v>
      </c>
      <c r="N502">
        <v>3</v>
      </c>
      <c r="O502" t="s">
        <v>68</v>
      </c>
      <c r="P502" t="s">
        <v>69</v>
      </c>
      <c r="Q502">
        <v>60</v>
      </c>
      <c r="R502">
        <v>1</v>
      </c>
      <c r="S502" t="s">
        <v>57</v>
      </c>
      <c r="T502" t="s">
        <v>58</v>
      </c>
      <c r="U502">
        <v>8</v>
      </c>
      <c r="V502">
        <v>8</v>
      </c>
      <c r="W502">
        <v>8</v>
      </c>
      <c r="X502">
        <v>7</v>
      </c>
      <c r="Y502">
        <v>2</v>
      </c>
      <c r="Z502">
        <v>4</v>
      </c>
      <c r="AA502">
        <v>1.5</v>
      </c>
      <c r="AB502">
        <v>6</v>
      </c>
      <c r="AC502" t="s">
        <v>70</v>
      </c>
      <c r="AD502" t="s">
        <v>112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1</v>
      </c>
      <c r="AL502">
        <v>0</v>
      </c>
      <c r="AM502">
        <v>1</v>
      </c>
      <c r="AN502">
        <v>1</v>
      </c>
      <c r="AO502">
        <v>3</v>
      </c>
      <c r="AP502">
        <v>1</v>
      </c>
      <c r="AQ502">
        <v>75</v>
      </c>
      <c r="AR502" s="2">
        <v>45855.983101851853</v>
      </c>
      <c r="AS502" s="2">
        <v>46055.272824074076</v>
      </c>
      <c r="AT502" t="s">
        <v>61</v>
      </c>
      <c r="AU502" t="s">
        <v>1357</v>
      </c>
      <c r="AV502">
        <v>200</v>
      </c>
    </row>
    <row r="503" spans="1:48" x14ac:dyDescent="0.25">
      <c r="A503">
        <v>464</v>
      </c>
      <c r="B503" t="s">
        <v>2101</v>
      </c>
      <c r="C503" t="s">
        <v>248</v>
      </c>
      <c r="D503" t="s">
        <v>2102</v>
      </c>
      <c r="E503" t="s">
        <v>2103</v>
      </c>
      <c r="F503" t="s">
        <v>2104</v>
      </c>
      <c r="G503" t="s">
        <v>104</v>
      </c>
      <c r="H503" s="1">
        <v>37662</v>
      </c>
      <c r="I503">
        <v>23</v>
      </c>
      <c r="J503">
        <v>2003</v>
      </c>
      <c r="K503" s="1">
        <v>46023</v>
      </c>
      <c r="L503">
        <v>2026</v>
      </c>
      <c r="M503" t="s">
        <v>54</v>
      </c>
      <c r="N503">
        <v>11</v>
      </c>
      <c r="O503" t="s">
        <v>378</v>
      </c>
      <c r="P503" t="s">
        <v>56</v>
      </c>
      <c r="Q503">
        <v>36</v>
      </c>
      <c r="R503">
        <v>4</v>
      </c>
      <c r="S503" t="s">
        <v>77</v>
      </c>
      <c r="T503" t="s">
        <v>78</v>
      </c>
      <c r="U503">
        <v>8</v>
      </c>
      <c r="V503">
        <v>8</v>
      </c>
      <c r="W503">
        <v>8</v>
      </c>
      <c r="X503">
        <v>7</v>
      </c>
      <c r="Y503">
        <v>2</v>
      </c>
      <c r="Z503">
        <v>7</v>
      </c>
      <c r="AA503">
        <v>2.5</v>
      </c>
      <c r="AB503">
        <v>17.5</v>
      </c>
      <c r="AC503" t="s">
        <v>1061</v>
      </c>
      <c r="AD503" t="s">
        <v>112</v>
      </c>
      <c r="AE503">
        <v>0</v>
      </c>
      <c r="AF503">
        <v>0</v>
      </c>
      <c r="AG503">
        <v>1</v>
      </c>
      <c r="AH503">
        <v>2</v>
      </c>
      <c r="AI503">
        <v>0</v>
      </c>
      <c r="AJ503">
        <v>0</v>
      </c>
      <c r="AK503">
        <v>4</v>
      </c>
      <c r="AL503">
        <v>0</v>
      </c>
      <c r="AM503">
        <v>0</v>
      </c>
      <c r="AN503">
        <v>0</v>
      </c>
      <c r="AO503">
        <v>7</v>
      </c>
      <c r="AP503">
        <v>0</v>
      </c>
      <c r="AQ503">
        <v>100</v>
      </c>
      <c r="AR503" s="2">
        <v>45743.098796296297</v>
      </c>
      <c r="AS503" s="2">
        <v>45995.536469907405</v>
      </c>
      <c r="AT503" t="s">
        <v>61</v>
      </c>
      <c r="AU503" t="s">
        <v>1357</v>
      </c>
      <c r="AV503">
        <v>252</v>
      </c>
    </row>
    <row r="504" spans="1:48" x14ac:dyDescent="0.25">
      <c r="A504">
        <v>243</v>
      </c>
      <c r="B504" t="s">
        <v>2105</v>
      </c>
      <c r="C504" t="s">
        <v>1276</v>
      </c>
      <c r="D504" t="s">
        <v>1597</v>
      </c>
      <c r="E504" t="s">
        <v>2106</v>
      </c>
      <c r="F504" t="s">
        <v>2107</v>
      </c>
      <c r="G504" t="s">
        <v>104</v>
      </c>
      <c r="H504" s="1">
        <v>34954</v>
      </c>
      <c r="I504">
        <v>31</v>
      </c>
      <c r="J504">
        <v>1995</v>
      </c>
      <c r="K504" s="1">
        <v>45737</v>
      </c>
      <c r="L504">
        <v>2025</v>
      </c>
      <c r="M504" t="s">
        <v>54</v>
      </c>
      <c r="N504">
        <v>7</v>
      </c>
      <c r="O504" t="s">
        <v>231</v>
      </c>
      <c r="P504" t="s">
        <v>119</v>
      </c>
      <c r="Q504">
        <v>120</v>
      </c>
      <c r="R504">
        <v>3</v>
      </c>
      <c r="S504" t="s">
        <v>126</v>
      </c>
      <c r="T504" t="s">
        <v>127</v>
      </c>
      <c r="U504">
        <v>7</v>
      </c>
      <c r="V504">
        <v>8</v>
      </c>
      <c r="W504">
        <v>8</v>
      </c>
      <c r="X504">
        <v>7</v>
      </c>
      <c r="Y504">
        <v>2</v>
      </c>
      <c r="Z504">
        <v>8</v>
      </c>
      <c r="AA504">
        <v>2.1875</v>
      </c>
      <c r="AB504">
        <v>17.5</v>
      </c>
      <c r="AC504" t="s">
        <v>59</v>
      </c>
      <c r="AD504" t="s">
        <v>60</v>
      </c>
      <c r="AE504">
        <v>1</v>
      </c>
      <c r="AF504">
        <v>0</v>
      </c>
      <c r="AG504">
        <v>0</v>
      </c>
      <c r="AH504">
        <v>1</v>
      </c>
      <c r="AI504">
        <v>0</v>
      </c>
      <c r="AJ504">
        <v>1</v>
      </c>
      <c r="AK504">
        <v>3</v>
      </c>
      <c r="AL504">
        <v>0</v>
      </c>
      <c r="AM504">
        <v>2</v>
      </c>
      <c r="AN504">
        <v>0</v>
      </c>
      <c r="AO504">
        <v>8</v>
      </c>
      <c r="AP504">
        <v>0</v>
      </c>
      <c r="AQ504">
        <v>100</v>
      </c>
      <c r="AR504" s="2">
        <v>45745.795578703706</v>
      </c>
      <c r="AS504" s="2">
        <v>46014.09269675926</v>
      </c>
      <c r="AT504" t="s">
        <v>61</v>
      </c>
      <c r="AU504" t="s">
        <v>62</v>
      </c>
      <c r="AV504">
        <v>269</v>
      </c>
    </row>
    <row r="505" spans="1:48" x14ac:dyDescent="0.25">
      <c r="A505">
        <v>806</v>
      </c>
      <c r="B505" t="s">
        <v>2108</v>
      </c>
      <c r="C505" t="s">
        <v>877</v>
      </c>
      <c r="D505" t="s">
        <v>2109</v>
      </c>
      <c r="E505" t="s">
        <v>2110</v>
      </c>
      <c r="F505" t="s">
        <v>2111</v>
      </c>
      <c r="G505" t="s">
        <v>104</v>
      </c>
      <c r="H505" s="1">
        <v>34961</v>
      </c>
      <c r="I505">
        <v>31</v>
      </c>
      <c r="J505">
        <v>1995</v>
      </c>
      <c r="K505" s="1">
        <v>45745</v>
      </c>
      <c r="L505">
        <v>2025</v>
      </c>
      <c r="M505" t="s">
        <v>54</v>
      </c>
      <c r="N505">
        <v>5</v>
      </c>
      <c r="O505" t="s">
        <v>84</v>
      </c>
      <c r="P505" t="s">
        <v>56</v>
      </c>
      <c r="Q505">
        <v>36</v>
      </c>
      <c r="R505">
        <v>2</v>
      </c>
      <c r="S505" t="s">
        <v>85</v>
      </c>
      <c r="T505" t="s">
        <v>86</v>
      </c>
      <c r="U505">
        <v>8</v>
      </c>
      <c r="V505">
        <v>8</v>
      </c>
      <c r="W505">
        <v>8</v>
      </c>
      <c r="X505">
        <v>8</v>
      </c>
      <c r="Y505">
        <v>2</v>
      </c>
      <c r="Z505">
        <v>5</v>
      </c>
      <c r="AA505">
        <v>0.8</v>
      </c>
      <c r="AB505">
        <v>4</v>
      </c>
      <c r="AC505" t="s">
        <v>70</v>
      </c>
      <c r="AD505" t="s">
        <v>1061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0</v>
      </c>
      <c r="AM505">
        <v>2</v>
      </c>
      <c r="AN505">
        <v>2</v>
      </c>
      <c r="AO505">
        <v>3</v>
      </c>
      <c r="AP505">
        <v>2</v>
      </c>
      <c r="AQ505">
        <v>60</v>
      </c>
      <c r="AR505" s="2">
        <v>45779.504548611112</v>
      </c>
      <c r="AS505" s="2">
        <v>46076.04310185185</v>
      </c>
      <c r="AT505" t="s">
        <v>1357</v>
      </c>
      <c r="AU505" t="s">
        <v>62</v>
      </c>
      <c r="AV505">
        <v>297</v>
      </c>
    </row>
    <row r="506" spans="1:48" x14ac:dyDescent="0.25">
      <c r="A506">
        <v>624</v>
      </c>
      <c r="B506" t="s">
        <v>2112</v>
      </c>
      <c r="C506" t="s">
        <v>266</v>
      </c>
      <c r="D506" t="s">
        <v>562</v>
      </c>
      <c r="E506" t="s">
        <v>2113</v>
      </c>
      <c r="F506" t="s">
        <v>2114</v>
      </c>
      <c r="G506" t="s">
        <v>53</v>
      </c>
      <c r="H506" s="1">
        <v>35967</v>
      </c>
      <c r="I506">
        <v>28</v>
      </c>
      <c r="J506">
        <v>1998</v>
      </c>
      <c r="K506" s="1">
        <v>45295</v>
      </c>
      <c r="L506">
        <v>2024</v>
      </c>
      <c r="M506" t="s">
        <v>54</v>
      </c>
      <c r="N506">
        <v>9</v>
      </c>
      <c r="O506" t="s">
        <v>151</v>
      </c>
      <c r="P506" t="s">
        <v>69</v>
      </c>
      <c r="Q506">
        <v>60</v>
      </c>
      <c r="R506">
        <v>3</v>
      </c>
      <c r="S506" t="s">
        <v>126</v>
      </c>
      <c r="T506" t="s">
        <v>127</v>
      </c>
      <c r="U506">
        <v>8</v>
      </c>
      <c r="V506">
        <v>8</v>
      </c>
      <c r="W506">
        <v>8</v>
      </c>
      <c r="X506">
        <v>7</v>
      </c>
      <c r="Y506">
        <v>2</v>
      </c>
      <c r="Z506">
        <v>5</v>
      </c>
      <c r="AA506">
        <v>2.4</v>
      </c>
      <c r="AB506">
        <v>12</v>
      </c>
      <c r="AC506" t="s">
        <v>70</v>
      </c>
      <c r="AD506" t="s">
        <v>60</v>
      </c>
      <c r="AE506">
        <v>1</v>
      </c>
      <c r="AF506">
        <v>0</v>
      </c>
      <c r="AG506">
        <v>1</v>
      </c>
      <c r="AH506">
        <v>0</v>
      </c>
      <c r="AI506">
        <v>0</v>
      </c>
      <c r="AJ506">
        <v>1</v>
      </c>
      <c r="AK506">
        <v>1</v>
      </c>
      <c r="AL506">
        <v>0</v>
      </c>
      <c r="AM506">
        <v>0</v>
      </c>
      <c r="AN506">
        <v>1</v>
      </c>
      <c r="AO506">
        <v>4</v>
      </c>
      <c r="AP506">
        <v>1</v>
      </c>
      <c r="AQ506">
        <v>80</v>
      </c>
      <c r="AR506" s="2">
        <v>45754.287731481483</v>
      </c>
      <c r="AS506" s="2">
        <v>46038.157719907409</v>
      </c>
      <c r="AT506" t="s">
        <v>1357</v>
      </c>
      <c r="AU506" t="s">
        <v>62</v>
      </c>
      <c r="AV506">
        <v>284</v>
      </c>
    </row>
    <row r="507" spans="1:48" x14ac:dyDescent="0.25">
      <c r="A507">
        <v>694</v>
      </c>
      <c r="B507" t="s">
        <v>2115</v>
      </c>
      <c r="C507" t="s">
        <v>1414</v>
      </c>
      <c r="D507" t="s">
        <v>1255</v>
      </c>
      <c r="E507" t="s">
        <v>2116</v>
      </c>
      <c r="F507" t="s">
        <v>2117</v>
      </c>
      <c r="G507" t="s">
        <v>53</v>
      </c>
      <c r="H507" s="1">
        <v>37684</v>
      </c>
      <c r="I507">
        <v>23</v>
      </c>
      <c r="J507">
        <v>2003</v>
      </c>
      <c r="K507" s="1">
        <v>45167</v>
      </c>
      <c r="L507">
        <v>2023</v>
      </c>
      <c r="M507" t="s">
        <v>54</v>
      </c>
      <c r="N507">
        <v>16</v>
      </c>
      <c r="O507" t="s">
        <v>280</v>
      </c>
      <c r="P507" t="s">
        <v>119</v>
      </c>
      <c r="Q507">
        <v>120</v>
      </c>
      <c r="R507">
        <v>6</v>
      </c>
      <c r="S507" t="s">
        <v>140</v>
      </c>
      <c r="T507" t="s">
        <v>141</v>
      </c>
      <c r="U507">
        <v>8</v>
      </c>
      <c r="V507">
        <v>8</v>
      </c>
      <c r="W507">
        <v>8</v>
      </c>
      <c r="X507">
        <v>8</v>
      </c>
      <c r="Y507">
        <v>2</v>
      </c>
      <c r="Z507">
        <v>8</v>
      </c>
      <c r="AA507">
        <v>1.75</v>
      </c>
      <c r="AB507">
        <v>14</v>
      </c>
      <c r="AC507" t="s">
        <v>70</v>
      </c>
      <c r="AD507" t="s">
        <v>112</v>
      </c>
      <c r="AE507">
        <v>0</v>
      </c>
      <c r="AF507">
        <v>0</v>
      </c>
      <c r="AG507">
        <v>1</v>
      </c>
      <c r="AH507">
        <v>2</v>
      </c>
      <c r="AI507">
        <v>0</v>
      </c>
      <c r="AJ507">
        <v>1</v>
      </c>
      <c r="AK507">
        <v>1</v>
      </c>
      <c r="AL507">
        <v>0</v>
      </c>
      <c r="AM507">
        <v>0</v>
      </c>
      <c r="AN507">
        <v>3</v>
      </c>
      <c r="AO507">
        <v>5</v>
      </c>
      <c r="AP507">
        <v>3</v>
      </c>
      <c r="AQ507">
        <v>62.5</v>
      </c>
      <c r="AR507" s="2">
        <v>45764.542592592596</v>
      </c>
      <c r="AS507" s="2">
        <v>46039.388043981482</v>
      </c>
      <c r="AT507" t="s">
        <v>61</v>
      </c>
      <c r="AU507" t="s">
        <v>62</v>
      </c>
      <c r="AV507">
        <v>275</v>
      </c>
    </row>
    <row r="508" spans="1:48" x14ac:dyDescent="0.25">
      <c r="A508">
        <v>778</v>
      </c>
      <c r="B508" t="s">
        <v>2118</v>
      </c>
      <c r="C508" t="s">
        <v>1116</v>
      </c>
      <c r="D508" t="s">
        <v>562</v>
      </c>
      <c r="E508" t="s">
        <v>2119</v>
      </c>
      <c r="F508" t="s">
        <v>2120</v>
      </c>
      <c r="G508" t="s">
        <v>104</v>
      </c>
      <c r="H508" s="1">
        <v>37333</v>
      </c>
      <c r="I508">
        <v>24</v>
      </c>
      <c r="J508">
        <v>2002</v>
      </c>
      <c r="K508" s="1">
        <v>45516</v>
      </c>
      <c r="L508">
        <v>2024</v>
      </c>
      <c r="M508" t="s">
        <v>225</v>
      </c>
      <c r="N508">
        <v>21</v>
      </c>
      <c r="O508" t="s">
        <v>339</v>
      </c>
      <c r="P508" t="s">
        <v>69</v>
      </c>
      <c r="Q508">
        <v>60</v>
      </c>
      <c r="R508">
        <v>7</v>
      </c>
      <c r="S508" t="s">
        <v>163</v>
      </c>
      <c r="T508" t="s">
        <v>164</v>
      </c>
      <c r="U508">
        <v>8</v>
      </c>
      <c r="V508">
        <v>8</v>
      </c>
      <c r="W508">
        <v>8</v>
      </c>
      <c r="X508">
        <v>8</v>
      </c>
      <c r="Y508">
        <v>2</v>
      </c>
      <c r="Z508">
        <v>8</v>
      </c>
      <c r="AA508">
        <v>1.875</v>
      </c>
      <c r="AB508">
        <v>15</v>
      </c>
      <c r="AC508" t="s">
        <v>70</v>
      </c>
      <c r="AD508" t="s">
        <v>60</v>
      </c>
      <c r="AE508">
        <v>1</v>
      </c>
      <c r="AF508">
        <v>0</v>
      </c>
      <c r="AG508">
        <v>2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3</v>
      </c>
      <c r="AO508">
        <v>5</v>
      </c>
      <c r="AP508">
        <v>3</v>
      </c>
      <c r="AQ508">
        <v>62.5</v>
      </c>
      <c r="AR508" s="2">
        <v>45780.396435185183</v>
      </c>
      <c r="AS508" s="2">
        <v>46060.72855324074</v>
      </c>
      <c r="AT508" t="s">
        <v>61</v>
      </c>
      <c r="AU508" t="s">
        <v>62</v>
      </c>
      <c r="AV508">
        <v>280</v>
      </c>
    </row>
    <row r="509" spans="1:48" x14ac:dyDescent="0.25">
      <c r="A509">
        <v>33</v>
      </c>
      <c r="B509" t="s">
        <v>2121</v>
      </c>
      <c r="C509" t="s">
        <v>496</v>
      </c>
      <c r="D509" t="s">
        <v>2122</v>
      </c>
      <c r="E509" t="s">
        <v>2123</v>
      </c>
      <c r="F509" t="s">
        <v>2124</v>
      </c>
      <c r="G509" t="s">
        <v>53</v>
      </c>
      <c r="H509" s="1">
        <v>38101</v>
      </c>
      <c r="I509">
        <v>22</v>
      </c>
      <c r="J509">
        <v>2004</v>
      </c>
      <c r="K509" s="1">
        <v>45288</v>
      </c>
      <c r="L509">
        <v>2023</v>
      </c>
      <c r="M509" t="s">
        <v>54</v>
      </c>
      <c r="N509">
        <v>19</v>
      </c>
      <c r="O509" t="s">
        <v>162</v>
      </c>
      <c r="P509" t="s">
        <v>119</v>
      </c>
      <c r="Q509">
        <v>120</v>
      </c>
      <c r="R509">
        <v>7</v>
      </c>
      <c r="S509" t="s">
        <v>163</v>
      </c>
      <c r="T509" t="s">
        <v>164</v>
      </c>
      <c r="U509">
        <v>8</v>
      </c>
      <c r="V509">
        <v>8</v>
      </c>
      <c r="W509">
        <v>8</v>
      </c>
      <c r="X509">
        <v>8</v>
      </c>
      <c r="Y509">
        <v>2</v>
      </c>
      <c r="Z509">
        <v>7</v>
      </c>
      <c r="AA509">
        <v>3.1428569999999998</v>
      </c>
      <c r="AB509">
        <v>22</v>
      </c>
      <c r="AC509" t="s">
        <v>1061</v>
      </c>
      <c r="AD509" t="s">
        <v>60</v>
      </c>
      <c r="AE509">
        <v>1</v>
      </c>
      <c r="AF509">
        <v>0</v>
      </c>
      <c r="AG509">
        <v>2</v>
      </c>
      <c r="AH509">
        <v>3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0</v>
      </c>
      <c r="AO509">
        <v>7</v>
      </c>
      <c r="AP509">
        <v>0</v>
      </c>
      <c r="AQ509">
        <v>100</v>
      </c>
      <c r="AR509" s="2">
        <v>45730.216099537036</v>
      </c>
      <c r="AS509" s="2">
        <v>46008.783761574072</v>
      </c>
      <c r="AT509" t="s">
        <v>61</v>
      </c>
      <c r="AU509" t="s">
        <v>1357</v>
      </c>
      <c r="AV509">
        <v>278</v>
      </c>
    </row>
    <row r="510" spans="1:48" x14ac:dyDescent="0.25">
      <c r="A510">
        <v>521</v>
      </c>
      <c r="B510" t="s">
        <v>2125</v>
      </c>
      <c r="C510" t="s">
        <v>733</v>
      </c>
      <c r="D510" t="s">
        <v>2126</v>
      </c>
      <c r="E510" t="s">
        <v>2127</v>
      </c>
      <c r="F510" t="s">
        <v>2128</v>
      </c>
      <c r="G510" t="s">
        <v>53</v>
      </c>
      <c r="H510" s="1">
        <v>38250</v>
      </c>
      <c r="I510">
        <v>22</v>
      </c>
      <c r="J510">
        <v>2004</v>
      </c>
      <c r="K510" s="1">
        <v>45054</v>
      </c>
      <c r="L510">
        <v>2023</v>
      </c>
      <c r="M510" t="s">
        <v>225</v>
      </c>
      <c r="N510">
        <v>20</v>
      </c>
      <c r="O510" t="s">
        <v>180</v>
      </c>
      <c r="P510" t="s">
        <v>56</v>
      </c>
      <c r="Q510">
        <v>36</v>
      </c>
      <c r="R510">
        <v>7</v>
      </c>
      <c r="S510" t="s">
        <v>163</v>
      </c>
      <c r="T510" t="s">
        <v>164</v>
      </c>
      <c r="U510">
        <v>8</v>
      </c>
      <c r="V510">
        <v>8</v>
      </c>
      <c r="W510">
        <v>8</v>
      </c>
      <c r="X510">
        <v>8</v>
      </c>
      <c r="Y510">
        <v>2</v>
      </c>
      <c r="Z510">
        <v>8</v>
      </c>
      <c r="AA510">
        <v>2.6875</v>
      </c>
      <c r="AB510">
        <v>21.5</v>
      </c>
      <c r="AC510" t="s">
        <v>540</v>
      </c>
      <c r="AD510" t="s">
        <v>112</v>
      </c>
      <c r="AE510">
        <v>0</v>
      </c>
      <c r="AF510">
        <v>0</v>
      </c>
      <c r="AG510">
        <v>2</v>
      </c>
      <c r="AH510">
        <v>2</v>
      </c>
      <c r="AI510">
        <v>0</v>
      </c>
      <c r="AJ510">
        <v>1</v>
      </c>
      <c r="AK510">
        <v>3</v>
      </c>
      <c r="AL510">
        <v>0</v>
      </c>
      <c r="AM510">
        <v>0</v>
      </c>
      <c r="AN510">
        <v>0</v>
      </c>
      <c r="AO510">
        <v>8</v>
      </c>
      <c r="AP510">
        <v>0</v>
      </c>
      <c r="AQ510">
        <v>100</v>
      </c>
      <c r="AR510" s="2">
        <v>45753.100312499999</v>
      </c>
      <c r="AS510" s="2">
        <v>46010.137685185182</v>
      </c>
      <c r="AT510" t="s">
        <v>61</v>
      </c>
      <c r="AU510" t="s">
        <v>1357</v>
      </c>
      <c r="AV510">
        <v>257</v>
      </c>
    </row>
    <row r="511" spans="1:48" x14ac:dyDescent="0.25">
      <c r="A511">
        <v>222</v>
      </c>
      <c r="B511" t="s">
        <v>2129</v>
      </c>
      <c r="C511" t="s">
        <v>2130</v>
      </c>
      <c r="D511" t="s">
        <v>1329</v>
      </c>
      <c r="E511" t="s">
        <v>2131</v>
      </c>
      <c r="F511" t="s">
        <v>2132</v>
      </c>
      <c r="G511" t="s">
        <v>104</v>
      </c>
      <c r="H511" s="1">
        <v>39152</v>
      </c>
      <c r="I511">
        <v>19</v>
      </c>
      <c r="J511">
        <v>2007</v>
      </c>
      <c r="K511" s="1">
        <v>45766</v>
      </c>
      <c r="L511">
        <v>2025</v>
      </c>
      <c r="M511" t="s">
        <v>54</v>
      </c>
      <c r="N511">
        <v>15</v>
      </c>
      <c r="O511" t="s">
        <v>91</v>
      </c>
      <c r="P511" t="s">
        <v>69</v>
      </c>
      <c r="Q511">
        <v>60</v>
      </c>
      <c r="R511">
        <v>5</v>
      </c>
      <c r="S511" t="s">
        <v>92</v>
      </c>
      <c r="T511" t="s">
        <v>93</v>
      </c>
      <c r="U511">
        <v>8</v>
      </c>
      <c r="V511">
        <v>8</v>
      </c>
      <c r="W511">
        <v>8</v>
      </c>
      <c r="X511">
        <v>8</v>
      </c>
      <c r="Y511">
        <v>2</v>
      </c>
      <c r="Z511">
        <v>8</v>
      </c>
      <c r="AA511">
        <v>2.0625</v>
      </c>
      <c r="AB511">
        <v>16.5</v>
      </c>
      <c r="AC511" t="s">
        <v>70</v>
      </c>
      <c r="AD511" t="s">
        <v>60</v>
      </c>
      <c r="AE511">
        <v>2</v>
      </c>
      <c r="AF511">
        <v>0</v>
      </c>
      <c r="AG511">
        <v>0</v>
      </c>
      <c r="AH511">
        <v>1</v>
      </c>
      <c r="AI511">
        <v>0</v>
      </c>
      <c r="AJ511">
        <v>1</v>
      </c>
      <c r="AK511">
        <v>0</v>
      </c>
      <c r="AL511">
        <v>0</v>
      </c>
      <c r="AM511">
        <v>3</v>
      </c>
      <c r="AN511">
        <v>1</v>
      </c>
      <c r="AO511">
        <v>7</v>
      </c>
      <c r="AP511">
        <v>1</v>
      </c>
      <c r="AQ511">
        <v>87.5</v>
      </c>
      <c r="AR511" s="2">
        <v>45886.145173611112</v>
      </c>
      <c r="AS511" s="2">
        <v>46085.155277777776</v>
      </c>
      <c r="AT511" t="s">
        <v>61</v>
      </c>
      <c r="AU511" t="s">
        <v>62</v>
      </c>
      <c r="AV511">
        <v>199</v>
      </c>
    </row>
    <row r="512" spans="1:48" x14ac:dyDescent="0.25">
      <c r="A512">
        <v>258</v>
      </c>
      <c r="B512" t="s">
        <v>2133</v>
      </c>
      <c r="C512" t="s">
        <v>2134</v>
      </c>
      <c r="D512" t="s">
        <v>2135</v>
      </c>
      <c r="E512" t="s">
        <v>2136</v>
      </c>
      <c r="F512" t="s">
        <v>2137</v>
      </c>
      <c r="G512" t="s">
        <v>53</v>
      </c>
      <c r="H512" s="1">
        <v>39260</v>
      </c>
      <c r="I512">
        <v>19</v>
      </c>
      <c r="J512">
        <v>2007</v>
      </c>
      <c r="K512" s="1">
        <v>45798</v>
      </c>
      <c r="L512">
        <v>2025</v>
      </c>
      <c r="M512" t="s">
        <v>54</v>
      </c>
      <c r="N512">
        <v>6</v>
      </c>
      <c r="O512" t="s">
        <v>133</v>
      </c>
      <c r="P512" t="s">
        <v>69</v>
      </c>
      <c r="Q512">
        <v>60</v>
      </c>
      <c r="R512">
        <v>2</v>
      </c>
      <c r="S512" t="s">
        <v>85</v>
      </c>
      <c r="T512" t="s">
        <v>86</v>
      </c>
      <c r="U512">
        <v>7</v>
      </c>
      <c r="V512">
        <v>8</v>
      </c>
      <c r="W512">
        <v>8</v>
      </c>
      <c r="X512">
        <v>8</v>
      </c>
      <c r="Y512">
        <v>2</v>
      </c>
      <c r="Z512">
        <v>7</v>
      </c>
      <c r="AA512">
        <v>2.785714</v>
      </c>
      <c r="AB512">
        <v>19.5</v>
      </c>
      <c r="AC512" t="s">
        <v>70</v>
      </c>
      <c r="AD512" t="s">
        <v>60</v>
      </c>
      <c r="AE512">
        <v>2</v>
      </c>
      <c r="AF512">
        <v>0</v>
      </c>
      <c r="AG512">
        <v>1</v>
      </c>
      <c r="AH512">
        <v>2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1</v>
      </c>
      <c r="AO512">
        <v>6</v>
      </c>
      <c r="AP512">
        <v>1</v>
      </c>
      <c r="AQ512">
        <v>85.714285714284998</v>
      </c>
      <c r="AR512" s="2">
        <v>45808.999745370369</v>
      </c>
      <c r="AS512" s="2">
        <v>46061.477060185185</v>
      </c>
      <c r="AT512" t="s">
        <v>1357</v>
      </c>
      <c r="AU512" t="s">
        <v>62</v>
      </c>
      <c r="AV512">
        <v>253</v>
      </c>
    </row>
    <row r="513" spans="1:48" x14ac:dyDescent="0.25">
      <c r="A513">
        <v>443</v>
      </c>
      <c r="B513" t="s">
        <v>2138</v>
      </c>
      <c r="C513" t="s">
        <v>64</v>
      </c>
      <c r="D513" t="s">
        <v>2139</v>
      </c>
      <c r="E513" t="s">
        <v>2140</v>
      </c>
      <c r="F513" t="s">
        <v>2141</v>
      </c>
      <c r="G513" t="s">
        <v>53</v>
      </c>
      <c r="H513" s="1">
        <v>37754</v>
      </c>
      <c r="I513">
        <v>23</v>
      </c>
      <c r="J513">
        <v>2003</v>
      </c>
      <c r="K513" s="1">
        <v>45897</v>
      </c>
      <c r="L513">
        <v>2025</v>
      </c>
      <c r="M513" t="s">
        <v>54</v>
      </c>
      <c r="N513">
        <v>3</v>
      </c>
      <c r="O513" t="s">
        <v>68</v>
      </c>
      <c r="P513" t="s">
        <v>69</v>
      </c>
      <c r="Q513">
        <v>60</v>
      </c>
      <c r="R513">
        <v>1</v>
      </c>
      <c r="S513" t="s">
        <v>57</v>
      </c>
      <c r="T513" t="s">
        <v>58</v>
      </c>
      <c r="U513">
        <v>8</v>
      </c>
      <c r="V513">
        <v>8</v>
      </c>
      <c r="W513">
        <v>8</v>
      </c>
      <c r="X513">
        <v>7</v>
      </c>
      <c r="Y513">
        <v>2</v>
      </c>
      <c r="Z513">
        <v>8</v>
      </c>
      <c r="AA513">
        <v>2.4375</v>
      </c>
      <c r="AB513">
        <v>19.5</v>
      </c>
      <c r="AC513" t="s">
        <v>70</v>
      </c>
      <c r="AD513" t="s">
        <v>60</v>
      </c>
      <c r="AE513">
        <v>1</v>
      </c>
      <c r="AF513">
        <v>0</v>
      </c>
      <c r="AG513">
        <v>2</v>
      </c>
      <c r="AH513">
        <v>1</v>
      </c>
      <c r="AI513">
        <v>0</v>
      </c>
      <c r="AJ513">
        <v>1</v>
      </c>
      <c r="AK513">
        <v>1</v>
      </c>
      <c r="AL513">
        <v>0</v>
      </c>
      <c r="AM513">
        <v>1</v>
      </c>
      <c r="AN513">
        <v>1</v>
      </c>
      <c r="AO513">
        <v>7</v>
      </c>
      <c r="AP513">
        <v>1</v>
      </c>
      <c r="AQ513">
        <v>87.5</v>
      </c>
      <c r="AR513" s="2">
        <v>45736.803993055553</v>
      </c>
      <c r="AS513" s="2">
        <v>46023.184745370374</v>
      </c>
      <c r="AT513" t="s">
        <v>61</v>
      </c>
      <c r="AU513" t="s">
        <v>62</v>
      </c>
      <c r="AV513">
        <v>287</v>
      </c>
    </row>
    <row r="514" spans="1:48" x14ac:dyDescent="0.25">
      <c r="A514">
        <v>116</v>
      </c>
      <c r="B514" t="s">
        <v>2142</v>
      </c>
      <c r="C514" t="s">
        <v>778</v>
      </c>
      <c r="D514" t="s">
        <v>360</v>
      </c>
      <c r="E514" t="s">
        <v>2143</v>
      </c>
      <c r="F514" t="s">
        <v>2144</v>
      </c>
      <c r="G514" t="s">
        <v>104</v>
      </c>
      <c r="H514" s="1">
        <v>35326</v>
      </c>
      <c r="I514">
        <v>30</v>
      </c>
      <c r="J514">
        <v>1996</v>
      </c>
      <c r="K514" s="1">
        <v>46075</v>
      </c>
      <c r="L514">
        <v>2026</v>
      </c>
      <c r="M514" t="s">
        <v>54</v>
      </c>
      <c r="N514">
        <v>2</v>
      </c>
      <c r="O514" t="s">
        <v>55</v>
      </c>
      <c r="P514" t="s">
        <v>56</v>
      </c>
      <c r="Q514">
        <v>36</v>
      </c>
      <c r="R514">
        <v>1</v>
      </c>
      <c r="S514" t="s">
        <v>57</v>
      </c>
      <c r="T514" t="s">
        <v>58</v>
      </c>
      <c r="U514">
        <v>8</v>
      </c>
      <c r="V514">
        <v>8</v>
      </c>
      <c r="W514">
        <v>8</v>
      </c>
      <c r="X514">
        <v>6</v>
      </c>
      <c r="Y514">
        <v>2</v>
      </c>
      <c r="Z514">
        <v>8</v>
      </c>
      <c r="AA514">
        <v>2.5</v>
      </c>
      <c r="AB514">
        <v>20</v>
      </c>
      <c r="AC514" t="s">
        <v>70</v>
      </c>
      <c r="AD514" t="s">
        <v>60</v>
      </c>
      <c r="AE514">
        <v>2</v>
      </c>
      <c r="AF514">
        <v>0</v>
      </c>
      <c r="AG514">
        <v>2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2</v>
      </c>
      <c r="AN514">
        <v>1</v>
      </c>
      <c r="AO514">
        <v>7</v>
      </c>
      <c r="AP514">
        <v>1</v>
      </c>
      <c r="AQ514">
        <v>87.5</v>
      </c>
      <c r="AR514" s="2">
        <v>45754.347685185188</v>
      </c>
      <c r="AS514" s="2">
        <v>46047.353194444448</v>
      </c>
      <c r="AT514" t="s">
        <v>61</v>
      </c>
      <c r="AU514" t="s">
        <v>62</v>
      </c>
      <c r="AV514">
        <v>293</v>
      </c>
    </row>
    <row r="515" spans="1:48" x14ac:dyDescent="0.25">
      <c r="A515">
        <v>215</v>
      </c>
      <c r="B515" t="s">
        <v>2145</v>
      </c>
      <c r="C515" t="s">
        <v>1414</v>
      </c>
      <c r="D515" t="s">
        <v>2146</v>
      </c>
      <c r="E515" t="s">
        <v>2147</v>
      </c>
      <c r="F515" t="s">
        <v>2148</v>
      </c>
      <c r="G515" t="s">
        <v>53</v>
      </c>
      <c r="H515" s="1">
        <v>35623</v>
      </c>
      <c r="I515">
        <v>29</v>
      </c>
      <c r="J515">
        <v>1997</v>
      </c>
      <c r="K515" s="1">
        <v>45179</v>
      </c>
      <c r="L515">
        <v>2023</v>
      </c>
      <c r="M515" t="s">
        <v>54</v>
      </c>
      <c r="N515">
        <v>9</v>
      </c>
      <c r="O515" t="s">
        <v>151</v>
      </c>
      <c r="P515" t="s">
        <v>69</v>
      </c>
      <c r="Q515">
        <v>60</v>
      </c>
      <c r="R515">
        <v>3</v>
      </c>
      <c r="S515" t="s">
        <v>126</v>
      </c>
      <c r="T515" t="s">
        <v>127</v>
      </c>
      <c r="U515">
        <v>8</v>
      </c>
      <c r="V515">
        <v>8</v>
      </c>
      <c r="W515">
        <v>8</v>
      </c>
      <c r="X515">
        <v>8</v>
      </c>
      <c r="Y515">
        <v>2</v>
      </c>
      <c r="Z515">
        <v>8</v>
      </c>
      <c r="AA515">
        <v>2.4375</v>
      </c>
      <c r="AB515">
        <v>19.5</v>
      </c>
      <c r="AC515" t="s">
        <v>59</v>
      </c>
      <c r="AD515" t="s">
        <v>60</v>
      </c>
      <c r="AE515">
        <v>2</v>
      </c>
      <c r="AF515">
        <v>0</v>
      </c>
      <c r="AG515">
        <v>1</v>
      </c>
      <c r="AH515">
        <v>0</v>
      </c>
      <c r="AI515">
        <v>0</v>
      </c>
      <c r="AJ515">
        <v>2</v>
      </c>
      <c r="AK515">
        <v>0</v>
      </c>
      <c r="AL515">
        <v>0</v>
      </c>
      <c r="AM515">
        <v>3</v>
      </c>
      <c r="AN515">
        <v>0</v>
      </c>
      <c r="AO515">
        <v>8</v>
      </c>
      <c r="AP515">
        <v>0</v>
      </c>
      <c r="AQ515">
        <v>100</v>
      </c>
      <c r="AR515" s="2">
        <v>45722.383055555554</v>
      </c>
      <c r="AS515" s="2">
        <v>46073.159942129627</v>
      </c>
      <c r="AT515" t="s">
        <v>61</v>
      </c>
      <c r="AU515" t="s">
        <v>62</v>
      </c>
      <c r="AV515">
        <v>351</v>
      </c>
    </row>
    <row r="516" spans="1:48" x14ac:dyDescent="0.25">
      <c r="A516">
        <v>529</v>
      </c>
      <c r="B516" t="s">
        <v>2149</v>
      </c>
      <c r="C516" t="s">
        <v>2150</v>
      </c>
      <c r="D516" t="s">
        <v>1919</v>
      </c>
      <c r="E516" t="s">
        <v>2151</v>
      </c>
      <c r="F516" t="s">
        <v>2152</v>
      </c>
      <c r="G516" t="s">
        <v>53</v>
      </c>
      <c r="H516" s="1">
        <v>36451</v>
      </c>
      <c r="I516">
        <v>27</v>
      </c>
      <c r="J516">
        <v>1999</v>
      </c>
      <c r="K516" s="1">
        <v>45317</v>
      </c>
      <c r="L516">
        <v>2024</v>
      </c>
      <c r="M516" t="s">
        <v>111</v>
      </c>
      <c r="N516">
        <v>8</v>
      </c>
      <c r="O516" t="s">
        <v>125</v>
      </c>
      <c r="P516" t="s">
        <v>56</v>
      </c>
      <c r="Q516">
        <v>36</v>
      </c>
      <c r="R516">
        <v>3</v>
      </c>
      <c r="S516" t="s">
        <v>126</v>
      </c>
      <c r="T516" t="s">
        <v>127</v>
      </c>
      <c r="U516">
        <v>7</v>
      </c>
      <c r="V516">
        <v>8</v>
      </c>
      <c r="W516">
        <v>8</v>
      </c>
      <c r="X516">
        <v>8</v>
      </c>
      <c r="Y516">
        <v>2</v>
      </c>
      <c r="Z516">
        <v>7</v>
      </c>
      <c r="AA516">
        <v>3</v>
      </c>
      <c r="AB516">
        <v>21</v>
      </c>
      <c r="AC516" t="s">
        <v>70</v>
      </c>
      <c r="AD516" t="s">
        <v>60</v>
      </c>
      <c r="AE516">
        <v>3</v>
      </c>
      <c r="AF516">
        <v>0</v>
      </c>
      <c r="AG516">
        <v>1</v>
      </c>
      <c r="AH516">
        <v>1</v>
      </c>
      <c r="AI516">
        <v>0</v>
      </c>
      <c r="AJ516">
        <v>1</v>
      </c>
      <c r="AK516">
        <v>0</v>
      </c>
      <c r="AL516">
        <v>0</v>
      </c>
      <c r="AM516">
        <v>0</v>
      </c>
      <c r="AN516">
        <v>1</v>
      </c>
      <c r="AO516">
        <v>6</v>
      </c>
      <c r="AP516">
        <v>1</v>
      </c>
      <c r="AQ516">
        <v>85.714285714284998</v>
      </c>
      <c r="AR516" s="2">
        <v>45758.067372685182</v>
      </c>
      <c r="AS516" s="2">
        <v>46082.025821759256</v>
      </c>
      <c r="AT516" t="s">
        <v>1357</v>
      </c>
      <c r="AU516" t="s">
        <v>62</v>
      </c>
      <c r="AV516">
        <v>324</v>
      </c>
    </row>
    <row r="517" spans="1:48" x14ac:dyDescent="0.25">
      <c r="A517">
        <v>693</v>
      </c>
      <c r="B517" t="s">
        <v>2153</v>
      </c>
      <c r="C517" t="s">
        <v>429</v>
      </c>
      <c r="D517" t="s">
        <v>2126</v>
      </c>
      <c r="E517" t="s">
        <v>2154</v>
      </c>
      <c r="F517" t="s">
        <v>2155</v>
      </c>
      <c r="G517" t="s">
        <v>104</v>
      </c>
      <c r="H517" s="1">
        <v>35700</v>
      </c>
      <c r="I517">
        <v>29</v>
      </c>
      <c r="J517">
        <v>1997</v>
      </c>
      <c r="K517" s="1">
        <v>45895</v>
      </c>
      <c r="L517">
        <v>2025</v>
      </c>
      <c r="M517" t="s">
        <v>54</v>
      </c>
      <c r="N517">
        <v>15</v>
      </c>
      <c r="O517" t="s">
        <v>91</v>
      </c>
      <c r="P517" t="s">
        <v>69</v>
      </c>
      <c r="Q517">
        <v>60</v>
      </c>
      <c r="R517">
        <v>5</v>
      </c>
      <c r="S517" t="s">
        <v>92</v>
      </c>
      <c r="T517" t="s">
        <v>93</v>
      </c>
      <c r="U517">
        <v>8</v>
      </c>
      <c r="V517">
        <v>8</v>
      </c>
      <c r="W517">
        <v>8</v>
      </c>
      <c r="X517">
        <v>6</v>
      </c>
      <c r="Y517">
        <v>2</v>
      </c>
      <c r="Z517">
        <v>7</v>
      </c>
      <c r="AA517">
        <v>2.9285709999999998</v>
      </c>
      <c r="AB517">
        <v>20.5</v>
      </c>
      <c r="AC517" t="s">
        <v>59</v>
      </c>
      <c r="AD517" t="s">
        <v>60</v>
      </c>
      <c r="AE517">
        <v>3</v>
      </c>
      <c r="AF517">
        <v>0</v>
      </c>
      <c r="AG517">
        <v>0</v>
      </c>
      <c r="AH517">
        <v>1</v>
      </c>
      <c r="AI517">
        <v>0</v>
      </c>
      <c r="AJ517">
        <v>1</v>
      </c>
      <c r="AK517">
        <v>1</v>
      </c>
      <c r="AL517">
        <v>0</v>
      </c>
      <c r="AM517">
        <v>1</v>
      </c>
      <c r="AN517">
        <v>0</v>
      </c>
      <c r="AO517">
        <v>7</v>
      </c>
      <c r="AP517">
        <v>0</v>
      </c>
      <c r="AQ517">
        <v>100</v>
      </c>
      <c r="AR517" s="2">
        <v>45745.962835648148</v>
      </c>
      <c r="AS517" s="2">
        <v>46078.897337962961</v>
      </c>
      <c r="AT517" t="s">
        <v>61</v>
      </c>
      <c r="AU517" t="s">
        <v>1357</v>
      </c>
      <c r="AV517">
        <v>333</v>
      </c>
    </row>
    <row r="518" spans="1:48" x14ac:dyDescent="0.25">
      <c r="A518">
        <v>51</v>
      </c>
      <c r="B518" t="s">
        <v>2156</v>
      </c>
      <c r="C518" t="s">
        <v>1019</v>
      </c>
      <c r="D518" t="s">
        <v>850</v>
      </c>
      <c r="E518" t="s">
        <v>2157</v>
      </c>
      <c r="F518" t="s">
        <v>2158</v>
      </c>
      <c r="G518" t="s">
        <v>53</v>
      </c>
      <c r="H518" s="1">
        <v>39081</v>
      </c>
      <c r="I518">
        <v>20</v>
      </c>
      <c r="J518">
        <v>2006</v>
      </c>
      <c r="K518" s="1">
        <v>45066</v>
      </c>
      <c r="L518">
        <v>2023</v>
      </c>
      <c r="M518" t="s">
        <v>54</v>
      </c>
      <c r="N518">
        <v>18</v>
      </c>
      <c r="O518" t="s">
        <v>139</v>
      </c>
      <c r="P518" t="s">
        <v>69</v>
      </c>
      <c r="Q518">
        <v>60</v>
      </c>
      <c r="R518">
        <v>6</v>
      </c>
      <c r="S518" t="s">
        <v>140</v>
      </c>
      <c r="T518" t="s">
        <v>141</v>
      </c>
      <c r="U518">
        <v>7</v>
      </c>
      <c r="V518">
        <v>8</v>
      </c>
      <c r="W518">
        <v>8</v>
      </c>
      <c r="X518">
        <v>8</v>
      </c>
      <c r="Y518">
        <v>2</v>
      </c>
      <c r="Z518">
        <v>6</v>
      </c>
      <c r="AA518">
        <v>1.5</v>
      </c>
      <c r="AB518">
        <v>9</v>
      </c>
      <c r="AC518" t="s">
        <v>70</v>
      </c>
      <c r="AD518" t="s">
        <v>60</v>
      </c>
      <c r="AE518">
        <v>1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2</v>
      </c>
      <c r="AL518">
        <v>0</v>
      </c>
      <c r="AM518">
        <v>1</v>
      </c>
      <c r="AN518">
        <v>2</v>
      </c>
      <c r="AO518">
        <v>4</v>
      </c>
      <c r="AP518">
        <v>2</v>
      </c>
      <c r="AQ518">
        <v>66.666666666666003</v>
      </c>
      <c r="AR518" s="2">
        <v>45723.162256944444</v>
      </c>
      <c r="AS518" s="2">
        <v>45989.790972222225</v>
      </c>
      <c r="AT518" t="s">
        <v>61</v>
      </c>
      <c r="AU518" t="s">
        <v>1357</v>
      </c>
      <c r="AV518">
        <v>266</v>
      </c>
    </row>
    <row r="519" spans="1:48" x14ac:dyDescent="0.25">
      <c r="A519">
        <v>276</v>
      </c>
      <c r="B519" t="s">
        <v>2159</v>
      </c>
      <c r="C519" t="s">
        <v>1538</v>
      </c>
      <c r="D519" t="s">
        <v>2160</v>
      </c>
      <c r="E519" t="s">
        <v>2161</v>
      </c>
      <c r="F519" t="s">
        <v>2162</v>
      </c>
      <c r="G519" t="s">
        <v>53</v>
      </c>
      <c r="H519" s="1">
        <v>36055</v>
      </c>
      <c r="I519">
        <v>28</v>
      </c>
      <c r="J519">
        <v>1998</v>
      </c>
      <c r="K519" s="1">
        <v>45534</v>
      </c>
      <c r="L519">
        <v>2024</v>
      </c>
      <c r="M519" t="s">
        <v>225</v>
      </c>
      <c r="N519">
        <v>4</v>
      </c>
      <c r="O519" t="s">
        <v>215</v>
      </c>
      <c r="P519" t="s">
        <v>119</v>
      </c>
      <c r="Q519">
        <v>120</v>
      </c>
      <c r="R519">
        <v>2</v>
      </c>
      <c r="S519" t="s">
        <v>85</v>
      </c>
      <c r="T519" t="s">
        <v>86</v>
      </c>
      <c r="U519">
        <v>8</v>
      </c>
      <c r="V519">
        <v>8</v>
      </c>
      <c r="W519">
        <v>8</v>
      </c>
      <c r="X519">
        <v>6</v>
      </c>
      <c r="Y519">
        <v>2</v>
      </c>
      <c r="Z519">
        <v>5</v>
      </c>
      <c r="AA519">
        <v>2.2999999999999998</v>
      </c>
      <c r="AB519">
        <v>11.5</v>
      </c>
      <c r="AC519" t="s">
        <v>70</v>
      </c>
      <c r="AD519" t="s">
        <v>60</v>
      </c>
      <c r="AE519">
        <v>1</v>
      </c>
      <c r="AF519">
        <v>0</v>
      </c>
      <c r="AG519">
        <v>1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1</v>
      </c>
      <c r="AN519">
        <v>1</v>
      </c>
      <c r="AO519">
        <v>4</v>
      </c>
      <c r="AP519">
        <v>1</v>
      </c>
      <c r="AQ519">
        <v>80</v>
      </c>
      <c r="AR519" s="2">
        <v>45777.678784722222</v>
      </c>
      <c r="AS519" s="2">
        <v>46004.63554398148</v>
      </c>
      <c r="AT519" t="s">
        <v>1357</v>
      </c>
      <c r="AU519" t="s">
        <v>62</v>
      </c>
      <c r="AV519">
        <v>227</v>
      </c>
    </row>
    <row r="520" spans="1:48" x14ac:dyDescent="0.25">
      <c r="A520">
        <v>727</v>
      </c>
      <c r="B520" t="s">
        <v>2163</v>
      </c>
      <c r="C520" t="s">
        <v>2164</v>
      </c>
      <c r="D520" t="s">
        <v>2165</v>
      </c>
      <c r="E520" t="s">
        <v>2166</v>
      </c>
      <c r="F520" t="s">
        <v>2167</v>
      </c>
      <c r="G520" t="s">
        <v>104</v>
      </c>
      <c r="H520" s="1">
        <v>37334</v>
      </c>
      <c r="I520">
        <v>24</v>
      </c>
      <c r="J520">
        <v>2002</v>
      </c>
      <c r="K520" s="1">
        <v>45319</v>
      </c>
      <c r="L520">
        <v>2024</v>
      </c>
      <c r="M520" t="s">
        <v>54</v>
      </c>
      <c r="N520">
        <v>15</v>
      </c>
      <c r="O520" t="s">
        <v>91</v>
      </c>
      <c r="P520" t="s">
        <v>69</v>
      </c>
      <c r="Q520">
        <v>60</v>
      </c>
      <c r="R520">
        <v>5</v>
      </c>
      <c r="S520" t="s">
        <v>92</v>
      </c>
      <c r="T520" t="s">
        <v>93</v>
      </c>
      <c r="U520">
        <v>8</v>
      </c>
      <c r="V520">
        <v>8</v>
      </c>
      <c r="W520">
        <v>8</v>
      </c>
      <c r="X520">
        <v>8</v>
      </c>
      <c r="Y520">
        <v>2</v>
      </c>
      <c r="Z520">
        <v>8</v>
      </c>
      <c r="AA520">
        <v>1.8125</v>
      </c>
      <c r="AB520">
        <v>14.5</v>
      </c>
      <c r="AC520" t="s">
        <v>70</v>
      </c>
      <c r="AD520" t="s">
        <v>60</v>
      </c>
      <c r="AE520">
        <v>1</v>
      </c>
      <c r="AF520">
        <v>0</v>
      </c>
      <c r="AG520">
        <v>1</v>
      </c>
      <c r="AH520">
        <v>1</v>
      </c>
      <c r="AI520">
        <v>0</v>
      </c>
      <c r="AJ520">
        <v>0</v>
      </c>
      <c r="AK520">
        <v>1</v>
      </c>
      <c r="AL520">
        <v>0</v>
      </c>
      <c r="AM520">
        <v>2</v>
      </c>
      <c r="AN520">
        <v>2</v>
      </c>
      <c r="AO520">
        <v>6</v>
      </c>
      <c r="AP520">
        <v>2</v>
      </c>
      <c r="AQ520">
        <v>75</v>
      </c>
      <c r="AR520" s="2">
        <v>45764.942928240744</v>
      </c>
      <c r="AS520" s="2">
        <v>45971.098738425928</v>
      </c>
      <c r="AT520" t="s">
        <v>1357</v>
      </c>
      <c r="AU520" t="s">
        <v>62</v>
      </c>
      <c r="AV520">
        <v>207</v>
      </c>
    </row>
    <row r="521" spans="1:48" x14ac:dyDescent="0.25">
      <c r="A521">
        <v>639</v>
      </c>
      <c r="B521" t="s">
        <v>2168</v>
      </c>
      <c r="C521" t="s">
        <v>1414</v>
      </c>
      <c r="D521" t="s">
        <v>2087</v>
      </c>
      <c r="E521" t="s">
        <v>2169</v>
      </c>
      <c r="F521" t="s">
        <v>2170</v>
      </c>
      <c r="G521" t="s">
        <v>53</v>
      </c>
      <c r="H521" s="1">
        <v>39335</v>
      </c>
      <c r="I521">
        <v>19</v>
      </c>
      <c r="J521">
        <v>2007</v>
      </c>
      <c r="K521" s="1">
        <v>45308</v>
      </c>
      <c r="L521">
        <v>2024</v>
      </c>
      <c r="M521" t="s">
        <v>111</v>
      </c>
      <c r="N521">
        <v>8</v>
      </c>
      <c r="O521" t="s">
        <v>125</v>
      </c>
      <c r="P521" t="s">
        <v>56</v>
      </c>
      <c r="Q521">
        <v>36</v>
      </c>
      <c r="R521">
        <v>3</v>
      </c>
      <c r="S521" t="s">
        <v>126</v>
      </c>
      <c r="T521" t="s">
        <v>127</v>
      </c>
      <c r="U521">
        <v>8</v>
      </c>
      <c r="V521">
        <v>8</v>
      </c>
      <c r="W521">
        <v>8</v>
      </c>
      <c r="X521">
        <v>7</v>
      </c>
      <c r="Y521">
        <v>2</v>
      </c>
      <c r="Z521">
        <v>8</v>
      </c>
      <c r="AA521">
        <v>2.0625</v>
      </c>
      <c r="AB521">
        <v>16.5</v>
      </c>
      <c r="AC521" t="s">
        <v>59</v>
      </c>
      <c r="AD521" t="s">
        <v>112</v>
      </c>
      <c r="AE521">
        <v>0</v>
      </c>
      <c r="AF521">
        <v>0</v>
      </c>
      <c r="AG521">
        <v>0</v>
      </c>
      <c r="AH521">
        <v>2</v>
      </c>
      <c r="AI521">
        <v>0</v>
      </c>
      <c r="AJ521">
        <v>1</v>
      </c>
      <c r="AK521">
        <v>3</v>
      </c>
      <c r="AL521">
        <v>0</v>
      </c>
      <c r="AM521">
        <v>2</v>
      </c>
      <c r="AN521">
        <v>0</v>
      </c>
      <c r="AO521">
        <v>8</v>
      </c>
      <c r="AP521">
        <v>0</v>
      </c>
      <c r="AQ521">
        <v>100</v>
      </c>
      <c r="AR521" s="2">
        <v>45725.419618055559</v>
      </c>
      <c r="AS521" s="2">
        <v>46059.033425925925</v>
      </c>
      <c r="AT521" t="s">
        <v>61</v>
      </c>
      <c r="AU521" t="s">
        <v>62</v>
      </c>
      <c r="AV521">
        <v>334</v>
      </c>
    </row>
    <row r="522" spans="1:48" x14ac:dyDescent="0.25">
      <c r="A522">
        <v>890</v>
      </c>
      <c r="B522" t="s">
        <v>2171</v>
      </c>
      <c r="C522" t="s">
        <v>238</v>
      </c>
      <c r="D522" t="s">
        <v>228</v>
      </c>
      <c r="E522" t="s">
        <v>2172</v>
      </c>
      <c r="F522" t="s">
        <v>2173</v>
      </c>
      <c r="G522" t="s">
        <v>104</v>
      </c>
      <c r="H522" s="1">
        <v>38121</v>
      </c>
      <c r="I522">
        <v>22</v>
      </c>
      <c r="J522">
        <v>2004</v>
      </c>
      <c r="K522" s="1">
        <v>44856</v>
      </c>
      <c r="L522">
        <v>2022</v>
      </c>
      <c r="M522" t="s">
        <v>54</v>
      </c>
      <c r="N522">
        <v>20</v>
      </c>
      <c r="O522" t="s">
        <v>180</v>
      </c>
      <c r="P522" t="s">
        <v>56</v>
      </c>
      <c r="Q522">
        <v>36</v>
      </c>
      <c r="R522">
        <v>7</v>
      </c>
      <c r="S522" t="s">
        <v>163</v>
      </c>
      <c r="T522" t="s">
        <v>164</v>
      </c>
      <c r="U522">
        <v>8</v>
      </c>
      <c r="V522">
        <v>8</v>
      </c>
      <c r="W522">
        <v>8</v>
      </c>
      <c r="X522">
        <v>8</v>
      </c>
      <c r="Y522">
        <v>2</v>
      </c>
      <c r="Z522">
        <v>6</v>
      </c>
      <c r="AA522">
        <v>2.9166660000000002</v>
      </c>
      <c r="AB522">
        <v>17.5</v>
      </c>
      <c r="AC522" t="s">
        <v>540</v>
      </c>
      <c r="AD522" t="s">
        <v>60</v>
      </c>
      <c r="AE522">
        <v>1</v>
      </c>
      <c r="AF522">
        <v>0</v>
      </c>
      <c r="AG522">
        <v>0</v>
      </c>
      <c r="AH522">
        <v>3</v>
      </c>
      <c r="AI522">
        <v>0</v>
      </c>
      <c r="AJ522">
        <v>1</v>
      </c>
      <c r="AK522">
        <v>1</v>
      </c>
      <c r="AL522">
        <v>0</v>
      </c>
      <c r="AM522">
        <v>0</v>
      </c>
      <c r="AN522">
        <v>0</v>
      </c>
      <c r="AO522">
        <v>6</v>
      </c>
      <c r="AP522">
        <v>0</v>
      </c>
      <c r="AQ522">
        <v>100</v>
      </c>
      <c r="AR522" s="2">
        <v>45722.853425925925</v>
      </c>
      <c r="AS522" s="2">
        <v>46024.552881944444</v>
      </c>
      <c r="AT522" t="s">
        <v>1357</v>
      </c>
      <c r="AU522" t="s">
        <v>62</v>
      </c>
      <c r="AV522">
        <v>302</v>
      </c>
    </row>
    <row r="523" spans="1:48" x14ac:dyDescent="0.25">
      <c r="A523">
        <v>285</v>
      </c>
      <c r="B523" t="s">
        <v>2174</v>
      </c>
      <c r="C523" t="s">
        <v>725</v>
      </c>
      <c r="D523" t="s">
        <v>2175</v>
      </c>
      <c r="E523" t="s">
        <v>2176</v>
      </c>
      <c r="F523" t="s">
        <v>2177</v>
      </c>
      <c r="G523" t="s">
        <v>53</v>
      </c>
      <c r="H523" s="1">
        <v>36709</v>
      </c>
      <c r="I523">
        <v>26</v>
      </c>
      <c r="J523">
        <v>2000</v>
      </c>
      <c r="K523" s="1">
        <v>45095</v>
      </c>
      <c r="L523">
        <v>2023</v>
      </c>
      <c r="M523" t="s">
        <v>54</v>
      </c>
      <c r="N523">
        <v>8</v>
      </c>
      <c r="O523" t="s">
        <v>125</v>
      </c>
      <c r="P523" t="s">
        <v>56</v>
      </c>
      <c r="Q523">
        <v>36</v>
      </c>
      <c r="R523">
        <v>3</v>
      </c>
      <c r="S523" t="s">
        <v>126</v>
      </c>
      <c r="T523" t="s">
        <v>127</v>
      </c>
      <c r="U523">
        <v>7</v>
      </c>
      <c r="V523">
        <v>8</v>
      </c>
      <c r="W523">
        <v>8</v>
      </c>
      <c r="X523">
        <v>7</v>
      </c>
      <c r="Y523">
        <v>2</v>
      </c>
      <c r="Z523">
        <v>5</v>
      </c>
      <c r="AA523">
        <v>2.1</v>
      </c>
      <c r="AB523">
        <v>10.5</v>
      </c>
      <c r="AC523" t="s">
        <v>70</v>
      </c>
      <c r="AD523" t="s">
        <v>60</v>
      </c>
      <c r="AE523">
        <v>1</v>
      </c>
      <c r="AF523">
        <v>0</v>
      </c>
      <c r="AG523">
        <v>1</v>
      </c>
      <c r="AH523">
        <v>0</v>
      </c>
      <c r="AI523">
        <v>0</v>
      </c>
      <c r="AJ523">
        <v>0</v>
      </c>
      <c r="AK523">
        <v>1</v>
      </c>
      <c r="AL523">
        <v>0</v>
      </c>
      <c r="AM523">
        <v>1</v>
      </c>
      <c r="AN523">
        <v>1</v>
      </c>
      <c r="AO523">
        <v>4</v>
      </c>
      <c r="AP523">
        <v>1</v>
      </c>
      <c r="AQ523">
        <v>80</v>
      </c>
      <c r="AR523" s="2">
        <v>45769.223275462966</v>
      </c>
      <c r="AS523" s="2">
        <v>46035.302499999998</v>
      </c>
      <c r="AT523" t="s">
        <v>1357</v>
      </c>
      <c r="AU523" t="s">
        <v>62</v>
      </c>
      <c r="AV523">
        <v>266</v>
      </c>
    </row>
    <row r="524" spans="1:48" x14ac:dyDescent="0.25">
      <c r="A524">
        <v>522</v>
      </c>
      <c r="B524" t="s">
        <v>2178</v>
      </c>
      <c r="C524" t="s">
        <v>2179</v>
      </c>
      <c r="D524" t="s">
        <v>177</v>
      </c>
      <c r="E524" t="s">
        <v>2180</v>
      </c>
      <c r="F524" t="s">
        <v>2181</v>
      </c>
      <c r="G524" t="s">
        <v>104</v>
      </c>
      <c r="H524" s="1">
        <v>35768</v>
      </c>
      <c r="I524">
        <v>29</v>
      </c>
      <c r="J524">
        <v>1997</v>
      </c>
      <c r="K524" s="1">
        <v>45725</v>
      </c>
      <c r="L524">
        <v>2025</v>
      </c>
      <c r="M524" t="s">
        <v>54</v>
      </c>
      <c r="N524">
        <v>8</v>
      </c>
      <c r="O524" t="s">
        <v>125</v>
      </c>
      <c r="P524" t="s">
        <v>56</v>
      </c>
      <c r="Q524">
        <v>36</v>
      </c>
      <c r="R524">
        <v>3</v>
      </c>
      <c r="S524" t="s">
        <v>126</v>
      </c>
      <c r="T524" t="s">
        <v>127</v>
      </c>
      <c r="U524">
        <v>8</v>
      </c>
      <c r="V524">
        <v>8</v>
      </c>
      <c r="W524">
        <v>8</v>
      </c>
      <c r="X524">
        <v>8</v>
      </c>
      <c r="Y524">
        <v>2</v>
      </c>
      <c r="Z524">
        <v>5</v>
      </c>
      <c r="AA524">
        <v>2.8</v>
      </c>
      <c r="AB524">
        <v>14</v>
      </c>
      <c r="AC524" t="s">
        <v>59</v>
      </c>
      <c r="AD524" t="s">
        <v>60</v>
      </c>
      <c r="AE524">
        <v>1</v>
      </c>
      <c r="AF524">
        <v>0</v>
      </c>
      <c r="AG524">
        <v>2</v>
      </c>
      <c r="AH524">
        <v>0</v>
      </c>
      <c r="AI524">
        <v>0</v>
      </c>
      <c r="AJ524">
        <v>0</v>
      </c>
      <c r="AK524">
        <v>1</v>
      </c>
      <c r="AL524">
        <v>0</v>
      </c>
      <c r="AM524">
        <v>1</v>
      </c>
      <c r="AN524">
        <v>0</v>
      </c>
      <c r="AO524">
        <v>5</v>
      </c>
      <c r="AP524">
        <v>0</v>
      </c>
      <c r="AQ524">
        <v>100</v>
      </c>
      <c r="AR524" s="2">
        <v>45784.213969907411</v>
      </c>
      <c r="AS524" s="2">
        <v>46075.613043981481</v>
      </c>
      <c r="AT524" t="s">
        <v>61</v>
      </c>
      <c r="AU524" t="s">
        <v>1357</v>
      </c>
      <c r="AV524">
        <v>291</v>
      </c>
    </row>
    <row r="525" spans="1:48" x14ac:dyDescent="0.25">
      <c r="A525">
        <v>979</v>
      </c>
      <c r="B525" t="s">
        <v>2182</v>
      </c>
      <c r="C525" t="s">
        <v>2183</v>
      </c>
      <c r="D525" t="s">
        <v>2184</v>
      </c>
      <c r="E525" t="s">
        <v>2185</v>
      </c>
      <c r="F525" t="s">
        <v>2186</v>
      </c>
      <c r="G525" t="s">
        <v>53</v>
      </c>
      <c r="H525" s="1">
        <v>35452</v>
      </c>
      <c r="I525">
        <v>29</v>
      </c>
      <c r="J525">
        <v>1997</v>
      </c>
      <c r="K525" s="1">
        <v>45769</v>
      </c>
      <c r="L525">
        <v>2025</v>
      </c>
      <c r="M525" t="s">
        <v>54</v>
      </c>
      <c r="N525">
        <v>17</v>
      </c>
      <c r="O525" t="s">
        <v>350</v>
      </c>
      <c r="P525" t="s">
        <v>56</v>
      </c>
      <c r="Q525">
        <v>36</v>
      </c>
      <c r="R525">
        <v>6</v>
      </c>
      <c r="S525" t="s">
        <v>140</v>
      </c>
      <c r="T525" t="s">
        <v>141</v>
      </c>
      <c r="U525">
        <v>7</v>
      </c>
      <c r="V525">
        <v>8</v>
      </c>
      <c r="W525">
        <v>8</v>
      </c>
      <c r="X525">
        <v>8</v>
      </c>
      <c r="Y525">
        <v>2</v>
      </c>
      <c r="Z525">
        <v>6</v>
      </c>
      <c r="AA525">
        <v>2.6666660000000002</v>
      </c>
      <c r="AB525">
        <v>16</v>
      </c>
      <c r="AC525" t="s">
        <v>59</v>
      </c>
      <c r="AD525" t="s">
        <v>112</v>
      </c>
      <c r="AE525">
        <v>0</v>
      </c>
      <c r="AF525">
        <v>0</v>
      </c>
      <c r="AG525">
        <v>2</v>
      </c>
      <c r="AH525">
        <v>2</v>
      </c>
      <c r="AI525">
        <v>0</v>
      </c>
      <c r="AJ525">
        <v>0</v>
      </c>
      <c r="AK525">
        <v>1</v>
      </c>
      <c r="AL525">
        <v>0</v>
      </c>
      <c r="AM525">
        <v>1</v>
      </c>
      <c r="AN525">
        <v>0</v>
      </c>
      <c r="AO525">
        <v>6</v>
      </c>
      <c r="AP525">
        <v>0</v>
      </c>
      <c r="AQ525">
        <v>100</v>
      </c>
      <c r="AR525" s="2">
        <v>45723.651643518519</v>
      </c>
      <c r="AS525" s="2">
        <v>46076.551423611112</v>
      </c>
      <c r="AT525" t="s">
        <v>1357</v>
      </c>
      <c r="AU525" t="s">
        <v>62</v>
      </c>
      <c r="AV525">
        <v>353</v>
      </c>
    </row>
    <row r="526" spans="1:48" x14ac:dyDescent="0.25">
      <c r="A526">
        <v>663</v>
      </c>
      <c r="B526" t="s">
        <v>2187</v>
      </c>
      <c r="C526" t="s">
        <v>547</v>
      </c>
      <c r="D526" t="s">
        <v>420</v>
      </c>
      <c r="E526" t="s">
        <v>2188</v>
      </c>
      <c r="F526" t="s">
        <v>2189</v>
      </c>
      <c r="G526" t="s">
        <v>104</v>
      </c>
      <c r="H526" s="1">
        <v>35051</v>
      </c>
      <c r="I526">
        <v>31</v>
      </c>
      <c r="J526">
        <v>1995</v>
      </c>
      <c r="K526" s="1">
        <v>45668</v>
      </c>
      <c r="L526">
        <v>2025</v>
      </c>
      <c r="M526" t="s">
        <v>225</v>
      </c>
      <c r="N526">
        <v>4</v>
      </c>
      <c r="O526" t="s">
        <v>215</v>
      </c>
      <c r="P526" t="s">
        <v>119</v>
      </c>
      <c r="Q526">
        <v>120</v>
      </c>
      <c r="R526">
        <v>2</v>
      </c>
      <c r="S526" t="s">
        <v>85</v>
      </c>
      <c r="T526" t="s">
        <v>86</v>
      </c>
      <c r="U526">
        <v>8</v>
      </c>
      <c r="V526">
        <v>8</v>
      </c>
      <c r="W526">
        <v>8</v>
      </c>
      <c r="X526">
        <v>8</v>
      </c>
      <c r="Y526">
        <v>2</v>
      </c>
      <c r="Z526">
        <v>6</v>
      </c>
      <c r="AA526">
        <v>2.5833330000000001</v>
      </c>
      <c r="AB526">
        <v>15.5</v>
      </c>
      <c r="AC526" t="s">
        <v>59</v>
      </c>
      <c r="AD526" t="s">
        <v>112</v>
      </c>
      <c r="AE526">
        <v>0</v>
      </c>
      <c r="AF526">
        <v>0</v>
      </c>
      <c r="AG526">
        <v>2</v>
      </c>
      <c r="AH526">
        <v>1</v>
      </c>
      <c r="AI526">
        <v>0</v>
      </c>
      <c r="AJ526">
        <v>1</v>
      </c>
      <c r="AK526">
        <v>1</v>
      </c>
      <c r="AL526">
        <v>0</v>
      </c>
      <c r="AM526">
        <v>1</v>
      </c>
      <c r="AN526">
        <v>0</v>
      </c>
      <c r="AO526">
        <v>6</v>
      </c>
      <c r="AP526">
        <v>0</v>
      </c>
      <c r="AQ526">
        <v>100</v>
      </c>
      <c r="AR526" s="2">
        <v>45736.90215277778</v>
      </c>
      <c r="AS526" s="2">
        <v>46042.719143518516</v>
      </c>
      <c r="AT526" t="s">
        <v>61</v>
      </c>
      <c r="AU526" t="s">
        <v>1357</v>
      </c>
      <c r="AV526">
        <v>306</v>
      </c>
    </row>
    <row r="527" spans="1:48" x14ac:dyDescent="0.25">
      <c r="A527">
        <v>203</v>
      </c>
      <c r="B527" t="s">
        <v>2190</v>
      </c>
      <c r="C527" t="s">
        <v>807</v>
      </c>
      <c r="D527" t="s">
        <v>798</v>
      </c>
      <c r="E527" t="s">
        <v>2191</v>
      </c>
      <c r="F527" t="s">
        <v>2192</v>
      </c>
      <c r="G527" t="s">
        <v>104</v>
      </c>
      <c r="H527" s="1">
        <v>35818</v>
      </c>
      <c r="I527">
        <v>28</v>
      </c>
      <c r="J527">
        <v>1998</v>
      </c>
      <c r="K527" s="1">
        <v>44951</v>
      </c>
      <c r="L527">
        <v>2023</v>
      </c>
      <c r="M527" t="s">
        <v>54</v>
      </c>
      <c r="N527">
        <v>3</v>
      </c>
      <c r="O527" t="s">
        <v>68</v>
      </c>
      <c r="P527" t="s">
        <v>69</v>
      </c>
      <c r="Q527">
        <v>60</v>
      </c>
      <c r="R527">
        <v>1</v>
      </c>
      <c r="S527" t="s">
        <v>57</v>
      </c>
      <c r="T527" t="s">
        <v>58</v>
      </c>
      <c r="U527">
        <v>8</v>
      </c>
      <c r="V527">
        <v>8</v>
      </c>
      <c r="W527">
        <v>8</v>
      </c>
      <c r="X527">
        <v>8</v>
      </c>
      <c r="Y527">
        <v>2</v>
      </c>
      <c r="Z527">
        <v>4</v>
      </c>
      <c r="AA527">
        <v>2.125</v>
      </c>
      <c r="AB527">
        <v>8.5</v>
      </c>
      <c r="AC527" t="s">
        <v>70</v>
      </c>
      <c r="AD527" t="s">
        <v>112</v>
      </c>
      <c r="AE527">
        <v>0</v>
      </c>
      <c r="AF527">
        <v>0</v>
      </c>
      <c r="AG527">
        <v>0</v>
      </c>
      <c r="AH527">
        <v>2</v>
      </c>
      <c r="AI527">
        <v>0</v>
      </c>
      <c r="AJ527">
        <v>1</v>
      </c>
      <c r="AK527">
        <v>0</v>
      </c>
      <c r="AL527">
        <v>0</v>
      </c>
      <c r="AM527">
        <v>0</v>
      </c>
      <c r="AN527">
        <v>1</v>
      </c>
      <c r="AO527">
        <v>3</v>
      </c>
      <c r="AP527">
        <v>1</v>
      </c>
      <c r="AQ527">
        <v>75</v>
      </c>
      <c r="AR527" s="2">
        <v>45743.107488425929</v>
      </c>
      <c r="AS527" s="2">
        <v>46039.829155092593</v>
      </c>
      <c r="AT527" t="s">
        <v>1357</v>
      </c>
      <c r="AU527" t="s">
        <v>62</v>
      </c>
      <c r="AV527">
        <v>296</v>
      </c>
    </row>
    <row r="528" spans="1:48" x14ac:dyDescent="0.25">
      <c r="A528">
        <v>11</v>
      </c>
      <c r="B528" t="s">
        <v>2193</v>
      </c>
      <c r="C528" t="s">
        <v>1015</v>
      </c>
      <c r="D528" t="s">
        <v>2194</v>
      </c>
      <c r="E528" t="s">
        <v>2195</v>
      </c>
      <c r="F528" t="s">
        <v>2196</v>
      </c>
      <c r="G528" t="s">
        <v>53</v>
      </c>
      <c r="H528" s="1">
        <v>37897</v>
      </c>
      <c r="I528">
        <v>23</v>
      </c>
      <c r="J528">
        <v>2003</v>
      </c>
      <c r="K528" s="1">
        <v>45207</v>
      </c>
      <c r="L528">
        <v>2023</v>
      </c>
      <c r="M528" t="s">
        <v>54</v>
      </c>
      <c r="N528">
        <v>18</v>
      </c>
      <c r="O528" t="s">
        <v>139</v>
      </c>
      <c r="P528" t="s">
        <v>69</v>
      </c>
      <c r="Q528">
        <v>60</v>
      </c>
      <c r="R528">
        <v>6</v>
      </c>
      <c r="S528" t="s">
        <v>140</v>
      </c>
      <c r="T528" t="s">
        <v>141</v>
      </c>
      <c r="U528">
        <v>7</v>
      </c>
      <c r="V528">
        <v>8</v>
      </c>
      <c r="W528">
        <v>8</v>
      </c>
      <c r="X528">
        <v>7</v>
      </c>
      <c r="Y528">
        <v>2</v>
      </c>
      <c r="Z528">
        <v>8</v>
      </c>
      <c r="AA528">
        <v>2.6875</v>
      </c>
      <c r="AB528">
        <v>21.5</v>
      </c>
      <c r="AC528" t="s">
        <v>70</v>
      </c>
      <c r="AD528" t="s">
        <v>60</v>
      </c>
      <c r="AE528">
        <v>2</v>
      </c>
      <c r="AF528">
        <v>0</v>
      </c>
      <c r="AG528">
        <v>1</v>
      </c>
      <c r="AH528">
        <v>1</v>
      </c>
      <c r="AI528">
        <v>0</v>
      </c>
      <c r="AJ528">
        <v>2</v>
      </c>
      <c r="AK528">
        <v>1</v>
      </c>
      <c r="AL528">
        <v>0</v>
      </c>
      <c r="AM528">
        <v>0</v>
      </c>
      <c r="AN528">
        <v>1</v>
      </c>
      <c r="AO528">
        <v>7</v>
      </c>
      <c r="AP528">
        <v>1</v>
      </c>
      <c r="AQ528">
        <v>87.5</v>
      </c>
      <c r="AR528" s="2">
        <v>45759.025219907409</v>
      </c>
      <c r="AS528" s="2">
        <v>46064.914675925924</v>
      </c>
      <c r="AT528" t="s">
        <v>61</v>
      </c>
      <c r="AU528" t="s">
        <v>62</v>
      </c>
      <c r="AV528">
        <v>305</v>
      </c>
    </row>
    <row r="529" spans="1:48" x14ac:dyDescent="0.25">
      <c r="A529">
        <v>566</v>
      </c>
      <c r="B529" t="s">
        <v>2197</v>
      </c>
      <c r="C529" t="s">
        <v>1284</v>
      </c>
      <c r="D529" t="s">
        <v>365</v>
      </c>
      <c r="E529" t="s">
        <v>2198</v>
      </c>
      <c r="F529">
        <v>2102023142</v>
      </c>
      <c r="G529" t="s">
        <v>53</v>
      </c>
      <c r="H529" s="1">
        <v>39310</v>
      </c>
      <c r="I529">
        <v>19</v>
      </c>
      <c r="J529">
        <v>2007</v>
      </c>
      <c r="K529" s="1">
        <v>44780</v>
      </c>
      <c r="L529">
        <v>2022</v>
      </c>
      <c r="M529" t="s">
        <v>54</v>
      </c>
      <c r="N529">
        <v>10</v>
      </c>
      <c r="O529" t="s">
        <v>118</v>
      </c>
      <c r="P529" t="s">
        <v>119</v>
      </c>
      <c r="Q529">
        <v>120</v>
      </c>
      <c r="R529">
        <v>4</v>
      </c>
      <c r="S529" t="s">
        <v>77</v>
      </c>
      <c r="T529" t="s">
        <v>78</v>
      </c>
      <c r="U529">
        <v>8</v>
      </c>
      <c r="V529">
        <v>8</v>
      </c>
      <c r="W529">
        <v>8</v>
      </c>
      <c r="X529">
        <v>8</v>
      </c>
      <c r="Y529">
        <v>2</v>
      </c>
      <c r="Z529">
        <v>6</v>
      </c>
      <c r="AA529">
        <v>2.4166660000000002</v>
      </c>
      <c r="AB529">
        <v>14.5</v>
      </c>
      <c r="AC529" t="s">
        <v>59</v>
      </c>
      <c r="AD529" t="s">
        <v>112</v>
      </c>
      <c r="AE529">
        <v>0</v>
      </c>
      <c r="AF529">
        <v>0</v>
      </c>
      <c r="AG529">
        <v>1</v>
      </c>
      <c r="AH529">
        <v>1</v>
      </c>
      <c r="AI529">
        <v>0</v>
      </c>
      <c r="AJ529">
        <v>2</v>
      </c>
      <c r="AK529">
        <v>1</v>
      </c>
      <c r="AL529">
        <v>0</v>
      </c>
      <c r="AM529">
        <v>1</v>
      </c>
      <c r="AN529">
        <v>0</v>
      </c>
      <c r="AO529">
        <v>6</v>
      </c>
      <c r="AP529">
        <v>0</v>
      </c>
      <c r="AQ529">
        <v>100</v>
      </c>
      <c r="AR529" s="2">
        <v>45725.1247337963</v>
      </c>
      <c r="AS529" s="2">
        <v>45959.761134259257</v>
      </c>
      <c r="AT529" t="s">
        <v>1357</v>
      </c>
      <c r="AU529" t="s">
        <v>62</v>
      </c>
      <c r="AV529">
        <v>234</v>
      </c>
    </row>
    <row r="530" spans="1:48" x14ac:dyDescent="0.25">
      <c r="A530">
        <v>135</v>
      </c>
      <c r="B530" t="s">
        <v>2199</v>
      </c>
      <c r="C530" t="s">
        <v>390</v>
      </c>
      <c r="D530" t="s">
        <v>159</v>
      </c>
      <c r="E530" t="s">
        <v>2200</v>
      </c>
      <c r="F530" t="s">
        <v>2201</v>
      </c>
      <c r="G530" t="s">
        <v>53</v>
      </c>
      <c r="H530" s="1">
        <v>36193</v>
      </c>
      <c r="I530">
        <v>27</v>
      </c>
      <c r="J530">
        <v>1999</v>
      </c>
      <c r="K530" s="1">
        <v>45345</v>
      </c>
      <c r="L530">
        <v>2024</v>
      </c>
      <c r="M530" t="s">
        <v>111</v>
      </c>
      <c r="N530">
        <v>14</v>
      </c>
      <c r="O530" t="s">
        <v>105</v>
      </c>
      <c r="P530" t="s">
        <v>56</v>
      </c>
      <c r="Q530">
        <v>36</v>
      </c>
      <c r="R530">
        <v>5</v>
      </c>
      <c r="S530" t="s">
        <v>92</v>
      </c>
      <c r="T530" t="s">
        <v>93</v>
      </c>
      <c r="U530">
        <v>8</v>
      </c>
      <c r="V530">
        <v>8</v>
      </c>
      <c r="W530">
        <v>8</v>
      </c>
      <c r="X530">
        <v>7</v>
      </c>
      <c r="Y530">
        <v>2</v>
      </c>
      <c r="Z530">
        <v>5</v>
      </c>
      <c r="AA530">
        <v>2.7</v>
      </c>
      <c r="AB530">
        <v>13.5</v>
      </c>
      <c r="AC530" t="s">
        <v>59</v>
      </c>
      <c r="AD530" t="s">
        <v>60</v>
      </c>
      <c r="AE530">
        <v>1</v>
      </c>
      <c r="AF530">
        <v>0</v>
      </c>
      <c r="AG530">
        <v>1</v>
      </c>
      <c r="AH530">
        <v>1</v>
      </c>
      <c r="AI530">
        <v>0</v>
      </c>
      <c r="AJ530">
        <v>0</v>
      </c>
      <c r="AK530">
        <v>1</v>
      </c>
      <c r="AL530">
        <v>0</v>
      </c>
      <c r="AM530">
        <v>1</v>
      </c>
      <c r="AN530">
        <v>0</v>
      </c>
      <c r="AO530">
        <v>5</v>
      </c>
      <c r="AP530">
        <v>0</v>
      </c>
      <c r="AQ530">
        <v>100</v>
      </c>
      <c r="AR530" s="2">
        <v>45762.05709490741</v>
      </c>
      <c r="AS530" s="2">
        <v>46066.324178240742</v>
      </c>
      <c r="AT530" t="s">
        <v>1357</v>
      </c>
      <c r="AU530" t="s">
        <v>62</v>
      </c>
      <c r="AV530">
        <v>304</v>
      </c>
    </row>
    <row r="531" spans="1:48" x14ac:dyDescent="0.25">
      <c r="A531">
        <v>844</v>
      </c>
      <c r="B531" t="s">
        <v>2202</v>
      </c>
      <c r="C531" t="s">
        <v>1414</v>
      </c>
      <c r="D531" t="s">
        <v>659</v>
      </c>
      <c r="E531" t="s">
        <v>2203</v>
      </c>
      <c r="F531" t="s">
        <v>2204</v>
      </c>
      <c r="G531" t="s">
        <v>53</v>
      </c>
      <c r="H531" s="1">
        <v>36514</v>
      </c>
      <c r="I531">
        <v>27</v>
      </c>
      <c r="J531">
        <v>1999</v>
      </c>
      <c r="K531" s="1">
        <v>45085</v>
      </c>
      <c r="L531">
        <v>2023</v>
      </c>
      <c r="M531" t="s">
        <v>54</v>
      </c>
      <c r="N531">
        <v>1</v>
      </c>
      <c r="O531" t="s">
        <v>157</v>
      </c>
      <c r="P531" t="s">
        <v>119</v>
      </c>
      <c r="Q531">
        <v>120</v>
      </c>
      <c r="R531">
        <v>1</v>
      </c>
      <c r="S531" t="s">
        <v>57</v>
      </c>
      <c r="T531" t="s">
        <v>58</v>
      </c>
      <c r="U531">
        <v>7</v>
      </c>
      <c r="V531">
        <v>8</v>
      </c>
      <c r="W531">
        <v>8</v>
      </c>
      <c r="X531">
        <v>8</v>
      </c>
      <c r="Y531">
        <v>2</v>
      </c>
      <c r="Z531">
        <v>8</v>
      </c>
      <c r="AA531">
        <v>1.6875</v>
      </c>
      <c r="AB531">
        <v>13.5</v>
      </c>
      <c r="AC531" t="s">
        <v>70</v>
      </c>
      <c r="AD531" t="s">
        <v>60</v>
      </c>
      <c r="AE531">
        <v>1</v>
      </c>
      <c r="AF531">
        <v>0</v>
      </c>
      <c r="AG531">
        <v>0</v>
      </c>
      <c r="AH531">
        <v>1</v>
      </c>
      <c r="AI531">
        <v>0</v>
      </c>
      <c r="AJ531">
        <v>1</v>
      </c>
      <c r="AK531">
        <v>1</v>
      </c>
      <c r="AL531">
        <v>0</v>
      </c>
      <c r="AM531">
        <v>2</v>
      </c>
      <c r="AN531">
        <v>2</v>
      </c>
      <c r="AO531">
        <v>6</v>
      </c>
      <c r="AP531">
        <v>2</v>
      </c>
      <c r="AQ531">
        <v>75</v>
      </c>
      <c r="AR531" s="2">
        <v>45749.463217592594</v>
      </c>
      <c r="AS531" s="2">
        <v>46065.71334490741</v>
      </c>
      <c r="AT531" t="s">
        <v>1357</v>
      </c>
      <c r="AU531" t="s">
        <v>62</v>
      </c>
      <c r="AV531">
        <v>316</v>
      </c>
    </row>
    <row r="532" spans="1:48" x14ac:dyDescent="0.25">
      <c r="A532">
        <v>407</v>
      </c>
      <c r="B532" t="s">
        <v>2205</v>
      </c>
      <c r="C532" t="s">
        <v>148</v>
      </c>
      <c r="D532" t="s">
        <v>1583</v>
      </c>
      <c r="E532" t="s">
        <v>2206</v>
      </c>
      <c r="F532" t="s">
        <v>2207</v>
      </c>
      <c r="G532" t="s">
        <v>53</v>
      </c>
      <c r="H532" s="1">
        <v>37243</v>
      </c>
      <c r="I532">
        <v>25</v>
      </c>
      <c r="J532">
        <v>2001</v>
      </c>
      <c r="K532" s="1">
        <v>45157</v>
      </c>
      <c r="L532">
        <v>2023</v>
      </c>
      <c r="M532" t="s">
        <v>54</v>
      </c>
      <c r="N532">
        <v>5</v>
      </c>
      <c r="O532" t="s">
        <v>84</v>
      </c>
      <c r="P532" t="s">
        <v>56</v>
      </c>
      <c r="Q532">
        <v>36</v>
      </c>
      <c r="R532">
        <v>2</v>
      </c>
      <c r="S532" t="s">
        <v>85</v>
      </c>
      <c r="T532" t="s">
        <v>86</v>
      </c>
      <c r="U532">
        <v>8</v>
      </c>
      <c r="V532">
        <v>8</v>
      </c>
      <c r="W532">
        <v>8</v>
      </c>
      <c r="X532">
        <v>8</v>
      </c>
      <c r="Y532">
        <v>2</v>
      </c>
      <c r="Z532">
        <v>8</v>
      </c>
      <c r="AA532">
        <v>3</v>
      </c>
      <c r="AB532">
        <v>24</v>
      </c>
      <c r="AC532" t="s">
        <v>540</v>
      </c>
      <c r="AD532" t="s">
        <v>60</v>
      </c>
      <c r="AE532">
        <v>2</v>
      </c>
      <c r="AF532">
        <v>0</v>
      </c>
      <c r="AG532">
        <v>1</v>
      </c>
      <c r="AH532">
        <v>2</v>
      </c>
      <c r="AI532">
        <v>0</v>
      </c>
      <c r="AJ532">
        <v>1</v>
      </c>
      <c r="AK532">
        <v>2</v>
      </c>
      <c r="AL532">
        <v>0</v>
      </c>
      <c r="AM532">
        <v>0</v>
      </c>
      <c r="AN532">
        <v>0</v>
      </c>
      <c r="AO532">
        <v>8</v>
      </c>
      <c r="AP532">
        <v>0</v>
      </c>
      <c r="AQ532">
        <v>100</v>
      </c>
      <c r="AR532" s="2">
        <v>45786.475856481484</v>
      </c>
      <c r="AS532" s="2">
        <v>46064.30672453704</v>
      </c>
      <c r="AT532" t="s">
        <v>61</v>
      </c>
      <c r="AU532" t="s">
        <v>62</v>
      </c>
      <c r="AV532">
        <v>278</v>
      </c>
    </row>
    <row r="533" spans="1:48" x14ac:dyDescent="0.25">
      <c r="A533">
        <v>375</v>
      </c>
      <c r="B533" t="s">
        <v>2208</v>
      </c>
      <c r="C533" t="s">
        <v>2209</v>
      </c>
      <c r="D533" t="s">
        <v>726</v>
      </c>
      <c r="E533" t="s">
        <v>2210</v>
      </c>
      <c r="F533">
        <v>9389569557</v>
      </c>
      <c r="G533" t="s">
        <v>53</v>
      </c>
      <c r="H533" s="1">
        <v>36207</v>
      </c>
      <c r="I533">
        <v>27</v>
      </c>
      <c r="J533">
        <v>1999</v>
      </c>
      <c r="K533" s="1">
        <v>44817</v>
      </c>
      <c r="L533">
        <v>2022</v>
      </c>
      <c r="M533" t="s">
        <v>111</v>
      </c>
      <c r="N533">
        <v>8</v>
      </c>
      <c r="O533" t="s">
        <v>125</v>
      </c>
      <c r="P533" t="s">
        <v>56</v>
      </c>
      <c r="Q533">
        <v>36</v>
      </c>
      <c r="R533">
        <v>3</v>
      </c>
      <c r="S533" t="s">
        <v>126</v>
      </c>
      <c r="T533" t="s">
        <v>127</v>
      </c>
      <c r="U533">
        <v>8</v>
      </c>
      <c r="V533">
        <v>8</v>
      </c>
      <c r="W533">
        <v>8</v>
      </c>
      <c r="X533">
        <v>8</v>
      </c>
      <c r="Y533">
        <v>2</v>
      </c>
      <c r="Z533">
        <v>7</v>
      </c>
      <c r="AA533">
        <v>2.071428</v>
      </c>
      <c r="AB533">
        <v>14.5</v>
      </c>
      <c r="AC533" t="s">
        <v>70</v>
      </c>
      <c r="AD533" t="s">
        <v>60</v>
      </c>
      <c r="AE533">
        <v>2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2</v>
      </c>
      <c r="AL533">
        <v>0</v>
      </c>
      <c r="AM533">
        <v>0</v>
      </c>
      <c r="AN533">
        <v>2</v>
      </c>
      <c r="AO533">
        <v>5</v>
      </c>
      <c r="AP533">
        <v>2</v>
      </c>
      <c r="AQ533">
        <v>71.428571428571004</v>
      </c>
      <c r="AR533" s="2">
        <v>45754.257002314815</v>
      </c>
      <c r="AS533" s="2">
        <v>46037.607824074075</v>
      </c>
      <c r="AT533" t="s">
        <v>61</v>
      </c>
      <c r="AU533" t="s">
        <v>1357</v>
      </c>
      <c r="AV533">
        <v>283</v>
      </c>
    </row>
    <row r="534" spans="1:48" x14ac:dyDescent="0.25">
      <c r="A534">
        <v>755</v>
      </c>
      <c r="B534" t="s">
        <v>2211</v>
      </c>
      <c r="C534" t="s">
        <v>690</v>
      </c>
      <c r="D534" t="s">
        <v>2212</v>
      </c>
      <c r="E534" t="s">
        <v>2213</v>
      </c>
      <c r="F534">
        <f>1-584-402-1557</f>
        <v>-2542</v>
      </c>
      <c r="G534" t="s">
        <v>104</v>
      </c>
      <c r="H534" s="1">
        <v>36288</v>
      </c>
      <c r="I534">
        <v>27</v>
      </c>
      <c r="J534">
        <v>1999</v>
      </c>
      <c r="K534" s="1">
        <v>44957</v>
      </c>
      <c r="L534">
        <v>2023</v>
      </c>
      <c r="M534" t="s">
        <v>54</v>
      </c>
      <c r="N534">
        <v>21</v>
      </c>
      <c r="O534" t="s">
        <v>339</v>
      </c>
      <c r="P534" t="s">
        <v>69</v>
      </c>
      <c r="Q534">
        <v>60</v>
      </c>
      <c r="R534">
        <v>7</v>
      </c>
      <c r="S534" t="s">
        <v>163</v>
      </c>
      <c r="T534" t="s">
        <v>164</v>
      </c>
      <c r="U534">
        <v>8</v>
      </c>
      <c r="V534">
        <v>8</v>
      </c>
      <c r="W534">
        <v>8</v>
      </c>
      <c r="X534">
        <v>8</v>
      </c>
      <c r="Y534">
        <v>2</v>
      </c>
      <c r="Z534">
        <v>6</v>
      </c>
      <c r="AA534">
        <v>2.4166660000000002</v>
      </c>
      <c r="AB534">
        <v>14.5</v>
      </c>
      <c r="AC534" t="s">
        <v>59</v>
      </c>
      <c r="AD534" t="s">
        <v>60</v>
      </c>
      <c r="AE534">
        <v>1</v>
      </c>
      <c r="AF534">
        <v>0</v>
      </c>
      <c r="AG534">
        <v>0</v>
      </c>
      <c r="AH534">
        <v>2</v>
      </c>
      <c r="AI534">
        <v>0</v>
      </c>
      <c r="AJ534">
        <v>1</v>
      </c>
      <c r="AK534">
        <v>0</v>
      </c>
      <c r="AL534">
        <v>0</v>
      </c>
      <c r="AM534">
        <v>2</v>
      </c>
      <c r="AN534">
        <v>0</v>
      </c>
      <c r="AO534">
        <v>6</v>
      </c>
      <c r="AP534">
        <v>0</v>
      </c>
      <c r="AQ534">
        <v>100</v>
      </c>
      <c r="AR534" s="2">
        <v>45770.040416666663</v>
      </c>
      <c r="AS534" s="2">
        <v>46019.907789351855</v>
      </c>
      <c r="AT534" t="s">
        <v>1357</v>
      </c>
      <c r="AU534" t="s">
        <v>62</v>
      </c>
      <c r="AV534">
        <v>249</v>
      </c>
    </row>
    <row r="535" spans="1:48" x14ac:dyDescent="0.25">
      <c r="A535">
        <v>86</v>
      </c>
      <c r="B535" t="s">
        <v>2214</v>
      </c>
      <c r="C535" t="s">
        <v>135</v>
      </c>
      <c r="D535" t="s">
        <v>2215</v>
      </c>
      <c r="E535" t="s">
        <v>2216</v>
      </c>
      <c r="F535" t="s">
        <v>2217</v>
      </c>
      <c r="G535" t="s">
        <v>53</v>
      </c>
      <c r="H535" s="1">
        <v>36488</v>
      </c>
      <c r="I535">
        <v>27</v>
      </c>
      <c r="J535">
        <v>1999</v>
      </c>
      <c r="K535" s="1">
        <v>45795</v>
      </c>
      <c r="L535">
        <v>2025</v>
      </c>
      <c r="M535" t="s">
        <v>54</v>
      </c>
      <c r="N535">
        <v>17</v>
      </c>
      <c r="O535" t="s">
        <v>350</v>
      </c>
      <c r="P535" t="s">
        <v>56</v>
      </c>
      <c r="Q535">
        <v>36</v>
      </c>
      <c r="R535">
        <v>6</v>
      </c>
      <c r="S535" t="s">
        <v>140</v>
      </c>
      <c r="T535" t="s">
        <v>141</v>
      </c>
      <c r="U535">
        <v>8</v>
      </c>
      <c r="V535">
        <v>8</v>
      </c>
      <c r="W535">
        <v>8</v>
      </c>
      <c r="X535">
        <v>7</v>
      </c>
      <c r="Y535">
        <v>2</v>
      </c>
      <c r="Z535">
        <v>8</v>
      </c>
      <c r="AA535">
        <v>2.5625</v>
      </c>
      <c r="AB535">
        <v>20.5</v>
      </c>
      <c r="AC535" t="s">
        <v>70</v>
      </c>
      <c r="AD535" t="s">
        <v>60</v>
      </c>
      <c r="AE535">
        <v>2</v>
      </c>
      <c r="AF535">
        <v>0</v>
      </c>
      <c r="AG535">
        <v>1</v>
      </c>
      <c r="AH535">
        <v>0</v>
      </c>
      <c r="AI535">
        <v>0</v>
      </c>
      <c r="AJ535">
        <v>2</v>
      </c>
      <c r="AK535">
        <v>2</v>
      </c>
      <c r="AL535">
        <v>0</v>
      </c>
      <c r="AM535">
        <v>0</v>
      </c>
      <c r="AN535">
        <v>1</v>
      </c>
      <c r="AO535">
        <v>7</v>
      </c>
      <c r="AP535">
        <v>1</v>
      </c>
      <c r="AQ535">
        <v>87.5</v>
      </c>
      <c r="AR535" s="2">
        <v>45739.302824074075</v>
      </c>
      <c r="AS535" s="2">
        <v>45990.538194444445</v>
      </c>
      <c r="AT535" t="s">
        <v>61</v>
      </c>
      <c r="AU535" t="s">
        <v>1357</v>
      </c>
      <c r="AV535">
        <v>251</v>
      </c>
    </row>
    <row r="536" spans="1:48" x14ac:dyDescent="0.25">
      <c r="A536">
        <v>235</v>
      </c>
      <c r="B536" t="s">
        <v>2218</v>
      </c>
      <c r="C536" t="s">
        <v>1645</v>
      </c>
      <c r="D536" t="s">
        <v>391</v>
      </c>
      <c r="E536" t="s">
        <v>2219</v>
      </c>
      <c r="F536" t="s">
        <v>2220</v>
      </c>
      <c r="G536" t="s">
        <v>104</v>
      </c>
      <c r="H536" s="1">
        <v>37013</v>
      </c>
      <c r="I536">
        <v>25</v>
      </c>
      <c r="J536">
        <v>2001</v>
      </c>
      <c r="K536" s="1">
        <v>45404</v>
      </c>
      <c r="L536">
        <v>2024</v>
      </c>
      <c r="M536" t="s">
        <v>54</v>
      </c>
      <c r="N536">
        <v>11</v>
      </c>
      <c r="O536" t="s">
        <v>378</v>
      </c>
      <c r="P536" t="s">
        <v>56</v>
      </c>
      <c r="Q536">
        <v>36</v>
      </c>
      <c r="R536">
        <v>4</v>
      </c>
      <c r="S536" t="s">
        <v>77</v>
      </c>
      <c r="T536" t="s">
        <v>78</v>
      </c>
      <c r="U536">
        <v>8</v>
      </c>
      <c r="V536">
        <v>8</v>
      </c>
      <c r="W536">
        <v>8</v>
      </c>
      <c r="X536">
        <v>8</v>
      </c>
      <c r="Y536">
        <v>2</v>
      </c>
      <c r="Z536">
        <v>8</v>
      </c>
      <c r="AA536">
        <v>3.125</v>
      </c>
      <c r="AB536">
        <v>25</v>
      </c>
      <c r="AC536" t="s">
        <v>70</v>
      </c>
      <c r="AD536" t="s">
        <v>60</v>
      </c>
      <c r="AE536">
        <v>4</v>
      </c>
      <c r="AF536">
        <v>0</v>
      </c>
      <c r="AG536">
        <v>0</v>
      </c>
      <c r="AH536">
        <v>3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7</v>
      </c>
      <c r="AP536">
        <v>1</v>
      </c>
      <c r="AQ536">
        <v>87.5</v>
      </c>
      <c r="AR536" s="2">
        <v>45734.558912037035</v>
      </c>
      <c r="AS536" s="2">
        <v>46063.636111111111</v>
      </c>
      <c r="AT536" t="s">
        <v>61</v>
      </c>
      <c r="AU536" t="s">
        <v>62</v>
      </c>
      <c r="AV536">
        <v>329</v>
      </c>
    </row>
    <row r="537" spans="1:48" x14ac:dyDescent="0.25">
      <c r="A537">
        <v>327</v>
      </c>
      <c r="B537" t="s">
        <v>2221</v>
      </c>
      <c r="C537" t="s">
        <v>1414</v>
      </c>
      <c r="D537" t="s">
        <v>2222</v>
      </c>
      <c r="E537" t="s">
        <v>2223</v>
      </c>
      <c r="F537">
        <f>1-481-638-5854</f>
        <v>-6972</v>
      </c>
      <c r="G537" t="s">
        <v>53</v>
      </c>
      <c r="H537" s="1">
        <v>37489</v>
      </c>
      <c r="I537">
        <v>24</v>
      </c>
      <c r="J537">
        <v>2002</v>
      </c>
      <c r="K537" s="1">
        <v>44875</v>
      </c>
      <c r="L537">
        <v>2022</v>
      </c>
      <c r="M537" t="s">
        <v>54</v>
      </c>
      <c r="N537">
        <v>12</v>
      </c>
      <c r="O537" t="s">
        <v>76</v>
      </c>
      <c r="P537" t="s">
        <v>69</v>
      </c>
      <c r="Q537">
        <v>60</v>
      </c>
      <c r="R537">
        <v>4</v>
      </c>
      <c r="S537" t="s">
        <v>77</v>
      </c>
      <c r="T537" t="s">
        <v>78</v>
      </c>
      <c r="U537">
        <v>8</v>
      </c>
      <c r="V537">
        <v>8</v>
      </c>
      <c r="W537">
        <v>8</v>
      </c>
      <c r="X537">
        <v>7</v>
      </c>
      <c r="Y537">
        <v>2</v>
      </c>
      <c r="Z537">
        <v>8</v>
      </c>
      <c r="AA537">
        <v>2.75</v>
      </c>
      <c r="AB537">
        <v>22</v>
      </c>
      <c r="AC537" t="s">
        <v>59</v>
      </c>
      <c r="AD537" t="s">
        <v>60</v>
      </c>
      <c r="AE537">
        <v>1</v>
      </c>
      <c r="AF537">
        <v>0</v>
      </c>
      <c r="AG537">
        <v>2</v>
      </c>
      <c r="AH537">
        <v>2</v>
      </c>
      <c r="AI537">
        <v>0</v>
      </c>
      <c r="AJ537">
        <v>0</v>
      </c>
      <c r="AK537">
        <v>2</v>
      </c>
      <c r="AL537">
        <v>0</v>
      </c>
      <c r="AM537">
        <v>1</v>
      </c>
      <c r="AN537">
        <v>0</v>
      </c>
      <c r="AO537">
        <v>8</v>
      </c>
      <c r="AP537">
        <v>0</v>
      </c>
      <c r="AQ537">
        <v>100</v>
      </c>
      <c r="AR537" s="2">
        <v>45806.100300925929</v>
      </c>
      <c r="AS537" s="2">
        <v>46021.432546296295</v>
      </c>
      <c r="AT537" t="s">
        <v>61</v>
      </c>
      <c r="AU537" t="s">
        <v>62</v>
      </c>
      <c r="AV537">
        <v>215</v>
      </c>
    </row>
    <row r="538" spans="1:48" x14ac:dyDescent="0.25">
      <c r="A538">
        <v>53</v>
      </c>
      <c r="B538" t="s">
        <v>2224</v>
      </c>
      <c r="C538" t="s">
        <v>1321</v>
      </c>
      <c r="D538" t="s">
        <v>514</v>
      </c>
      <c r="E538" t="s">
        <v>2225</v>
      </c>
      <c r="F538" t="s">
        <v>2226</v>
      </c>
      <c r="G538" t="s">
        <v>53</v>
      </c>
      <c r="H538" s="1">
        <v>35234</v>
      </c>
      <c r="I538">
        <v>30</v>
      </c>
      <c r="J538">
        <v>1996</v>
      </c>
      <c r="K538" s="1">
        <v>45626</v>
      </c>
      <c r="L538">
        <v>2024</v>
      </c>
      <c r="M538" t="s">
        <v>225</v>
      </c>
      <c r="N538">
        <v>8</v>
      </c>
      <c r="O538" t="s">
        <v>125</v>
      </c>
      <c r="P538" t="s">
        <v>56</v>
      </c>
      <c r="Q538">
        <v>36</v>
      </c>
      <c r="R538">
        <v>3</v>
      </c>
      <c r="S538" t="s">
        <v>126</v>
      </c>
      <c r="T538" t="s">
        <v>127</v>
      </c>
      <c r="U538">
        <v>8</v>
      </c>
      <c r="V538">
        <v>8</v>
      </c>
      <c r="W538">
        <v>8</v>
      </c>
      <c r="X538">
        <v>8</v>
      </c>
      <c r="Y538">
        <v>2</v>
      </c>
      <c r="Z538">
        <v>7</v>
      </c>
      <c r="AA538">
        <v>1.928571</v>
      </c>
      <c r="AB538">
        <v>13.5</v>
      </c>
      <c r="AC538" t="s">
        <v>59</v>
      </c>
      <c r="AD538" t="s">
        <v>112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1</v>
      </c>
      <c r="AK538">
        <v>3</v>
      </c>
      <c r="AL538">
        <v>0</v>
      </c>
      <c r="AM538">
        <v>2</v>
      </c>
      <c r="AN538">
        <v>0</v>
      </c>
      <c r="AO538">
        <v>7</v>
      </c>
      <c r="AP538">
        <v>0</v>
      </c>
      <c r="AQ538">
        <v>100</v>
      </c>
      <c r="AR538" s="2">
        <v>45740.909629629627</v>
      </c>
      <c r="AS538" s="2">
        <v>45993.844756944447</v>
      </c>
      <c r="AT538" t="s">
        <v>1357</v>
      </c>
      <c r="AU538" t="s">
        <v>62</v>
      </c>
      <c r="AV538">
        <v>253</v>
      </c>
    </row>
    <row r="539" spans="1:48" x14ac:dyDescent="0.25">
      <c r="A539">
        <v>380</v>
      </c>
      <c r="B539" t="s">
        <v>2227</v>
      </c>
      <c r="C539" t="s">
        <v>248</v>
      </c>
      <c r="D539" t="s">
        <v>2228</v>
      </c>
      <c r="E539" t="s">
        <v>2229</v>
      </c>
      <c r="F539" t="s">
        <v>2230</v>
      </c>
      <c r="G539" t="s">
        <v>104</v>
      </c>
      <c r="H539" s="1">
        <v>37092</v>
      </c>
      <c r="I539">
        <v>25</v>
      </c>
      <c r="J539">
        <v>2001</v>
      </c>
      <c r="K539" s="1">
        <v>45506</v>
      </c>
      <c r="L539">
        <v>2024</v>
      </c>
      <c r="M539" t="s">
        <v>111</v>
      </c>
      <c r="N539">
        <v>11</v>
      </c>
      <c r="O539" t="s">
        <v>378</v>
      </c>
      <c r="P539" t="s">
        <v>56</v>
      </c>
      <c r="Q539">
        <v>36</v>
      </c>
      <c r="R539">
        <v>4</v>
      </c>
      <c r="S539" t="s">
        <v>77</v>
      </c>
      <c r="T539" t="s">
        <v>78</v>
      </c>
      <c r="U539">
        <v>8</v>
      </c>
      <c r="V539">
        <v>8</v>
      </c>
      <c r="W539">
        <v>8</v>
      </c>
      <c r="X539">
        <v>7</v>
      </c>
      <c r="Y539">
        <v>2</v>
      </c>
      <c r="Z539">
        <v>5</v>
      </c>
      <c r="AA539">
        <v>2.4</v>
      </c>
      <c r="AB539">
        <v>12</v>
      </c>
      <c r="AC539" t="s">
        <v>70</v>
      </c>
      <c r="AD539" t="s">
        <v>60</v>
      </c>
      <c r="AE539">
        <v>1</v>
      </c>
      <c r="AF539">
        <v>0</v>
      </c>
      <c r="AG539">
        <v>0</v>
      </c>
      <c r="AH539">
        <v>2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1</v>
      </c>
      <c r="AO539">
        <v>4</v>
      </c>
      <c r="AP539">
        <v>1</v>
      </c>
      <c r="AQ539">
        <v>80</v>
      </c>
      <c r="AR539" s="2">
        <v>45744.176446759258</v>
      </c>
      <c r="AS539" s="2">
        <v>46017.328101851854</v>
      </c>
      <c r="AT539" t="s">
        <v>61</v>
      </c>
      <c r="AU539" t="s">
        <v>1357</v>
      </c>
      <c r="AV539">
        <v>273</v>
      </c>
    </row>
    <row r="540" spans="1:48" x14ac:dyDescent="0.25">
      <c r="A540">
        <v>963</v>
      </c>
      <c r="B540" t="s">
        <v>2231</v>
      </c>
      <c r="C540" t="s">
        <v>2232</v>
      </c>
      <c r="D540" t="s">
        <v>2233</v>
      </c>
      <c r="E540" t="s">
        <v>2234</v>
      </c>
      <c r="F540" t="s">
        <v>2235</v>
      </c>
      <c r="G540" t="s">
        <v>104</v>
      </c>
      <c r="H540" s="1">
        <v>38666</v>
      </c>
      <c r="I540">
        <v>21</v>
      </c>
      <c r="J540">
        <v>2005</v>
      </c>
      <c r="K540" s="1">
        <v>45051</v>
      </c>
      <c r="L540">
        <v>2023</v>
      </c>
      <c r="M540" t="s">
        <v>111</v>
      </c>
      <c r="N540">
        <v>10</v>
      </c>
      <c r="O540" t="s">
        <v>118</v>
      </c>
      <c r="P540" t="s">
        <v>119</v>
      </c>
      <c r="Q540">
        <v>120</v>
      </c>
      <c r="R540">
        <v>4</v>
      </c>
      <c r="S540" t="s">
        <v>77</v>
      </c>
      <c r="T540" t="s">
        <v>78</v>
      </c>
      <c r="U540">
        <v>8</v>
      </c>
      <c r="V540">
        <v>8</v>
      </c>
      <c r="W540">
        <v>8</v>
      </c>
      <c r="X540">
        <v>8</v>
      </c>
      <c r="Y540">
        <v>2</v>
      </c>
      <c r="Z540">
        <v>6</v>
      </c>
      <c r="AA540">
        <v>1.5833330000000001</v>
      </c>
      <c r="AB540">
        <v>9.5</v>
      </c>
      <c r="AC540" t="s">
        <v>70</v>
      </c>
      <c r="AD540" t="s">
        <v>112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1</v>
      </c>
      <c r="AK540">
        <v>2</v>
      </c>
      <c r="AL540">
        <v>0</v>
      </c>
      <c r="AM540">
        <v>0</v>
      </c>
      <c r="AN540">
        <v>2</v>
      </c>
      <c r="AO540">
        <v>4</v>
      </c>
      <c r="AP540">
        <v>2</v>
      </c>
      <c r="AQ540">
        <v>66.666666666666003</v>
      </c>
      <c r="AR540" s="2">
        <v>45742.702916666669</v>
      </c>
      <c r="AS540" s="2">
        <v>46077.124548611115</v>
      </c>
      <c r="AT540" t="s">
        <v>1357</v>
      </c>
      <c r="AU540" t="s">
        <v>62</v>
      </c>
      <c r="AV540">
        <v>335</v>
      </c>
    </row>
    <row r="541" spans="1:48" x14ac:dyDescent="0.25">
      <c r="A541">
        <v>278</v>
      </c>
      <c r="B541" t="s">
        <v>2236</v>
      </c>
      <c r="C541" t="s">
        <v>248</v>
      </c>
      <c r="D541" t="s">
        <v>855</v>
      </c>
      <c r="E541" t="s">
        <v>2237</v>
      </c>
      <c r="F541" t="s">
        <v>2238</v>
      </c>
      <c r="G541" t="s">
        <v>104</v>
      </c>
      <c r="H541" s="1">
        <v>39016</v>
      </c>
      <c r="I541">
        <v>20</v>
      </c>
      <c r="J541">
        <v>2006</v>
      </c>
      <c r="K541" s="1">
        <v>44990</v>
      </c>
      <c r="L541">
        <v>2023</v>
      </c>
      <c r="M541" t="s">
        <v>54</v>
      </c>
      <c r="N541">
        <v>2</v>
      </c>
      <c r="O541" t="s">
        <v>55</v>
      </c>
      <c r="P541" t="s">
        <v>56</v>
      </c>
      <c r="Q541">
        <v>36</v>
      </c>
      <c r="R541">
        <v>1</v>
      </c>
      <c r="S541" t="s">
        <v>57</v>
      </c>
      <c r="T541" t="s">
        <v>58</v>
      </c>
      <c r="U541">
        <v>8</v>
      </c>
      <c r="V541">
        <v>8</v>
      </c>
      <c r="W541">
        <v>8</v>
      </c>
      <c r="X541">
        <v>8</v>
      </c>
      <c r="Y541">
        <v>2</v>
      </c>
      <c r="Z541">
        <v>5</v>
      </c>
      <c r="AA541">
        <v>2.5</v>
      </c>
      <c r="AB541">
        <v>12.5</v>
      </c>
      <c r="AC541" t="s">
        <v>70</v>
      </c>
      <c r="AD541" t="s">
        <v>60</v>
      </c>
      <c r="AE541">
        <v>1</v>
      </c>
      <c r="AF541">
        <v>0</v>
      </c>
      <c r="AG541">
        <v>1</v>
      </c>
      <c r="AH541">
        <v>0</v>
      </c>
      <c r="AI541">
        <v>0</v>
      </c>
      <c r="AJ541">
        <v>2</v>
      </c>
      <c r="AK541">
        <v>0</v>
      </c>
      <c r="AL541">
        <v>0</v>
      </c>
      <c r="AM541">
        <v>0</v>
      </c>
      <c r="AN541">
        <v>1</v>
      </c>
      <c r="AO541">
        <v>4</v>
      </c>
      <c r="AP541">
        <v>1</v>
      </c>
      <c r="AQ541">
        <v>80</v>
      </c>
      <c r="AR541" s="2">
        <v>45783.084803240738</v>
      </c>
      <c r="AS541" s="2">
        <v>46002.916134259256</v>
      </c>
      <c r="AT541" t="s">
        <v>1357</v>
      </c>
      <c r="AU541" t="s">
        <v>62</v>
      </c>
      <c r="AV541">
        <v>219</v>
      </c>
    </row>
    <row r="542" spans="1:48" x14ac:dyDescent="0.25">
      <c r="A542">
        <v>653</v>
      </c>
      <c r="B542" t="s">
        <v>2239</v>
      </c>
      <c r="C542" t="s">
        <v>1276</v>
      </c>
      <c r="D542" t="s">
        <v>2240</v>
      </c>
      <c r="E542" t="s">
        <v>2241</v>
      </c>
      <c r="F542">
        <v>6032010272</v>
      </c>
      <c r="G542" t="s">
        <v>104</v>
      </c>
      <c r="H542" s="1">
        <v>36254</v>
      </c>
      <c r="I542">
        <v>27</v>
      </c>
      <c r="J542">
        <v>1999</v>
      </c>
      <c r="K542" s="1">
        <v>45505</v>
      </c>
      <c r="L542">
        <v>2024</v>
      </c>
      <c r="M542" t="s">
        <v>54</v>
      </c>
      <c r="N542">
        <v>18</v>
      </c>
      <c r="O542" t="s">
        <v>139</v>
      </c>
      <c r="P542" t="s">
        <v>69</v>
      </c>
      <c r="Q542">
        <v>60</v>
      </c>
      <c r="R542">
        <v>6</v>
      </c>
      <c r="S542" t="s">
        <v>140</v>
      </c>
      <c r="T542" t="s">
        <v>141</v>
      </c>
      <c r="U542">
        <v>7</v>
      </c>
      <c r="V542">
        <v>8</v>
      </c>
      <c r="W542">
        <v>8</v>
      </c>
      <c r="X542">
        <v>7</v>
      </c>
      <c r="Y542">
        <v>2</v>
      </c>
      <c r="Z542">
        <v>7</v>
      </c>
      <c r="AA542">
        <v>1.642857</v>
      </c>
      <c r="AB542">
        <v>11.5</v>
      </c>
      <c r="AC542" t="s">
        <v>70</v>
      </c>
      <c r="AD542" t="s">
        <v>1061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3</v>
      </c>
      <c r="AK542">
        <v>2</v>
      </c>
      <c r="AL542">
        <v>0</v>
      </c>
      <c r="AM542">
        <v>0</v>
      </c>
      <c r="AN542">
        <v>2</v>
      </c>
      <c r="AO542">
        <v>5</v>
      </c>
      <c r="AP542">
        <v>2</v>
      </c>
      <c r="AQ542">
        <v>71.428571428571004</v>
      </c>
      <c r="AR542" s="2">
        <v>45754.399236111109</v>
      </c>
      <c r="AS542" s="2">
        <v>46074.107870370368</v>
      </c>
      <c r="AT542" t="s">
        <v>1357</v>
      </c>
      <c r="AU542" t="s">
        <v>62</v>
      </c>
      <c r="AV542">
        <v>320</v>
      </c>
    </row>
    <row r="543" spans="1:48" x14ac:dyDescent="0.25">
      <c r="A543">
        <v>302</v>
      </c>
      <c r="B543" t="s">
        <v>2242</v>
      </c>
      <c r="C543" t="s">
        <v>978</v>
      </c>
      <c r="D543" t="s">
        <v>2243</v>
      </c>
      <c r="E543" t="s">
        <v>2244</v>
      </c>
      <c r="F543">
        <v>7387457620</v>
      </c>
      <c r="G543" t="s">
        <v>104</v>
      </c>
      <c r="H543" s="1">
        <v>36450</v>
      </c>
      <c r="I543">
        <v>27</v>
      </c>
      <c r="J543">
        <v>1999</v>
      </c>
      <c r="K543" s="1">
        <v>45066</v>
      </c>
      <c r="L543">
        <v>2023</v>
      </c>
      <c r="M543" t="s">
        <v>54</v>
      </c>
      <c r="N543">
        <v>11</v>
      </c>
      <c r="O543" t="s">
        <v>378</v>
      </c>
      <c r="P543" t="s">
        <v>56</v>
      </c>
      <c r="Q543">
        <v>36</v>
      </c>
      <c r="R543">
        <v>4</v>
      </c>
      <c r="S543" t="s">
        <v>77</v>
      </c>
      <c r="T543" t="s">
        <v>78</v>
      </c>
      <c r="U543">
        <v>8</v>
      </c>
      <c r="V543">
        <v>8</v>
      </c>
      <c r="W543">
        <v>8</v>
      </c>
      <c r="X543">
        <v>8</v>
      </c>
      <c r="Y543">
        <v>2</v>
      </c>
      <c r="Z543">
        <v>4</v>
      </c>
      <c r="AA543">
        <v>1.5</v>
      </c>
      <c r="AB543">
        <v>6</v>
      </c>
      <c r="AC543" t="s">
        <v>70</v>
      </c>
      <c r="AD543" t="s">
        <v>540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2</v>
      </c>
      <c r="AK543">
        <v>0</v>
      </c>
      <c r="AL543">
        <v>0</v>
      </c>
      <c r="AM543">
        <v>1</v>
      </c>
      <c r="AN543">
        <v>1</v>
      </c>
      <c r="AO543">
        <v>3</v>
      </c>
      <c r="AP543">
        <v>1</v>
      </c>
      <c r="AQ543">
        <v>75</v>
      </c>
      <c r="AR543" s="2">
        <v>45754.858888888892</v>
      </c>
      <c r="AS543" s="2">
        <v>46064.950972222221</v>
      </c>
      <c r="AT543" t="s">
        <v>1357</v>
      </c>
      <c r="AU543" t="s">
        <v>62</v>
      </c>
      <c r="AV543">
        <v>310</v>
      </c>
    </row>
    <row r="544" spans="1:48" x14ac:dyDescent="0.25">
      <c r="A544">
        <v>318</v>
      </c>
      <c r="B544" t="s">
        <v>2245</v>
      </c>
      <c r="C544" t="s">
        <v>725</v>
      </c>
      <c r="D544" t="s">
        <v>1024</v>
      </c>
      <c r="E544" t="s">
        <v>2246</v>
      </c>
      <c r="F544" t="s">
        <v>2247</v>
      </c>
      <c r="G544" t="s">
        <v>53</v>
      </c>
      <c r="H544" s="1">
        <v>37680</v>
      </c>
      <c r="I544">
        <v>23</v>
      </c>
      <c r="J544">
        <v>2003</v>
      </c>
      <c r="K544" s="1">
        <v>45350</v>
      </c>
      <c r="L544">
        <v>2024</v>
      </c>
      <c r="M544" t="s">
        <v>111</v>
      </c>
      <c r="N544">
        <v>6</v>
      </c>
      <c r="O544" t="s">
        <v>133</v>
      </c>
      <c r="P544" t="s">
        <v>69</v>
      </c>
      <c r="Q544">
        <v>60</v>
      </c>
      <c r="R544">
        <v>2</v>
      </c>
      <c r="S544" t="s">
        <v>85</v>
      </c>
      <c r="T544" t="s">
        <v>86</v>
      </c>
      <c r="U544">
        <v>8</v>
      </c>
      <c r="V544">
        <v>8</v>
      </c>
      <c r="W544">
        <v>8</v>
      </c>
      <c r="X544">
        <v>8</v>
      </c>
      <c r="Y544">
        <v>2</v>
      </c>
      <c r="Z544">
        <v>6</v>
      </c>
      <c r="AA544">
        <v>2.5</v>
      </c>
      <c r="AB544">
        <v>15</v>
      </c>
      <c r="AC544" t="s">
        <v>70</v>
      </c>
      <c r="AD544" t="s">
        <v>60</v>
      </c>
      <c r="AE544">
        <v>1</v>
      </c>
      <c r="AF544">
        <v>0</v>
      </c>
      <c r="AG544">
        <v>2</v>
      </c>
      <c r="AH544">
        <v>0</v>
      </c>
      <c r="AI544">
        <v>0</v>
      </c>
      <c r="AJ544">
        <v>0</v>
      </c>
      <c r="AK544">
        <v>2</v>
      </c>
      <c r="AL544">
        <v>0</v>
      </c>
      <c r="AM544">
        <v>0</v>
      </c>
      <c r="AN544">
        <v>1</v>
      </c>
      <c r="AO544">
        <v>5</v>
      </c>
      <c r="AP544">
        <v>1</v>
      </c>
      <c r="AQ544">
        <v>83.333333333333002</v>
      </c>
      <c r="AR544" s="2">
        <v>45724.281215277777</v>
      </c>
      <c r="AS544" s="2">
        <v>46047.971550925926</v>
      </c>
      <c r="AT544" t="s">
        <v>1357</v>
      </c>
      <c r="AU544" t="s">
        <v>62</v>
      </c>
      <c r="AV544">
        <v>323</v>
      </c>
    </row>
    <row r="545" spans="1:48" x14ac:dyDescent="0.25">
      <c r="A545">
        <v>370</v>
      </c>
      <c r="B545" t="s">
        <v>2248</v>
      </c>
      <c r="C545" t="s">
        <v>627</v>
      </c>
      <c r="D545" t="s">
        <v>726</v>
      </c>
      <c r="E545" t="s">
        <v>2249</v>
      </c>
      <c r="F545" t="s">
        <v>2250</v>
      </c>
      <c r="G545" t="s">
        <v>104</v>
      </c>
      <c r="H545" s="1">
        <v>37709</v>
      </c>
      <c r="I545">
        <v>23</v>
      </c>
      <c r="J545">
        <v>2003</v>
      </c>
      <c r="K545" s="1">
        <v>45115</v>
      </c>
      <c r="L545">
        <v>2023</v>
      </c>
      <c r="M545" t="s">
        <v>54</v>
      </c>
      <c r="N545">
        <v>3</v>
      </c>
      <c r="O545" t="s">
        <v>68</v>
      </c>
      <c r="P545" t="s">
        <v>69</v>
      </c>
      <c r="Q545">
        <v>60</v>
      </c>
      <c r="R545">
        <v>1</v>
      </c>
      <c r="S545" t="s">
        <v>57</v>
      </c>
      <c r="T545" t="s">
        <v>58</v>
      </c>
      <c r="U545">
        <v>8</v>
      </c>
      <c r="V545">
        <v>8</v>
      </c>
      <c r="W545">
        <v>8</v>
      </c>
      <c r="X545">
        <v>8</v>
      </c>
      <c r="Y545">
        <v>2</v>
      </c>
      <c r="Z545">
        <v>6</v>
      </c>
      <c r="AA545">
        <v>3.4166660000000002</v>
      </c>
      <c r="AB545">
        <v>20.5</v>
      </c>
      <c r="AC545" t="s">
        <v>540</v>
      </c>
      <c r="AD545" t="s">
        <v>60</v>
      </c>
      <c r="AE545">
        <v>2</v>
      </c>
      <c r="AF545">
        <v>0</v>
      </c>
      <c r="AG545">
        <v>2</v>
      </c>
      <c r="AH545">
        <v>1</v>
      </c>
      <c r="AI545">
        <v>0</v>
      </c>
      <c r="AJ545">
        <v>1</v>
      </c>
      <c r="AK545">
        <v>0</v>
      </c>
      <c r="AL545">
        <v>0</v>
      </c>
      <c r="AM545">
        <v>0</v>
      </c>
      <c r="AN545">
        <v>0</v>
      </c>
      <c r="AO545">
        <v>6</v>
      </c>
      <c r="AP545">
        <v>0</v>
      </c>
      <c r="AQ545">
        <v>100</v>
      </c>
      <c r="AR545" s="2">
        <v>45786.257060185184</v>
      </c>
      <c r="AS545" s="2">
        <v>46060.335810185185</v>
      </c>
      <c r="AT545" t="s">
        <v>61</v>
      </c>
      <c r="AU545" t="s">
        <v>1357</v>
      </c>
      <c r="AV545">
        <v>274</v>
      </c>
    </row>
    <row r="546" spans="1:48" x14ac:dyDescent="0.25">
      <c r="A546">
        <v>959</v>
      </c>
      <c r="B546" t="s">
        <v>2251</v>
      </c>
      <c r="C546" t="s">
        <v>1514</v>
      </c>
      <c r="D546" t="s">
        <v>2252</v>
      </c>
      <c r="E546" t="s">
        <v>2253</v>
      </c>
      <c r="F546" t="s">
        <v>2254</v>
      </c>
      <c r="G546" t="s">
        <v>104</v>
      </c>
      <c r="H546" s="1">
        <v>35750</v>
      </c>
      <c r="I546">
        <v>29</v>
      </c>
      <c r="J546">
        <v>1997</v>
      </c>
      <c r="K546" s="1">
        <v>45224</v>
      </c>
      <c r="L546">
        <v>2023</v>
      </c>
      <c r="M546" t="s">
        <v>54</v>
      </c>
      <c r="N546">
        <v>4</v>
      </c>
      <c r="O546" t="s">
        <v>215</v>
      </c>
      <c r="P546" t="s">
        <v>119</v>
      </c>
      <c r="Q546">
        <v>120</v>
      </c>
      <c r="R546">
        <v>2</v>
      </c>
      <c r="S546" t="s">
        <v>85</v>
      </c>
      <c r="T546" t="s">
        <v>86</v>
      </c>
      <c r="U546">
        <v>8</v>
      </c>
      <c r="V546">
        <v>8</v>
      </c>
      <c r="W546">
        <v>8</v>
      </c>
      <c r="X546">
        <v>6</v>
      </c>
      <c r="Y546">
        <v>2</v>
      </c>
      <c r="Z546">
        <v>8</v>
      </c>
      <c r="AA546">
        <v>2.3125</v>
      </c>
      <c r="AB546">
        <v>18.5</v>
      </c>
      <c r="AC546" t="s">
        <v>70</v>
      </c>
      <c r="AD546" t="s">
        <v>60</v>
      </c>
      <c r="AE546">
        <v>2</v>
      </c>
      <c r="AF546">
        <v>0</v>
      </c>
      <c r="AG546">
        <v>1</v>
      </c>
      <c r="AH546">
        <v>1</v>
      </c>
      <c r="AI546">
        <v>0</v>
      </c>
      <c r="AJ546">
        <v>0</v>
      </c>
      <c r="AK546">
        <v>2</v>
      </c>
      <c r="AL546">
        <v>0</v>
      </c>
      <c r="AM546">
        <v>0</v>
      </c>
      <c r="AN546">
        <v>2</v>
      </c>
      <c r="AO546">
        <v>6</v>
      </c>
      <c r="AP546">
        <v>2</v>
      </c>
      <c r="AQ546">
        <v>75</v>
      </c>
      <c r="AR546" s="2">
        <v>45823.917546296296</v>
      </c>
      <c r="AS546" s="2">
        <v>46075.587812500002</v>
      </c>
      <c r="AT546" t="s">
        <v>61</v>
      </c>
      <c r="AU546" t="s">
        <v>62</v>
      </c>
      <c r="AV546">
        <v>252</v>
      </c>
    </row>
    <row r="547" spans="1:48" x14ac:dyDescent="0.25">
      <c r="A547">
        <v>793</v>
      </c>
      <c r="B547" t="s">
        <v>2255</v>
      </c>
      <c r="C547" t="s">
        <v>556</v>
      </c>
      <c r="D547" t="s">
        <v>50</v>
      </c>
      <c r="E547" t="s">
        <v>2256</v>
      </c>
      <c r="F547" t="s">
        <v>2257</v>
      </c>
      <c r="G547" t="s">
        <v>104</v>
      </c>
      <c r="H547" s="1">
        <v>39373</v>
      </c>
      <c r="I547">
        <v>19</v>
      </c>
      <c r="J547">
        <v>2007</v>
      </c>
      <c r="K547" s="1">
        <v>44702</v>
      </c>
      <c r="L547">
        <v>2022</v>
      </c>
      <c r="M547" t="s">
        <v>54</v>
      </c>
      <c r="N547">
        <v>17</v>
      </c>
      <c r="O547" t="s">
        <v>350</v>
      </c>
      <c r="P547" t="s">
        <v>56</v>
      </c>
      <c r="Q547">
        <v>36</v>
      </c>
      <c r="R547">
        <v>6</v>
      </c>
      <c r="S547" t="s">
        <v>140</v>
      </c>
      <c r="T547" t="s">
        <v>141</v>
      </c>
      <c r="U547">
        <v>8</v>
      </c>
      <c r="V547">
        <v>8</v>
      </c>
      <c r="W547">
        <v>8</v>
      </c>
      <c r="X547">
        <v>7</v>
      </c>
      <c r="Y547">
        <v>2</v>
      </c>
      <c r="Z547">
        <v>5</v>
      </c>
      <c r="AA547">
        <v>1.7</v>
      </c>
      <c r="AB547">
        <v>8.5</v>
      </c>
      <c r="AC547" t="s">
        <v>70</v>
      </c>
      <c r="AD547" t="s">
        <v>60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1</v>
      </c>
      <c r="AK547">
        <v>1</v>
      </c>
      <c r="AL547">
        <v>0</v>
      </c>
      <c r="AM547">
        <v>0</v>
      </c>
      <c r="AN547">
        <v>2</v>
      </c>
      <c r="AO547">
        <v>3</v>
      </c>
      <c r="AP547">
        <v>2</v>
      </c>
      <c r="AQ547">
        <v>60</v>
      </c>
      <c r="AR547" s="2">
        <v>45725.793263888889</v>
      </c>
      <c r="AS547" s="2">
        <v>46040.094826388886</v>
      </c>
      <c r="AT547" t="s">
        <v>61</v>
      </c>
      <c r="AU547" t="s">
        <v>1357</v>
      </c>
      <c r="AV547">
        <v>315</v>
      </c>
    </row>
    <row r="548" spans="1:48" x14ac:dyDescent="0.25">
      <c r="A548">
        <v>499</v>
      </c>
      <c r="B548" t="s">
        <v>2258</v>
      </c>
      <c r="C548" t="s">
        <v>627</v>
      </c>
      <c r="D548" t="s">
        <v>709</v>
      </c>
      <c r="E548" t="s">
        <v>2259</v>
      </c>
      <c r="F548" t="s">
        <v>2260</v>
      </c>
      <c r="G548" t="s">
        <v>104</v>
      </c>
      <c r="H548" s="1">
        <v>36159</v>
      </c>
      <c r="I548">
        <v>28</v>
      </c>
      <c r="J548">
        <v>1998</v>
      </c>
      <c r="K548" s="1">
        <v>45406</v>
      </c>
      <c r="L548">
        <v>2024</v>
      </c>
      <c r="M548" t="s">
        <v>54</v>
      </c>
      <c r="N548">
        <v>15</v>
      </c>
      <c r="O548" t="s">
        <v>91</v>
      </c>
      <c r="P548" t="s">
        <v>69</v>
      </c>
      <c r="Q548">
        <v>60</v>
      </c>
      <c r="R548">
        <v>5</v>
      </c>
      <c r="S548" t="s">
        <v>92</v>
      </c>
      <c r="T548" t="s">
        <v>93</v>
      </c>
      <c r="U548">
        <v>8</v>
      </c>
      <c r="V548">
        <v>8</v>
      </c>
      <c r="W548">
        <v>8</v>
      </c>
      <c r="X548">
        <v>8</v>
      </c>
      <c r="Y548">
        <v>2</v>
      </c>
      <c r="Z548">
        <v>4</v>
      </c>
      <c r="AA548">
        <v>2.625</v>
      </c>
      <c r="AB548">
        <v>10.5</v>
      </c>
      <c r="AC548" t="s">
        <v>540</v>
      </c>
      <c r="AD548" t="s">
        <v>112</v>
      </c>
      <c r="AE548">
        <v>0</v>
      </c>
      <c r="AF548">
        <v>0</v>
      </c>
      <c r="AG548">
        <v>0</v>
      </c>
      <c r="AH548">
        <v>2</v>
      </c>
      <c r="AI548">
        <v>0</v>
      </c>
      <c r="AJ548">
        <v>1</v>
      </c>
      <c r="AK548">
        <v>1</v>
      </c>
      <c r="AL548">
        <v>0</v>
      </c>
      <c r="AM548">
        <v>0</v>
      </c>
      <c r="AN548">
        <v>0</v>
      </c>
      <c r="AO548">
        <v>4</v>
      </c>
      <c r="AP548">
        <v>0</v>
      </c>
      <c r="AQ548">
        <v>100</v>
      </c>
      <c r="AR548" s="2">
        <v>45732.314745370371</v>
      </c>
      <c r="AS548" s="2">
        <v>46065.953564814816</v>
      </c>
      <c r="AT548" t="s">
        <v>1357</v>
      </c>
      <c r="AU548" t="s">
        <v>62</v>
      </c>
      <c r="AV548">
        <v>333</v>
      </c>
    </row>
    <row r="549" spans="1:48" x14ac:dyDescent="0.25">
      <c r="A549">
        <v>858</v>
      </c>
      <c r="B549" t="s">
        <v>2261</v>
      </c>
      <c r="C549" t="s">
        <v>2262</v>
      </c>
      <c r="D549" t="s">
        <v>450</v>
      </c>
      <c r="E549" t="s">
        <v>2263</v>
      </c>
      <c r="F549" t="s">
        <v>2264</v>
      </c>
      <c r="G549" t="s">
        <v>53</v>
      </c>
      <c r="H549" s="1">
        <v>38254</v>
      </c>
      <c r="I549">
        <v>22</v>
      </c>
      <c r="J549">
        <v>2004</v>
      </c>
      <c r="K549" s="1">
        <v>45131</v>
      </c>
      <c r="L549">
        <v>2023</v>
      </c>
      <c r="M549" t="s">
        <v>54</v>
      </c>
      <c r="N549">
        <v>11</v>
      </c>
      <c r="O549" t="s">
        <v>378</v>
      </c>
      <c r="P549" t="s">
        <v>56</v>
      </c>
      <c r="Q549">
        <v>36</v>
      </c>
      <c r="R549">
        <v>4</v>
      </c>
      <c r="S549" t="s">
        <v>77</v>
      </c>
      <c r="T549" t="s">
        <v>78</v>
      </c>
      <c r="U549">
        <v>8</v>
      </c>
      <c r="V549">
        <v>8</v>
      </c>
      <c r="W549">
        <v>8</v>
      </c>
      <c r="X549">
        <v>8</v>
      </c>
      <c r="Y549">
        <v>2</v>
      </c>
      <c r="Z549">
        <v>6</v>
      </c>
      <c r="AA549">
        <v>0.33333299999999999</v>
      </c>
      <c r="AB549">
        <v>2</v>
      </c>
      <c r="AC549" t="s">
        <v>70</v>
      </c>
      <c r="AD549" t="s">
        <v>59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2</v>
      </c>
      <c r="AN549">
        <v>4</v>
      </c>
      <c r="AO549">
        <v>2</v>
      </c>
      <c r="AP549">
        <v>4</v>
      </c>
      <c r="AQ549">
        <v>33.333333333333002</v>
      </c>
      <c r="AR549" s="2">
        <v>45744.577523148146</v>
      </c>
      <c r="AS549" s="2">
        <v>46076.674490740741</v>
      </c>
      <c r="AT549" t="s">
        <v>61</v>
      </c>
      <c r="AU549" t="s">
        <v>1357</v>
      </c>
      <c r="AV549">
        <v>332</v>
      </c>
    </row>
    <row r="550" spans="1:48" x14ac:dyDescent="0.25">
      <c r="A550">
        <v>133</v>
      </c>
      <c r="B550" t="s">
        <v>2265</v>
      </c>
      <c r="C550" t="s">
        <v>733</v>
      </c>
      <c r="D550" t="s">
        <v>167</v>
      </c>
      <c r="E550" t="s">
        <v>2266</v>
      </c>
      <c r="F550" t="s">
        <v>2267</v>
      </c>
      <c r="G550" t="s">
        <v>53</v>
      </c>
      <c r="H550" s="1">
        <v>35269</v>
      </c>
      <c r="I550">
        <v>30</v>
      </c>
      <c r="J550">
        <v>1996</v>
      </c>
      <c r="K550" s="1">
        <v>44632</v>
      </c>
      <c r="L550">
        <v>2022</v>
      </c>
      <c r="M550" t="s">
        <v>111</v>
      </c>
      <c r="N550">
        <v>15</v>
      </c>
      <c r="O550" t="s">
        <v>91</v>
      </c>
      <c r="P550" t="s">
        <v>69</v>
      </c>
      <c r="Q550">
        <v>60</v>
      </c>
      <c r="R550">
        <v>5</v>
      </c>
      <c r="S550" t="s">
        <v>92</v>
      </c>
      <c r="T550" t="s">
        <v>93</v>
      </c>
      <c r="U550">
        <v>8</v>
      </c>
      <c r="V550">
        <v>8</v>
      </c>
      <c r="W550">
        <v>8</v>
      </c>
      <c r="X550">
        <v>8</v>
      </c>
      <c r="Y550">
        <v>2</v>
      </c>
      <c r="Z550">
        <v>8</v>
      </c>
      <c r="AA550">
        <v>2.4375</v>
      </c>
      <c r="AB550">
        <v>19.5</v>
      </c>
      <c r="AC550" t="s">
        <v>70</v>
      </c>
      <c r="AD550" t="s">
        <v>60</v>
      </c>
      <c r="AE550">
        <v>2</v>
      </c>
      <c r="AF550">
        <v>0</v>
      </c>
      <c r="AG550">
        <v>0</v>
      </c>
      <c r="AH550">
        <v>1</v>
      </c>
      <c r="AI550">
        <v>0</v>
      </c>
      <c r="AJ550">
        <v>1</v>
      </c>
      <c r="AK550">
        <v>3</v>
      </c>
      <c r="AL550">
        <v>0</v>
      </c>
      <c r="AM550">
        <v>0</v>
      </c>
      <c r="AN550">
        <v>1</v>
      </c>
      <c r="AO550">
        <v>7</v>
      </c>
      <c r="AP550">
        <v>1</v>
      </c>
      <c r="AQ550">
        <v>87.5</v>
      </c>
      <c r="AR550" s="2">
        <v>45766.440787037034</v>
      </c>
      <c r="AS550" s="2">
        <v>45995.728472222225</v>
      </c>
      <c r="AT550" t="s">
        <v>61</v>
      </c>
      <c r="AU550" t="s">
        <v>62</v>
      </c>
      <c r="AV550">
        <v>229</v>
      </c>
    </row>
    <row r="551" spans="1:48" x14ac:dyDescent="0.25">
      <c r="A551">
        <v>183</v>
      </c>
      <c r="B551" t="s">
        <v>2268</v>
      </c>
      <c r="C551" t="s">
        <v>2269</v>
      </c>
      <c r="D551" t="s">
        <v>248</v>
      </c>
      <c r="E551" t="s">
        <v>2270</v>
      </c>
      <c r="F551" t="s">
        <v>2271</v>
      </c>
      <c r="G551" t="s">
        <v>53</v>
      </c>
      <c r="H551" s="1">
        <v>36335</v>
      </c>
      <c r="I551">
        <v>27</v>
      </c>
      <c r="J551">
        <v>1999</v>
      </c>
      <c r="K551" s="1">
        <v>44738</v>
      </c>
      <c r="L551">
        <v>2022</v>
      </c>
      <c r="M551" t="s">
        <v>54</v>
      </c>
      <c r="N551">
        <v>20</v>
      </c>
      <c r="O551" t="s">
        <v>180</v>
      </c>
      <c r="P551" t="s">
        <v>56</v>
      </c>
      <c r="Q551">
        <v>36</v>
      </c>
      <c r="R551">
        <v>7</v>
      </c>
      <c r="S551" t="s">
        <v>163</v>
      </c>
      <c r="T551" t="s">
        <v>164</v>
      </c>
      <c r="U551">
        <v>8</v>
      </c>
      <c r="V551">
        <v>8</v>
      </c>
      <c r="W551">
        <v>8</v>
      </c>
      <c r="X551">
        <v>8</v>
      </c>
      <c r="Y551">
        <v>2</v>
      </c>
      <c r="Z551">
        <v>6</v>
      </c>
      <c r="AA551">
        <v>1.916666</v>
      </c>
      <c r="AB551">
        <v>11.5</v>
      </c>
      <c r="AC551" t="s">
        <v>70</v>
      </c>
      <c r="AD551" t="s">
        <v>112</v>
      </c>
      <c r="AE551">
        <v>0</v>
      </c>
      <c r="AF551">
        <v>0</v>
      </c>
      <c r="AG551">
        <v>1</v>
      </c>
      <c r="AH551">
        <v>2</v>
      </c>
      <c r="AI551">
        <v>0</v>
      </c>
      <c r="AJ551">
        <v>0</v>
      </c>
      <c r="AK551">
        <v>0</v>
      </c>
      <c r="AL551">
        <v>0</v>
      </c>
      <c r="AM551">
        <v>2</v>
      </c>
      <c r="AN551">
        <v>1</v>
      </c>
      <c r="AO551">
        <v>5</v>
      </c>
      <c r="AP551">
        <v>1</v>
      </c>
      <c r="AQ551">
        <v>83.333333333333002</v>
      </c>
      <c r="AR551" s="2">
        <v>45754.775358796294</v>
      </c>
      <c r="AS551" s="2">
        <v>46077.376423611109</v>
      </c>
      <c r="AT551" t="s">
        <v>1357</v>
      </c>
      <c r="AU551" t="s">
        <v>62</v>
      </c>
      <c r="AV551">
        <v>323</v>
      </c>
    </row>
    <row r="552" spans="1:48" x14ac:dyDescent="0.25">
      <c r="A552">
        <v>353</v>
      </c>
      <c r="B552" t="s">
        <v>2272</v>
      </c>
      <c r="C552" t="s">
        <v>2273</v>
      </c>
      <c r="D552" t="s">
        <v>420</v>
      </c>
      <c r="E552" t="s">
        <v>2274</v>
      </c>
      <c r="F552">
        <f>1-755-346-158</f>
        <v>-1258</v>
      </c>
      <c r="G552" t="s">
        <v>53</v>
      </c>
      <c r="H552" s="1">
        <v>38757</v>
      </c>
      <c r="I552">
        <v>20</v>
      </c>
      <c r="J552">
        <v>2006</v>
      </c>
      <c r="K552" s="1">
        <v>45736</v>
      </c>
      <c r="L552">
        <v>2025</v>
      </c>
      <c r="M552" t="s">
        <v>54</v>
      </c>
      <c r="N552">
        <v>19</v>
      </c>
      <c r="O552" t="s">
        <v>162</v>
      </c>
      <c r="P552" t="s">
        <v>119</v>
      </c>
      <c r="Q552">
        <v>120</v>
      </c>
      <c r="R552">
        <v>7</v>
      </c>
      <c r="S552" t="s">
        <v>163</v>
      </c>
      <c r="T552" t="s">
        <v>164</v>
      </c>
      <c r="U552">
        <v>8</v>
      </c>
      <c r="V552">
        <v>8</v>
      </c>
      <c r="W552">
        <v>8</v>
      </c>
      <c r="X552">
        <v>8</v>
      </c>
      <c r="Y552">
        <v>2</v>
      </c>
      <c r="Z552">
        <v>8</v>
      </c>
      <c r="AA552">
        <v>2.625</v>
      </c>
      <c r="AB552">
        <v>21</v>
      </c>
      <c r="AC552" t="s">
        <v>59</v>
      </c>
      <c r="AD552" t="s">
        <v>60</v>
      </c>
      <c r="AE552">
        <v>3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2</v>
      </c>
      <c r="AL552">
        <v>0</v>
      </c>
      <c r="AM552">
        <v>2</v>
      </c>
      <c r="AN552">
        <v>0</v>
      </c>
      <c r="AO552">
        <v>8</v>
      </c>
      <c r="AP552">
        <v>0</v>
      </c>
      <c r="AQ552">
        <v>100</v>
      </c>
      <c r="AR552" s="2">
        <v>45728.968506944446</v>
      </c>
      <c r="AS552" s="2">
        <v>46035.540671296294</v>
      </c>
      <c r="AT552" t="s">
        <v>61</v>
      </c>
      <c r="AU552" t="s">
        <v>62</v>
      </c>
      <c r="AV552">
        <v>307</v>
      </c>
    </row>
    <row r="553" spans="1:48" x14ac:dyDescent="0.25">
      <c r="A553">
        <v>139</v>
      </c>
      <c r="B553" t="s">
        <v>2275</v>
      </c>
      <c r="C553" t="s">
        <v>1534</v>
      </c>
      <c r="D553" t="s">
        <v>2276</v>
      </c>
      <c r="E553" t="s">
        <v>2277</v>
      </c>
      <c r="F553" t="s">
        <v>2278</v>
      </c>
      <c r="G553" t="s">
        <v>104</v>
      </c>
      <c r="H553" s="1">
        <v>37344</v>
      </c>
      <c r="I553">
        <v>24</v>
      </c>
      <c r="J553">
        <v>2002</v>
      </c>
      <c r="K553" s="1">
        <v>45780</v>
      </c>
      <c r="L553">
        <v>2025</v>
      </c>
      <c r="M553" t="s">
        <v>54</v>
      </c>
      <c r="N553">
        <v>5</v>
      </c>
      <c r="O553" t="s">
        <v>84</v>
      </c>
      <c r="P553" t="s">
        <v>56</v>
      </c>
      <c r="Q553">
        <v>36</v>
      </c>
      <c r="R553">
        <v>2</v>
      </c>
      <c r="S553" t="s">
        <v>85</v>
      </c>
      <c r="T553" t="s">
        <v>86</v>
      </c>
      <c r="U553">
        <v>8</v>
      </c>
      <c r="V553">
        <v>8</v>
      </c>
      <c r="W553">
        <v>8</v>
      </c>
      <c r="X553">
        <v>8</v>
      </c>
      <c r="Y553">
        <v>2</v>
      </c>
      <c r="Z553">
        <v>6</v>
      </c>
      <c r="AA553">
        <v>2.5</v>
      </c>
      <c r="AB553">
        <v>15</v>
      </c>
      <c r="AC553" t="s">
        <v>59</v>
      </c>
      <c r="AD553" t="s">
        <v>60</v>
      </c>
      <c r="AE553">
        <v>1</v>
      </c>
      <c r="AF553">
        <v>0</v>
      </c>
      <c r="AG553">
        <v>0</v>
      </c>
      <c r="AH553">
        <v>1</v>
      </c>
      <c r="AI553">
        <v>0</v>
      </c>
      <c r="AJ553">
        <v>2</v>
      </c>
      <c r="AK553">
        <v>1</v>
      </c>
      <c r="AL553">
        <v>0</v>
      </c>
      <c r="AM553">
        <v>1</v>
      </c>
      <c r="AN553">
        <v>0</v>
      </c>
      <c r="AO553">
        <v>6</v>
      </c>
      <c r="AP553">
        <v>0</v>
      </c>
      <c r="AQ553">
        <v>100</v>
      </c>
      <c r="AR553" s="2">
        <v>45733.494039351855</v>
      </c>
      <c r="AS553" s="2">
        <v>46030.651388888888</v>
      </c>
      <c r="AT553" t="s">
        <v>61</v>
      </c>
      <c r="AU553" t="s">
        <v>1357</v>
      </c>
      <c r="AV553">
        <v>297</v>
      </c>
    </row>
    <row r="554" spans="1:48" x14ac:dyDescent="0.25">
      <c r="A554">
        <v>829</v>
      </c>
      <c r="B554" t="s">
        <v>2279</v>
      </c>
      <c r="C554" t="s">
        <v>2280</v>
      </c>
      <c r="D554" t="s">
        <v>2281</v>
      </c>
      <c r="E554" t="s">
        <v>2282</v>
      </c>
      <c r="F554" t="s">
        <v>2283</v>
      </c>
      <c r="G554" t="s">
        <v>104</v>
      </c>
      <c r="H554" s="1">
        <v>37638</v>
      </c>
      <c r="I554">
        <v>23</v>
      </c>
      <c r="J554">
        <v>2003</v>
      </c>
      <c r="K554" s="1">
        <v>44896</v>
      </c>
      <c r="L554">
        <v>2022</v>
      </c>
      <c r="M554" t="s">
        <v>54</v>
      </c>
      <c r="N554">
        <v>2</v>
      </c>
      <c r="O554" t="s">
        <v>55</v>
      </c>
      <c r="P554" t="s">
        <v>56</v>
      </c>
      <c r="Q554">
        <v>36</v>
      </c>
      <c r="R554">
        <v>1</v>
      </c>
      <c r="S554" t="s">
        <v>57</v>
      </c>
      <c r="T554" t="s">
        <v>58</v>
      </c>
      <c r="U554">
        <v>8</v>
      </c>
      <c r="V554">
        <v>8</v>
      </c>
      <c r="W554">
        <v>8</v>
      </c>
      <c r="X554">
        <v>6</v>
      </c>
      <c r="Y554">
        <v>2</v>
      </c>
      <c r="Z554">
        <v>7</v>
      </c>
      <c r="AA554">
        <v>3.071428</v>
      </c>
      <c r="AB554">
        <v>21.5</v>
      </c>
      <c r="AC554" t="s">
        <v>59</v>
      </c>
      <c r="AD554" t="s">
        <v>60</v>
      </c>
      <c r="AE554">
        <v>2</v>
      </c>
      <c r="AF554">
        <v>0</v>
      </c>
      <c r="AG554">
        <v>2</v>
      </c>
      <c r="AH554">
        <v>1</v>
      </c>
      <c r="AI554">
        <v>0</v>
      </c>
      <c r="AJ554">
        <v>1</v>
      </c>
      <c r="AK554">
        <v>0</v>
      </c>
      <c r="AL554">
        <v>0</v>
      </c>
      <c r="AM554">
        <v>1</v>
      </c>
      <c r="AN554">
        <v>0</v>
      </c>
      <c r="AO554">
        <v>7</v>
      </c>
      <c r="AP554">
        <v>0</v>
      </c>
      <c r="AQ554">
        <v>100</v>
      </c>
      <c r="AR554" s="2">
        <v>45737.698807870373</v>
      </c>
      <c r="AS554" s="2">
        <v>45991.335416666669</v>
      </c>
      <c r="AT554" t="s">
        <v>61</v>
      </c>
      <c r="AU554" t="s">
        <v>1357</v>
      </c>
      <c r="AV554">
        <v>254</v>
      </c>
    </row>
    <row r="555" spans="1:48" x14ac:dyDescent="0.25">
      <c r="A555">
        <v>936</v>
      </c>
      <c r="B555" t="s">
        <v>2284</v>
      </c>
      <c r="C555" t="s">
        <v>266</v>
      </c>
      <c r="D555" t="s">
        <v>347</v>
      </c>
      <c r="E555" t="s">
        <v>2285</v>
      </c>
      <c r="F555" t="s">
        <v>2286</v>
      </c>
      <c r="G555" t="s">
        <v>53</v>
      </c>
      <c r="H555" s="1">
        <v>35448</v>
      </c>
      <c r="I555">
        <v>29</v>
      </c>
      <c r="J555">
        <v>1997</v>
      </c>
      <c r="K555" s="1">
        <v>45683</v>
      </c>
      <c r="L555">
        <v>2025</v>
      </c>
      <c r="M555" t="s">
        <v>54</v>
      </c>
      <c r="N555">
        <v>11</v>
      </c>
      <c r="O555" t="s">
        <v>378</v>
      </c>
      <c r="P555" t="s">
        <v>56</v>
      </c>
      <c r="Q555">
        <v>36</v>
      </c>
      <c r="R555">
        <v>4</v>
      </c>
      <c r="S555" t="s">
        <v>77</v>
      </c>
      <c r="T555" t="s">
        <v>78</v>
      </c>
      <c r="U555">
        <v>8</v>
      </c>
      <c r="V555">
        <v>8</v>
      </c>
      <c r="W555">
        <v>8</v>
      </c>
      <c r="X555">
        <v>8</v>
      </c>
      <c r="Y555">
        <v>2</v>
      </c>
      <c r="Z555">
        <v>6</v>
      </c>
      <c r="AA555">
        <v>2.75</v>
      </c>
      <c r="AB555">
        <v>16.5</v>
      </c>
      <c r="AC555" t="s">
        <v>540</v>
      </c>
      <c r="AD555" t="s">
        <v>60</v>
      </c>
      <c r="AE555">
        <v>1</v>
      </c>
      <c r="AF555">
        <v>0</v>
      </c>
      <c r="AG555">
        <v>0</v>
      </c>
      <c r="AH555">
        <v>1</v>
      </c>
      <c r="AI555">
        <v>0</v>
      </c>
      <c r="AJ555">
        <v>3</v>
      </c>
      <c r="AK555">
        <v>1</v>
      </c>
      <c r="AL555">
        <v>0</v>
      </c>
      <c r="AM555">
        <v>0</v>
      </c>
      <c r="AN555">
        <v>0</v>
      </c>
      <c r="AO555">
        <v>6</v>
      </c>
      <c r="AP555">
        <v>0</v>
      </c>
      <c r="AQ555">
        <v>100</v>
      </c>
      <c r="AR555" s="2">
        <v>45726.386712962965</v>
      </c>
      <c r="AS555" s="2">
        <v>46056.55327546296</v>
      </c>
      <c r="AT555" t="s">
        <v>1357</v>
      </c>
      <c r="AU555" t="s">
        <v>62</v>
      </c>
      <c r="AV555">
        <v>330</v>
      </c>
    </row>
    <row r="556" spans="1:48" x14ac:dyDescent="0.25">
      <c r="A556">
        <v>735</v>
      </c>
      <c r="B556" t="s">
        <v>2287</v>
      </c>
      <c r="C556" t="s">
        <v>143</v>
      </c>
      <c r="D556" t="s">
        <v>803</v>
      </c>
      <c r="E556" t="s">
        <v>2288</v>
      </c>
      <c r="F556" t="s">
        <v>2289</v>
      </c>
      <c r="G556" t="s">
        <v>53</v>
      </c>
      <c r="H556" s="1">
        <v>38318</v>
      </c>
      <c r="I556">
        <v>22</v>
      </c>
      <c r="J556">
        <v>2004</v>
      </c>
      <c r="K556" s="1">
        <v>45621</v>
      </c>
      <c r="L556">
        <v>2024</v>
      </c>
      <c r="M556" t="s">
        <v>54</v>
      </c>
      <c r="N556">
        <v>10</v>
      </c>
      <c r="O556" t="s">
        <v>118</v>
      </c>
      <c r="P556" t="s">
        <v>119</v>
      </c>
      <c r="Q556">
        <v>120</v>
      </c>
      <c r="R556">
        <v>4</v>
      </c>
      <c r="S556" t="s">
        <v>77</v>
      </c>
      <c r="T556" t="s">
        <v>78</v>
      </c>
      <c r="U556">
        <v>8</v>
      </c>
      <c r="V556">
        <v>8</v>
      </c>
      <c r="W556">
        <v>8</v>
      </c>
      <c r="X556">
        <v>8</v>
      </c>
      <c r="Y556">
        <v>2</v>
      </c>
      <c r="Z556">
        <v>8</v>
      </c>
      <c r="AA556">
        <v>2.4375</v>
      </c>
      <c r="AB556">
        <v>19.5</v>
      </c>
      <c r="AC556" t="s">
        <v>70</v>
      </c>
      <c r="AD556" t="s">
        <v>60</v>
      </c>
      <c r="AE556">
        <v>2</v>
      </c>
      <c r="AF556">
        <v>0</v>
      </c>
      <c r="AG556">
        <v>1</v>
      </c>
      <c r="AH556">
        <v>1</v>
      </c>
      <c r="AI556">
        <v>0</v>
      </c>
      <c r="AJ556">
        <v>0</v>
      </c>
      <c r="AK556">
        <v>2</v>
      </c>
      <c r="AL556">
        <v>0</v>
      </c>
      <c r="AM556">
        <v>1</v>
      </c>
      <c r="AN556">
        <v>1</v>
      </c>
      <c r="AO556">
        <v>7</v>
      </c>
      <c r="AP556">
        <v>1</v>
      </c>
      <c r="AQ556">
        <v>87.5</v>
      </c>
      <c r="AR556" s="2">
        <v>45724.422766203701</v>
      </c>
      <c r="AS556" s="2">
        <v>46045.372210648151</v>
      </c>
      <c r="AT556" t="s">
        <v>61</v>
      </c>
      <c r="AU556" t="s">
        <v>62</v>
      </c>
      <c r="AV556">
        <v>321</v>
      </c>
    </row>
    <row r="557" spans="1:48" x14ac:dyDescent="0.25">
      <c r="A557">
        <v>835</v>
      </c>
      <c r="B557" t="s">
        <v>2290</v>
      </c>
      <c r="C557" t="s">
        <v>854</v>
      </c>
      <c r="D557" t="s">
        <v>172</v>
      </c>
      <c r="E557" t="s">
        <v>2291</v>
      </c>
      <c r="F557" t="s">
        <v>2292</v>
      </c>
      <c r="G557" t="s">
        <v>104</v>
      </c>
      <c r="H557" s="1">
        <v>35474</v>
      </c>
      <c r="I557">
        <v>29</v>
      </c>
      <c r="J557">
        <v>1997</v>
      </c>
      <c r="K557" s="1">
        <v>45117</v>
      </c>
      <c r="L557">
        <v>2023</v>
      </c>
      <c r="M557" t="s">
        <v>54</v>
      </c>
      <c r="N557">
        <v>13</v>
      </c>
      <c r="O557" t="s">
        <v>146</v>
      </c>
      <c r="P557" t="s">
        <v>119</v>
      </c>
      <c r="Q557">
        <v>120</v>
      </c>
      <c r="R557">
        <v>5</v>
      </c>
      <c r="S557" t="s">
        <v>92</v>
      </c>
      <c r="T557" t="s">
        <v>93</v>
      </c>
      <c r="U557">
        <v>7</v>
      </c>
      <c r="V557">
        <v>8</v>
      </c>
      <c r="W557">
        <v>8</v>
      </c>
      <c r="X557">
        <v>8</v>
      </c>
      <c r="Y557">
        <v>2</v>
      </c>
      <c r="Z557">
        <v>7</v>
      </c>
      <c r="AA557">
        <v>2.571428</v>
      </c>
      <c r="AB557">
        <v>18</v>
      </c>
      <c r="AC557" t="s">
        <v>59</v>
      </c>
      <c r="AD557" t="s">
        <v>60</v>
      </c>
      <c r="AE557">
        <v>1</v>
      </c>
      <c r="AF557">
        <v>0</v>
      </c>
      <c r="AG557">
        <v>1</v>
      </c>
      <c r="AH557">
        <v>1</v>
      </c>
      <c r="AI557">
        <v>0</v>
      </c>
      <c r="AJ557">
        <v>1</v>
      </c>
      <c r="AK557">
        <v>2</v>
      </c>
      <c r="AL557">
        <v>0</v>
      </c>
      <c r="AM557">
        <v>1</v>
      </c>
      <c r="AN557">
        <v>0</v>
      </c>
      <c r="AO557">
        <v>7</v>
      </c>
      <c r="AP557">
        <v>0</v>
      </c>
      <c r="AQ557">
        <v>100</v>
      </c>
      <c r="AR557" s="2">
        <v>45817.573912037034</v>
      </c>
      <c r="AS557" s="2">
        <v>46082.837199074071</v>
      </c>
      <c r="AT557" t="s">
        <v>1357</v>
      </c>
      <c r="AU557" t="s">
        <v>62</v>
      </c>
      <c r="AV557">
        <v>265</v>
      </c>
    </row>
    <row r="558" spans="1:48" x14ac:dyDescent="0.25">
      <c r="A558">
        <v>226</v>
      </c>
      <c r="B558" t="s">
        <v>2293</v>
      </c>
      <c r="C558" t="s">
        <v>2294</v>
      </c>
      <c r="D558" t="s">
        <v>1024</v>
      </c>
      <c r="E558" t="s">
        <v>2295</v>
      </c>
      <c r="F558" t="s">
        <v>2296</v>
      </c>
      <c r="G558" t="s">
        <v>53</v>
      </c>
      <c r="H558" s="1">
        <v>38628</v>
      </c>
      <c r="I558">
        <v>21</v>
      </c>
      <c r="J558">
        <v>2005</v>
      </c>
      <c r="K558" s="1">
        <v>44774</v>
      </c>
      <c r="L558">
        <v>2022</v>
      </c>
      <c r="M558" t="s">
        <v>54</v>
      </c>
      <c r="N558">
        <v>3</v>
      </c>
      <c r="O558" t="s">
        <v>68</v>
      </c>
      <c r="P558" t="s">
        <v>69</v>
      </c>
      <c r="Q558">
        <v>60</v>
      </c>
      <c r="R558">
        <v>1</v>
      </c>
      <c r="S558" t="s">
        <v>57</v>
      </c>
      <c r="T558" t="s">
        <v>58</v>
      </c>
      <c r="U558">
        <v>7</v>
      </c>
      <c r="V558">
        <v>8</v>
      </c>
      <c r="W558">
        <v>8</v>
      </c>
      <c r="X558">
        <v>8</v>
      </c>
      <c r="Y558">
        <v>2</v>
      </c>
      <c r="Z558">
        <v>8</v>
      </c>
      <c r="AA558">
        <v>2.8125</v>
      </c>
      <c r="AB558">
        <v>22.5</v>
      </c>
      <c r="AC558" t="s">
        <v>70</v>
      </c>
      <c r="AD558" t="s">
        <v>60</v>
      </c>
      <c r="AE558">
        <v>3</v>
      </c>
      <c r="AF558">
        <v>0</v>
      </c>
      <c r="AG558">
        <v>1</v>
      </c>
      <c r="AH558">
        <v>1</v>
      </c>
      <c r="AI558">
        <v>0</v>
      </c>
      <c r="AJ558">
        <v>0</v>
      </c>
      <c r="AK558">
        <v>2</v>
      </c>
      <c r="AL558">
        <v>0</v>
      </c>
      <c r="AM558">
        <v>0</v>
      </c>
      <c r="AN558">
        <v>1</v>
      </c>
      <c r="AO558">
        <v>7</v>
      </c>
      <c r="AP558">
        <v>1</v>
      </c>
      <c r="AQ558">
        <v>87.5</v>
      </c>
      <c r="AR558" s="2">
        <v>45757.517523148148</v>
      </c>
      <c r="AS558" s="2">
        <v>46071.061655092592</v>
      </c>
      <c r="AT558" t="s">
        <v>61</v>
      </c>
      <c r="AU558" t="s">
        <v>62</v>
      </c>
      <c r="AV558">
        <v>314</v>
      </c>
    </row>
    <row r="559" spans="1:48" x14ac:dyDescent="0.25">
      <c r="A559">
        <v>469</v>
      </c>
      <c r="B559" t="s">
        <v>2297</v>
      </c>
      <c r="C559" t="s">
        <v>2298</v>
      </c>
      <c r="D559" t="s">
        <v>532</v>
      </c>
      <c r="E559" t="s">
        <v>2299</v>
      </c>
      <c r="F559" t="s">
        <v>2300</v>
      </c>
      <c r="G559" t="s">
        <v>53</v>
      </c>
      <c r="H559" s="1">
        <v>39217</v>
      </c>
      <c r="I559">
        <v>19</v>
      </c>
      <c r="J559">
        <v>2007</v>
      </c>
      <c r="K559" s="1">
        <v>45561</v>
      </c>
      <c r="L559">
        <v>2024</v>
      </c>
      <c r="M559" t="s">
        <v>54</v>
      </c>
      <c r="N559">
        <v>21</v>
      </c>
      <c r="O559" t="s">
        <v>339</v>
      </c>
      <c r="P559" t="s">
        <v>69</v>
      </c>
      <c r="Q559">
        <v>60</v>
      </c>
      <c r="R559">
        <v>7</v>
      </c>
      <c r="S559" t="s">
        <v>163</v>
      </c>
      <c r="T559" t="s">
        <v>164</v>
      </c>
      <c r="U559">
        <v>8</v>
      </c>
      <c r="V559">
        <v>8</v>
      </c>
      <c r="W559">
        <v>8</v>
      </c>
      <c r="X559">
        <v>8</v>
      </c>
      <c r="Y559">
        <v>2</v>
      </c>
      <c r="Z559">
        <v>7</v>
      </c>
      <c r="AA559">
        <v>2.3571420000000001</v>
      </c>
      <c r="AB559">
        <v>16.5</v>
      </c>
      <c r="AC559" t="s">
        <v>70</v>
      </c>
      <c r="AD559" t="s">
        <v>60</v>
      </c>
      <c r="AE559">
        <v>2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2</v>
      </c>
      <c r="AL559">
        <v>0</v>
      </c>
      <c r="AM559">
        <v>1</v>
      </c>
      <c r="AN559">
        <v>1</v>
      </c>
      <c r="AO559">
        <v>6</v>
      </c>
      <c r="AP559">
        <v>1</v>
      </c>
      <c r="AQ559">
        <v>85.714285714284998</v>
      </c>
      <c r="AR559" s="2">
        <v>45734.205439814818</v>
      </c>
      <c r="AS559" s="2">
        <v>46062.593530092592</v>
      </c>
      <c r="AT559" t="s">
        <v>61</v>
      </c>
      <c r="AU559" t="s">
        <v>1357</v>
      </c>
      <c r="AV559">
        <v>328</v>
      </c>
    </row>
    <row r="560" spans="1:48" x14ac:dyDescent="0.25">
      <c r="A560">
        <v>475</v>
      </c>
      <c r="B560" t="s">
        <v>2301</v>
      </c>
      <c r="C560" t="s">
        <v>1480</v>
      </c>
      <c r="D560" t="s">
        <v>1826</v>
      </c>
      <c r="E560" t="s">
        <v>2302</v>
      </c>
      <c r="F560" t="s">
        <v>2303</v>
      </c>
      <c r="G560" t="s">
        <v>104</v>
      </c>
      <c r="H560" s="1">
        <v>36450</v>
      </c>
      <c r="I560">
        <v>27</v>
      </c>
      <c r="J560">
        <v>1999</v>
      </c>
      <c r="K560" s="1">
        <v>45328</v>
      </c>
      <c r="L560">
        <v>2024</v>
      </c>
      <c r="M560" t="s">
        <v>54</v>
      </c>
      <c r="N560">
        <v>6</v>
      </c>
      <c r="O560" t="s">
        <v>133</v>
      </c>
      <c r="P560" t="s">
        <v>69</v>
      </c>
      <c r="Q560">
        <v>60</v>
      </c>
      <c r="R560">
        <v>2</v>
      </c>
      <c r="S560" t="s">
        <v>85</v>
      </c>
      <c r="T560" t="s">
        <v>86</v>
      </c>
      <c r="U560">
        <v>8</v>
      </c>
      <c r="V560">
        <v>8</v>
      </c>
      <c r="W560">
        <v>8</v>
      </c>
      <c r="X560">
        <v>6</v>
      </c>
      <c r="Y560">
        <v>2</v>
      </c>
      <c r="Z560">
        <v>6</v>
      </c>
      <c r="AA560">
        <v>1.666666</v>
      </c>
      <c r="AB560">
        <v>10</v>
      </c>
      <c r="AC560" t="s">
        <v>70</v>
      </c>
      <c r="AD560" t="s">
        <v>281</v>
      </c>
      <c r="AE560">
        <v>0</v>
      </c>
      <c r="AF560">
        <v>0</v>
      </c>
      <c r="AG560">
        <v>2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3</v>
      </c>
      <c r="AN560">
        <v>1</v>
      </c>
      <c r="AO560">
        <v>5</v>
      </c>
      <c r="AP560">
        <v>1</v>
      </c>
      <c r="AQ560">
        <v>83.333333333333002</v>
      </c>
      <c r="AR560" s="2">
        <v>45761.894814814812</v>
      </c>
      <c r="AS560" s="2">
        <v>46086.167395833334</v>
      </c>
      <c r="AT560" t="s">
        <v>61</v>
      </c>
      <c r="AU560" t="s">
        <v>1357</v>
      </c>
      <c r="AV560">
        <v>325</v>
      </c>
    </row>
    <row r="561" spans="1:48" x14ac:dyDescent="0.25">
      <c r="A561">
        <v>418</v>
      </c>
      <c r="B561" t="s">
        <v>2304</v>
      </c>
      <c r="C561" t="s">
        <v>95</v>
      </c>
      <c r="D561" t="s">
        <v>2305</v>
      </c>
      <c r="E561" t="s">
        <v>2306</v>
      </c>
      <c r="F561" t="s">
        <v>2307</v>
      </c>
      <c r="G561" t="s">
        <v>53</v>
      </c>
      <c r="H561" s="1">
        <v>35185</v>
      </c>
      <c r="I561">
        <v>30</v>
      </c>
      <c r="J561">
        <v>1996</v>
      </c>
      <c r="K561" s="1">
        <v>45162</v>
      </c>
      <c r="L561">
        <v>2023</v>
      </c>
      <c r="M561" t="s">
        <v>54</v>
      </c>
      <c r="N561">
        <v>21</v>
      </c>
      <c r="O561" t="s">
        <v>339</v>
      </c>
      <c r="P561" t="s">
        <v>69</v>
      </c>
      <c r="Q561">
        <v>60</v>
      </c>
      <c r="R561">
        <v>7</v>
      </c>
      <c r="S561" t="s">
        <v>163</v>
      </c>
      <c r="T561" t="s">
        <v>164</v>
      </c>
      <c r="U561">
        <v>6</v>
      </c>
      <c r="V561">
        <v>8</v>
      </c>
      <c r="W561">
        <v>8</v>
      </c>
      <c r="X561">
        <v>8</v>
      </c>
      <c r="Y561">
        <v>2</v>
      </c>
      <c r="Z561">
        <v>6</v>
      </c>
      <c r="AA561">
        <v>2.1666660000000002</v>
      </c>
      <c r="AB561">
        <v>13</v>
      </c>
      <c r="AC561" t="s">
        <v>70</v>
      </c>
      <c r="AD561" t="s">
        <v>60</v>
      </c>
      <c r="AE561">
        <v>1</v>
      </c>
      <c r="AF561">
        <v>0</v>
      </c>
      <c r="AG561">
        <v>0</v>
      </c>
      <c r="AH561">
        <v>1</v>
      </c>
      <c r="AI561">
        <v>0</v>
      </c>
      <c r="AJ561">
        <v>2</v>
      </c>
      <c r="AK561">
        <v>0</v>
      </c>
      <c r="AL561">
        <v>0</v>
      </c>
      <c r="AM561">
        <v>1</v>
      </c>
      <c r="AN561">
        <v>1</v>
      </c>
      <c r="AO561">
        <v>5</v>
      </c>
      <c r="AP561">
        <v>1</v>
      </c>
      <c r="AQ561">
        <v>83.333333333333002</v>
      </c>
      <c r="AR561" s="2">
        <v>45794.211041666669</v>
      </c>
      <c r="AS561" s="2">
        <v>46050.559571759259</v>
      </c>
      <c r="AT561" t="s">
        <v>61</v>
      </c>
      <c r="AU561" t="s">
        <v>1357</v>
      </c>
      <c r="AV561">
        <v>256</v>
      </c>
    </row>
    <row r="562" spans="1:48" x14ac:dyDescent="0.25">
      <c r="A562">
        <v>989</v>
      </c>
      <c r="B562" t="s">
        <v>2308</v>
      </c>
      <c r="C562" t="s">
        <v>2309</v>
      </c>
      <c r="D562" t="s">
        <v>342</v>
      </c>
      <c r="E562" t="s">
        <v>2310</v>
      </c>
      <c r="F562" t="s">
        <v>2311</v>
      </c>
      <c r="G562" t="s">
        <v>53</v>
      </c>
      <c r="H562" s="1">
        <v>39146</v>
      </c>
      <c r="I562">
        <v>19</v>
      </c>
      <c r="J562">
        <v>2007</v>
      </c>
      <c r="K562" s="1">
        <v>46059</v>
      </c>
      <c r="L562">
        <v>2026</v>
      </c>
      <c r="M562" t="s">
        <v>54</v>
      </c>
      <c r="N562">
        <v>3</v>
      </c>
      <c r="O562" t="s">
        <v>68</v>
      </c>
      <c r="P562" t="s">
        <v>69</v>
      </c>
      <c r="Q562">
        <v>60</v>
      </c>
      <c r="R562">
        <v>1</v>
      </c>
      <c r="S562" t="s">
        <v>57</v>
      </c>
      <c r="T562" t="s">
        <v>58</v>
      </c>
      <c r="U562">
        <v>7</v>
      </c>
      <c r="V562">
        <v>8</v>
      </c>
      <c r="W562">
        <v>8</v>
      </c>
      <c r="X562">
        <v>6</v>
      </c>
      <c r="Y562">
        <v>2</v>
      </c>
      <c r="Z562">
        <v>5</v>
      </c>
      <c r="AA562">
        <v>2.8</v>
      </c>
      <c r="AB562">
        <v>14</v>
      </c>
      <c r="AC562" t="s">
        <v>59</v>
      </c>
      <c r="AD562" t="s">
        <v>112</v>
      </c>
      <c r="AE562">
        <v>0</v>
      </c>
      <c r="AF562">
        <v>0</v>
      </c>
      <c r="AG562">
        <v>2</v>
      </c>
      <c r="AH562">
        <v>2</v>
      </c>
      <c r="AI562">
        <v>0</v>
      </c>
      <c r="AJ562">
        <v>0</v>
      </c>
      <c r="AK562">
        <v>0</v>
      </c>
      <c r="AL562">
        <v>0</v>
      </c>
      <c r="AM562">
        <v>1</v>
      </c>
      <c r="AN562">
        <v>0</v>
      </c>
      <c r="AO562">
        <v>5</v>
      </c>
      <c r="AP562">
        <v>0</v>
      </c>
      <c r="AQ562">
        <v>100</v>
      </c>
      <c r="AR562" s="2">
        <v>45721.702013888891</v>
      </c>
      <c r="AS562" s="2">
        <v>46046.431250000001</v>
      </c>
      <c r="AT562" t="s">
        <v>1357</v>
      </c>
      <c r="AU562" t="s">
        <v>62</v>
      </c>
      <c r="AV562">
        <v>325</v>
      </c>
    </row>
    <row r="563" spans="1:48" x14ac:dyDescent="0.25">
      <c r="A563">
        <v>552</v>
      </c>
      <c r="B563" t="s">
        <v>2312</v>
      </c>
      <c r="C563" t="s">
        <v>663</v>
      </c>
      <c r="D563" t="s">
        <v>2313</v>
      </c>
      <c r="E563" t="s">
        <v>2314</v>
      </c>
      <c r="F563" t="s">
        <v>2315</v>
      </c>
      <c r="G563" t="s">
        <v>104</v>
      </c>
      <c r="H563" s="1">
        <v>35705</v>
      </c>
      <c r="I563">
        <v>29</v>
      </c>
      <c r="J563">
        <v>1997</v>
      </c>
      <c r="K563" s="1">
        <v>45657</v>
      </c>
      <c r="L563">
        <v>2024</v>
      </c>
      <c r="M563" t="s">
        <v>54</v>
      </c>
      <c r="N563">
        <v>16</v>
      </c>
      <c r="O563" t="s">
        <v>280</v>
      </c>
      <c r="P563" t="s">
        <v>119</v>
      </c>
      <c r="Q563">
        <v>120</v>
      </c>
      <c r="R563">
        <v>6</v>
      </c>
      <c r="S563" t="s">
        <v>140</v>
      </c>
      <c r="T563" t="s">
        <v>141</v>
      </c>
      <c r="U563">
        <v>8</v>
      </c>
      <c r="V563">
        <v>8</v>
      </c>
      <c r="W563">
        <v>8</v>
      </c>
      <c r="X563">
        <v>7</v>
      </c>
      <c r="Y563">
        <v>2</v>
      </c>
      <c r="Z563">
        <v>8</v>
      </c>
      <c r="AA563">
        <v>1.5625</v>
      </c>
      <c r="AB563">
        <v>12.5</v>
      </c>
      <c r="AC563" t="s">
        <v>70</v>
      </c>
      <c r="AD563" t="s">
        <v>60</v>
      </c>
      <c r="AE563">
        <v>1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2</v>
      </c>
      <c r="AL563">
        <v>0</v>
      </c>
      <c r="AM563">
        <v>1</v>
      </c>
      <c r="AN563">
        <v>3</v>
      </c>
      <c r="AO563">
        <v>5</v>
      </c>
      <c r="AP563">
        <v>3</v>
      </c>
      <c r="AQ563">
        <v>62.5</v>
      </c>
      <c r="AR563" s="2">
        <v>45755.507881944446</v>
      </c>
      <c r="AS563" s="2">
        <v>46063.129710648151</v>
      </c>
      <c r="AT563" t="s">
        <v>61</v>
      </c>
      <c r="AU563" t="s">
        <v>62</v>
      </c>
      <c r="AV563">
        <v>308</v>
      </c>
    </row>
    <row r="564" spans="1:48" x14ac:dyDescent="0.25">
      <c r="A564">
        <v>170</v>
      </c>
      <c r="B564" t="s">
        <v>2316</v>
      </c>
      <c r="C564" t="s">
        <v>627</v>
      </c>
      <c r="D564" t="s">
        <v>2000</v>
      </c>
      <c r="E564" t="s">
        <v>2317</v>
      </c>
      <c r="F564" t="s">
        <v>2318</v>
      </c>
      <c r="G564" t="s">
        <v>104</v>
      </c>
      <c r="H564" s="1">
        <v>36002</v>
      </c>
      <c r="I564">
        <v>28</v>
      </c>
      <c r="J564">
        <v>1998</v>
      </c>
      <c r="K564" s="1">
        <v>45085</v>
      </c>
      <c r="L564">
        <v>2023</v>
      </c>
      <c r="M564" t="s">
        <v>54</v>
      </c>
      <c r="N564">
        <v>13</v>
      </c>
      <c r="O564" t="s">
        <v>146</v>
      </c>
      <c r="P564" t="s">
        <v>119</v>
      </c>
      <c r="Q564">
        <v>120</v>
      </c>
      <c r="R564">
        <v>5</v>
      </c>
      <c r="S564" t="s">
        <v>92</v>
      </c>
      <c r="T564" t="s">
        <v>93</v>
      </c>
      <c r="U564">
        <v>8</v>
      </c>
      <c r="V564">
        <v>8</v>
      </c>
      <c r="W564">
        <v>8</v>
      </c>
      <c r="X564">
        <v>8</v>
      </c>
      <c r="Y564">
        <v>2</v>
      </c>
      <c r="Z564">
        <v>8</v>
      </c>
      <c r="AA564">
        <v>2.5625</v>
      </c>
      <c r="AB564">
        <v>20.5</v>
      </c>
      <c r="AC564" t="s">
        <v>70</v>
      </c>
      <c r="AD564" t="s">
        <v>281</v>
      </c>
      <c r="AE564">
        <v>0</v>
      </c>
      <c r="AF564">
        <v>0</v>
      </c>
      <c r="AG564">
        <v>5</v>
      </c>
      <c r="AH564">
        <v>0</v>
      </c>
      <c r="AI564">
        <v>0</v>
      </c>
      <c r="AJ564">
        <v>0</v>
      </c>
      <c r="AK564">
        <v>1</v>
      </c>
      <c r="AL564">
        <v>0</v>
      </c>
      <c r="AM564">
        <v>1</v>
      </c>
      <c r="AN564">
        <v>1</v>
      </c>
      <c r="AO564">
        <v>7</v>
      </c>
      <c r="AP564">
        <v>1</v>
      </c>
      <c r="AQ564">
        <v>87.5</v>
      </c>
      <c r="AR564" s="2">
        <v>45723.502615740741</v>
      </c>
      <c r="AS564" s="2">
        <v>46078.491608796299</v>
      </c>
      <c r="AT564" t="s">
        <v>61</v>
      </c>
      <c r="AU564" t="s">
        <v>62</v>
      </c>
      <c r="AV564">
        <v>355</v>
      </c>
    </row>
    <row r="565" spans="1:48" x14ac:dyDescent="0.25">
      <c r="A565">
        <v>148</v>
      </c>
      <c r="B565" t="s">
        <v>2319</v>
      </c>
      <c r="C565" t="s">
        <v>1077</v>
      </c>
      <c r="D565" t="s">
        <v>1031</v>
      </c>
      <c r="E565" t="s">
        <v>2320</v>
      </c>
      <c r="F565" t="s">
        <v>2321</v>
      </c>
      <c r="G565" t="s">
        <v>53</v>
      </c>
      <c r="H565" s="1">
        <v>34918</v>
      </c>
      <c r="I565">
        <v>31</v>
      </c>
      <c r="J565">
        <v>1995</v>
      </c>
      <c r="K565" s="1">
        <v>44953</v>
      </c>
      <c r="L565">
        <v>2023</v>
      </c>
      <c r="M565" t="s">
        <v>54</v>
      </c>
      <c r="N565">
        <v>9</v>
      </c>
      <c r="O565" t="s">
        <v>151</v>
      </c>
      <c r="P565" t="s">
        <v>69</v>
      </c>
      <c r="Q565">
        <v>60</v>
      </c>
      <c r="R565">
        <v>3</v>
      </c>
      <c r="S565" t="s">
        <v>126</v>
      </c>
      <c r="T565" t="s">
        <v>127</v>
      </c>
      <c r="U565">
        <v>8</v>
      </c>
      <c r="V565">
        <v>8</v>
      </c>
      <c r="W565">
        <v>8</v>
      </c>
      <c r="X565">
        <v>7</v>
      </c>
      <c r="Y565">
        <v>2</v>
      </c>
      <c r="Z565">
        <v>7</v>
      </c>
      <c r="AA565">
        <v>2.6428569999999998</v>
      </c>
      <c r="AB565">
        <v>18.5</v>
      </c>
      <c r="AC565" t="s">
        <v>59</v>
      </c>
      <c r="AD565" t="s">
        <v>60</v>
      </c>
      <c r="AE565">
        <v>1</v>
      </c>
      <c r="AF565">
        <v>0</v>
      </c>
      <c r="AG565">
        <v>2</v>
      </c>
      <c r="AH565">
        <v>0</v>
      </c>
      <c r="AI565">
        <v>0</v>
      </c>
      <c r="AJ565">
        <v>1</v>
      </c>
      <c r="AK565">
        <v>2</v>
      </c>
      <c r="AL565">
        <v>0</v>
      </c>
      <c r="AM565">
        <v>1</v>
      </c>
      <c r="AN565">
        <v>0</v>
      </c>
      <c r="AO565">
        <v>7</v>
      </c>
      <c r="AP565">
        <v>0</v>
      </c>
      <c r="AQ565">
        <v>100</v>
      </c>
      <c r="AR565" s="2">
        <v>45813.639780092592</v>
      </c>
      <c r="AS565" s="2">
        <v>46051.748993055553</v>
      </c>
      <c r="AT565" t="s">
        <v>61</v>
      </c>
      <c r="AU565" t="s">
        <v>1357</v>
      </c>
      <c r="AV565">
        <v>238</v>
      </c>
    </row>
    <row r="566" spans="1:48" x14ac:dyDescent="0.25">
      <c r="A566">
        <v>208</v>
      </c>
      <c r="B566" t="s">
        <v>2322</v>
      </c>
      <c r="C566" t="s">
        <v>171</v>
      </c>
      <c r="D566" t="s">
        <v>636</v>
      </c>
      <c r="E566" t="s">
        <v>2323</v>
      </c>
      <c r="F566" t="s">
        <v>2324</v>
      </c>
      <c r="G566" t="s">
        <v>104</v>
      </c>
      <c r="H566" s="1">
        <v>39493</v>
      </c>
      <c r="I566">
        <v>18</v>
      </c>
      <c r="J566">
        <v>2008</v>
      </c>
      <c r="K566" s="1">
        <v>45341</v>
      </c>
      <c r="L566">
        <v>2024</v>
      </c>
      <c r="M566" t="s">
        <v>54</v>
      </c>
      <c r="N566">
        <v>20</v>
      </c>
      <c r="O566" t="s">
        <v>180</v>
      </c>
      <c r="P566" t="s">
        <v>56</v>
      </c>
      <c r="Q566">
        <v>36</v>
      </c>
      <c r="R566">
        <v>7</v>
      </c>
      <c r="S566" t="s">
        <v>163</v>
      </c>
      <c r="T566" t="s">
        <v>164</v>
      </c>
      <c r="U566">
        <v>8</v>
      </c>
      <c r="V566">
        <v>8</v>
      </c>
      <c r="W566">
        <v>8</v>
      </c>
      <c r="X566">
        <v>8</v>
      </c>
      <c r="Y566">
        <v>2</v>
      </c>
      <c r="Z566">
        <v>5</v>
      </c>
      <c r="AA566">
        <v>0.8</v>
      </c>
      <c r="AB566">
        <v>4</v>
      </c>
      <c r="AC566" t="s">
        <v>70</v>
      </c>
      <c r="AD566" t="s">
        <v>112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1</v>
      </c>
      <c r="AN566">
        <v>3</v>
      </c>
      <c r="AO566">
        <v>2</v>
      </c>
      <c r="AP566">
        <v>3</v>
      </c>
      <c r="AQ566">
        <v>40</v>
      </c>
      <c r="AR566" s="2">
        <v>45722.465277777781</v>
      </c>
      <c r="AS566" s="2">
        <v>46063.849074074074</v>
      </c>
      <c r="AT566" t="s">
        <v>61</v>
      </c>
      <c r="AU566" t="s">
        <v>1357</v>
      </c>
      <c r="AV566">
        <v>341</v>
      </c>
    </row>
    <row r="567" spans="1:48" x14ac:dyDescent="0.25">
      <c r="A567">
        <v>259</v>
      </c>
      <c r="B567" t="s">
        <v>2325</v>
      </c>
      <c r="C567" t="s">
        <v>2165</v>
      </c>
      <c r="D567" t="s">
        <v>2326</v>
      </c>
      <c r="E567" t="s">
        <v>2327</v>
      </c>
      <c r="F567" t="s">
        <v>2328</v>
      </c>
      <c r="G567" t="s">
        <v>104</v>
      </c>
      <c r="H567" s="1">
        <v>37051</v>
      </c>
      <c r="I567">
        <v>25</v>
      </c>
      <c r="J567">
        <v>2001</v>
      </c>
      <c r="K567" s="1">
        <v>45001</v>
      </c>
      <c r="L567">
        <v>2023</v>
      </c>
      <c r="M567" t="s">
        <v>54</v>
      </c>
      <c r="N567">
        <v>9</v>
      </c>
      <c r="O567" t="s">
        <v>151</v>
      </c>
      <c r="P567" t="s">
        <v>69</v>
      </c>
      <c r="Q567">
        <v>60</v>
      </c>
      <c r="R567">
        <v>3</v>
      </c>
      <c r="S567" t="s">
        <v>126</v>
      </c>
      <c r="T567" t="s">
        <v>127</v>
      </c>
      <c r="U567">
        <v>8</v>
      </c>
      <c r="V567">
        <v>8</v>
      </c>
      <c r="W567">
        <v>8</v>
      </c>
      <c r="X567">
        <v>8</v>
      </c>
      <c r="Y567">
        <v>2</v>
      </c>
      <c r="Z567">
        <v>7</v>
      </c>
      <c r="AA567">
        <v>2.3571420000000001</v>
      </c>
      <c r="AB567">
        <v>16.5</v>
      </c>
      <c r="AC567" t="s">
        <v>70</v>
      </c>
      <c r="AD567" t="s">
        <v>112</v>
      </c>
      <c r="AE567">
        <v>0</v>
      </c>
      <c r="AF567">
        <v>0</v>
      </c>
      <c r="AG567">
        <v>2</v>
      </c>
      <c r="AH567">
        <v>2</v>
      </c>
      <c r="AI567">
        <v>0</v>
      </c>
      <c r="AJ567">
        <v>1</v>
      </c>
      <c r="AK567">
        <v>0</v>
      </c>
      <c r="AL567">
        <v>0</v>
      </c>
      <c r="AM567">
        <v>1</v>
      </c>
      <c r="AN567">
        <v>1</v>
      </c>
      <c r="AO567">
        <v>6</v>
      </c>
      <c r="AP567">
        <v>1</v>
      </c>
      <c r="AQ567">
        <v>85.714285714284998</v>
      </c>
      <c r="AR567" s="2">
        <v>45744.590763888889</v>
      </c>
      <c r="AS567" s="2">
        <v>46072.829386574071</v>
      </c>
      <c r="AT567" t="s">
        <v>61</v>
      </c>
      <c r="AU567" t="s">
        <v>1357</v>
      </c>
      <c r="AV567">
        <v>328</v>
      </c>
    </row>
    <row r="568" spans="1:48" x14ac:dyDescent="0.25">
      <c r="A568">
        <v>291</v>
      </c>
      <c r="B568" t="s">
        <v>2329</v>
      </c>
      <c r="C568" t="s">
        <v>2183</v>
      </c>
      <c r="D568" t="s">
        <v>1354</v>
      </c>
      <c r="E568" t="s">
        <v>2330</v>
      </c>
      <c r="F568" t="s">
        <v>2331</v>
      </c>
      <c r="G568" t="s">
        <v>53</v>
      </c>
      <c r="H568" s="1">
        <v>38826</v>
      </c>
      <c r="I568">
        <v>20</v>
      </c>
      <c r="J568">
        <v>2006</v>
      </c>
      <c r="K568" s="1">
        <v>44656</v>
      </c>
      <c r="L568">
        <v>2022</v>
      </c>
      <c r="M568" t="s">
        <v>225</v>
      </c>
      <c r="N568">
        <v>9</v>
      </c>
      <c r="O568" t="s">
        <v>151</v>
      </c>
      <c r="P568" t="s">
        <v>69</v>
      </c>
      <c r="Q568">
        <v>60</v>
      </c>
      <c r="R568">
        <v>3</v>
      </c>
      <c r="S568" t="s">
        <v>126</v>
      </c>
      <c r="T568" t="s">
        <v>127</v>
      </c>
      <c r="U568">
        <v>7</v>
      </c>
      <c r="V568">
        <v>8</v>
      </c>
      <c r="W568">
        <v>8</v>
      </c>
      <c r="X568">
        <v>7</v>
      </c>
      <c r="Y568">
        <v>2</v>
      </c>
      <c r="Z568">
        <v>5</v>
      </c>
      <c r="AA568">
        <v>2.1</v>
      </c>
      <c r="AB568">
        <v>10.5</v>
      </c>
      <c r="AC568" t="s">
        <v>59</v>
      </c>
      <c r="AD568" t="s">
        <v>281</v>
      </c>
      <c r="AE568">
        <v>0</v>
      </c>
      <c r="AF568">
        <v>0</v>
      </c>
      <c r="AG568">
        <v>1</v>
      </c>
      <c r="AH568">
        <v>0</v>
      </c>
      <c r="AI568">
        <v>0</v>
      </c>
      <c r="AJ568">
        <v>2</v>
      </c>
      <c r="AK568">
        <v>0</v>
      </c>
      <c r="AL568">
        <v>0</v>
      </c>
      <c r="AM568">
        <v>2</v>
      </c>
      <c r="AN568">
        <v>0</v>
      </c>
      <c r="AO568">
        <v>5</v>
      </c>
      <c r="AP568">
        <v>0</v>
      </c>
      <c r="AQ568">
        <v>100</v>
      </c>
      <c r="AR568" s="2">
        <v>45726.317777777775</v>
      </c>
      <c r="AS568" s="2">
        <v>46003.395462962966</v>
      </c>
      <c r="AT568" t="s">
        <v>61</v>
      </c>
      <c r="AU568" t="s">
        <v>1357</v>
      </c>
      <c r="AV568">
        <v>277</v>
      </c>
    </row>
    <row r="569" spans="1:48" x14ac:dyDescent="0.25">
      <c r="A569">
        <v>4</v>
      </c>
      <c r="B569" t="s">
        <v>2332</v>
      </c>
      <c r="C569" t="s">
        <v>1527</v>
      </c>
      <c r="D569" t="s">
        <v>2333</v>
      </c>
      <c r="E569" t="s">
        <v>2334</v>
      </c>
      <c r="F569" t="s">
        <v>2335</v>
      </c>
      <c r="G569" t="s">
        <v>104</v>
      </c>
      <c r="H569" s="1">
        <v>39234</v>
      </c>
      <c r="I569">
        <v>19</v>
      </c>
      <c r="J569">
        <v>2007</v>
      </c>
      <c r="K569" s="1">
        <v>45457</v>
      </c>
      <c r="L569">
        <v>2024</v>
      </c>
      <c r="M569" t="s">
        <v>54</v>
      </c>
      <c r="N569">
        <v>6</v>
      </c>
      <c r="O569" t="s">
        <v>133</v>
      </c>
      <c r="P569" t="s">
        <v>69</v>
      </c>
      <c r="Q569">
        <v>60</v>
      </c>
      <c r="R569">
        <v>2</v>
      </c>
      <c r="S569" t="s">
        <v>85</v>
      </c>
      <c r="T569" t="s">
        <v>86</v>
      </c>
      <c r="U569">
        <v>7</v>
      </c>
      <c r="V569">
        <v>8</v>
      </c>
      <c r="W569">
        <v>8</v>
      </c>
      <c r="X569">
        <v>8</v>
      </c>
      <c r="Y569">
        <v>2</v>
      </c>
      <c r="Z569">
        <v>6</v>
      </c>
      <c r="AA569">
        <v>2.4166660000000002</v>
      </c>
      <c r="AB569">
        <v>14.5</v>
      </c>
      <c r="AC569" t="s">
        <v>59</v>
      </c>
      <c r="AD569" t="s">
        <v>112</v>
      </c>
      <c r="AE569">
        <v>0</v>
      </c>
      <c r="AF569">
        <v>0</v>
      </c>
      <c r="AG569">
        <v>1</v>
      </c>
      <c r="AH569">
        <v>1</v>
      </c>
      <c r="AI569">
        <v>0</v>
      </c>
      <c r="AJ569">
        <v>2</v>
      </c>
      <c r="AK569">
        <v>1</v>
      </c>
      <c r="AL569">
        <v>0</v>
      </c>
      <c r="AM569">
        <v>1</v>
      </c>
      <c r="AN569">
        <v>0</v>
      </c>
      <c r="AO569">
        <v>6</v>
      </c>
      <c r="AP569">
        <v>0</v>
      </c>
      <c r="AQ569">
        <v>100</v>
      </c>
      <c r="AR569" s="2">
        <v>45777.584050925929</v>
      </c>
      <c r="AS569" s="2">
        <v>46055.678865740738</v>
      </c>
      <c r="AT569" t="s">
        <v>1357</v>
      </c>
      <c r="AU569" t="s">
        <v>62</v>
      </c>
      <c r="AV569">
        <v>278</v>
      </c>
    </row>
    <row r="570" spans="1:48" x14ac:dyDescent="0.25">
      <c r="A570">
        <v>436</v>
      </c>
      <c r="B570" t="s">
        <v>2336</v>
      </c>
      <c r="C570" t="s">
        <v>2337</v>
      </c>
      <c r="D570" t="s">
        <v>2313</v>
      </c>
      <c r="E570" t="s">
        <v>2338</v>
      </c>
      <c r="F570" t="s">
        <v>2339</v>
      </c>
      <c r="G570" t="s">
        <v>53</v>
      </c>
      <c r="H570" s="1">
        <v>34866</v>
      </c>
      <c r="I570">
        <v>31</v>
      </c>
      <c r="J570">
        <v>1995</v>
      </c>
      <c r="K570" s="1">
        <v>44867</v>
      </c>
      <c r="L570">
        <v>2022</v>
      </c>
      <c r="M570" t="s">
        <v>54</v>
      </c>
      <c r="N570">
        <v>8</v>
      </c>
      <c r="O570" t="s">
        <v>125</v>
      </c>
      <c r="P570" t="s">
        <v>56</v>
      </c>
      <c r="Q570">
        <v>36</v>
      </c>
      <c r="R570">
        <v>3</v>
      </c>
      <c r="S570" t="s">
        <v>126</v>
      </c>
      <c r="T570" t="s">
        <v>127</v>
      </c>
      <c r="U570">
        <v>7</v>
      </c>
      <c r="V570">
        <v>8</v>
      </c>
      <c r="W570">
        <v>8</v>
      </c>
      <c r="X570">
        <v>8</v>
      </c>
      <c r="Y570">
        <v>2</v>
      </c>
      <c r="Z570">
        <v>8</v>
      </c>
      <c r="AA570">
        <v>0.875</v>
      </c>
      <c r="AB570">
        <v>7</v>
      </c>
      <c r="AC570" t="s">
        <v>70</v>
      </c>
      <c r="AD570" t="s">
        <v>112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1</v>
      </c>
      <c r="AL570">
        <v>0</v>
      </c>
      <c r="AM570">
        <v>2</v>
      </c>
      <c r="AN570">
        <v>4</v>
      </c>
      <c r="AO570">
        <v>4</v>
      </c>
      <c r="AP570">
        <v>4</v>
      </c>
      <c r="AQ570">
        <v>50</v>
      </c>
      <c r="AR570" s="2">
        <v>45751.683009259257</v>
      </c>
      <c r="AS570" s="2">
        <v>46040.532500000001</v>
      </c>
      <c r="AT570" t="s">
        <v>61</v>
      </c>
      <c r="AU570" t="s">
        <v>62</v>
      </c>
      <c r="AV570">
        <v>289</v>
      </c>
    </row>
    <row r="571" spans="1:48" x14ac:dyDescent="0.25">
      <c r="A571">
        <v>284</v>
      </c>
      <c r="B571" t="s">
        <v>2340</v>
      </c>
      <c r="C571" t="s">
        <v>2341</v>
      </c>
      <c r="D571" t="s">
        <v>2342</v>
      </c>
      <c r="E571" t="s">
        <v>2343</v>
      </c>
      <c r="F571" t="s">
        <v>2344</v>
      </c>
      <c r="G571" t="s">
        <v>53</v>
      </c>
      <c r="H571" s="1">
        <v>38247</v>
      </c>
      <c r="I571">
        <v>22</v>
      </c>
      <c r="J571">
        <v>2004</v>
      </c>
      <c r="K571" s="1">
        <v>45914</v>
      </c>
      <c r="L571">
        <v>2025</v>
      </c>
      <c r="M571" t="s">
        <v>54</v>
      </c>
      <c r="N571">
        <v>1</v>
      </c>
      <c r="O571" t="s">
        <v>157</v>
      </c>
      <c r="P571" t="s">
        <v>119</v>
      </c>
      <c r="Q571">
        <v>120</v>
      </c>
      <c r="R571">
        <v>1</v>
      </c>
      <c r="S571" t="s">
        <v>57</v>
      </c>
      <c r="T571" t="s">
        <v>58</v>
      </c>
      <c r="U571">
        <v>7</v>
      </c>
      <c r="V571">
        <v>8</v>
      </c>
      <c r="W571">
        <v>8</v>
      </c>
      <c r="X571">
        <v>7</v>
      </c>
      <c r="Y571">
        <v>2</v>
      </c>
      <c r="Z571">
        <v>8</v>
      </c>
      <c r="AA571">
        <v>1.75</v>
      </c>
      <c r="AB571">
        <v>14</v>
      </c>
      <c r="AC571" t="s">
        <v>70</v>
      </c>
      <c r="AD571" t="s">
        <v>60</v>
      </c>
      <c r="AE571">
        <v>1</v>
      </c>
      <c r="AF571">
        <v>0</v>
      </c>
      <c r="AG571">
        <v>2</v>
      </c>
      <c r="AH571">
        <v>0</v>
      </c>
      <c r="AI571">
        <v>0</v>
      </c>
      <c r="AJ571">
        <v>0</v>
      </c>
      <c r="AK571">
        <v>1</v>
      </c>
      <c r="AL571">
        <v>0</v>
      </c>
      <c r="AM571">
        <v>1</v>
      </c>
      <c r="AN571">
        <v>3</v>
      </c>
      <c r="AO571">
        <v>5</v>
      </c>
      <c r="AP571">
        <v>3</v>
      </c>
      <c r="AQ571">
        <v>62.5</v>
      </c>
      <c r="AR571" s="2">
        <v>45754.108344907407</v>
      </c>
      <c r="AS571" s="2">
        <v>46035.120196759257</v>
      </c>
      <c r="AT571" t="s">
        <v>61</v>
      </c>
      <c r="AU571" t="s">
        <v>62</v>
      </c>
      <c r="AV571">
        <v>281</v>
      </c>
    </row>
    <row r="572" spans="1:48" x14ac:dyDescent="0.25">
      <c r="A572">
        <v>305</v>
      </c>
      <c r="B572" t="s">
        <v>2345</v>
      </c>
      <c r="C572" t="s">
        <v>807</v>
      </c>
      <c r="D572" t="s">
        <v>459</v>
      </c>
      <c r="E572" t="s">
        <v>2346</v>
      </c>
      <c r="F572" t="s">
        <v>2347</v>
      </c>
      <c r="G572" t="s">
        <v>104</v>
      </c>
      <c r="H572" s="1">
        <v>36203</v>
      </c>
      <c r="I572">
        <v>27</v>
      </c>
      <c r="J572">
        <v>1999</v>
      </c>
      <c r="K572" s="1">
        <v>45714</v>
      </c>
      <c r="L572">
        <v>2025</v>
      </c>
      <c r="M572" t="s">
        <v>54</v>
      </c>
      <c r="N572">
        <v>10</v>
      </c>
      <c r="O572" t="s">
        <v>118</v>
      </c>
      <c r="P572" t="s">
        <v>119</v>
      </c>
      <c r="Q572">
        <v>120</v>
      </c>
      <c r="R572">
        <v>4</v>
      </c>
      <c r="S572" t="s">
        <v>77</v>
      </c>
      <c r="T572" t="s">
        <v>78</v>
      </c>
      <c r="U572">
        <v>8</v>
      </c>
      <c r="V572">
        <v>8</v>
      </c>
      <c r="W572">
        <v>8</v>
      </c>
      <c r="X572">
        <v>7</v>
      </c>
      <c r="Y572">
        <v>2</v>
      </c>
      <c r="Z572">
        <v>6</v>
      </c>
      <c r="AA572">
        <v>2.6666660000000002</v>
      </c>
      <c r="AB572">
        <v>16</v>
      </c>
      <c r="AC572" t="s">
        <v>59</v>
      </c>
      <c r="AD572" t="s">
        <v>60</v>
      </c>
      <c r="AE572">
        <v>1</v>
      </c>
      <c r="AF572">
        <v>0</v>
      </c>
      <c r="AG572">
        <v>1</v>
      </c>
      <c r="AH572">
        <v>1</v>
      </c>
      <c r="AI572">
        <v>0</v>
      </c>
      <c r="AJ572">
        <v>1</v>
      </c>
      <c r="AK572">
        <v>1</v>
      </c>
      <c r="AL572">
        <v>0</v>
      </c>
      <c r="AM572">
        <v>1</v>
      </c>
      <c r="AN572">
        <v>0</v>
      </c>
      <c r="AO572">
        <v>6</v>
      </c>
      <c r="AP572">
        <v>0</v>
      </c>
      <c r="AQ572">
        <v>100</v>
      </c>
      <c r="AR572" s="2">
        <v>45859.478391203702</v>
      </c>
      <c r="AS572" s="2">
        <v>46084.119756944441</v>
      </c>
      <c r="AT572" t="s">
        <v>1357</v>
      </c>
      <c r="AU572" t="s">
        <v>62</v>
      </c>
      <c r="AV572">
        <v>225</v>
      </c>
    </row>
    <row r="573" spans="1:48" x14ac:dyDescent="0.25">
      <c r="A573">
        <v>745</v>
      </c>
      <c r="B573" t="s">
        <v>884</v>
      </c>
      <c r="C573" t="s">
        <v>135</v>
      </c>
      <c r="D573" t="s">
        <v>415</v>
      </c>
      <c r="E573" t="s">
        <v>2348</v>
      </c>
      <c r="F573" t="s">
        <v>2349</v>
      </c>
      <c r="G573" t="s">
        <v>53</v>
      </c>
      <c r="H573" s="1">
        <v>37034</v>
      </c>
      <c r="I573">
        <v>25</v>
      </c>
      <c r="J573">
        <v>2001</v>
      </c>
      <c r="K573" s="1">
        <v>45270</v>
      </c>
      <c r="L573">
        <v>2023</v>
      </c>
      <c r="M573" t="s">
        <v>54</v>
      </c>
      <c r="N573">
        <v>12</v>
      </c>
      <c r="O573" t="s">
        <v>76</v>
      </c>
      <c r="P573" t="s">
        <v>69</v>
      </c>
      <c r="Q573">
        <v>60</v>
      </c>
      <c r="R573">
        <v>4</v>
      </c>
      <c r="S573" t="s">
        <v>77</v>
      </c>
      <c r="T573" t="s">
        <v>78</v>
      </c>
      <c r="U573">
        <v>6</v>
      </c>
      <c r="V573">
        <v>7</v>
      </c>
      <c r="W573">
        <v>7</v>
      </c>
      <c r="X573">
        <v>6</v>
      </c>
      <c r="Y573">
        <v>2</v>
      </c>
      <c r="Z573">
        <v>5</v>
      </c>
      <c r="AA573">
        <v>1.5</v>
      </c>
      <c r="AB573">
        <v>7.5</v>
      </c>
      <c r="AC573" t="s">
        <v>70</v>
      </c>
      <c r="AD573" t="s">
        <v>112</v>
      </c>
      <c r="AE573">
        <v>0</v>
      </c>
      <c r="AF573">
        <v>0</v>
      </c>
      <c r="AG573">
        <v>1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2</v>
      </c>
      <c r="AO573">
        <v>3</v>
      </c>
      <c r="AP573">
        <v>2</v>
      </c>
      <c r="AQ573">
        <v>60</v>
      </c>
      <c r="AR573" s="2">
        <v>45725.777060185188</v>
      </c>
      <c r="AS573" s="2">
        <v>46075.470925925925</v>
      </c>
      <c r="AT573" t="s">
        <v>1357</v>
      </c>
      <c r="AU573" t="s">
        <v>62</v>
      </c>
      <c r="AV573">
        <v>350</v>
      </c>
    </row>
    <row r="574" spans="1:48" x14ac:dyDescent="0.25">
      <c r="A574">
        <v>310</v>
      </c>
      <c r="B574" t="s">
        <v>2350</v>
      </c>
      <c r="C574" t="s">
        <v>1571</v>
      </c>
      <c r="D574" t="s">
        <v>311</v>
      </c>
      <c r="E574" t="s">
        <v>2351</v>
      </c>
      <c r="F574" t="s">
        <v>2352</v>
      </c>
      <c r="G574" t="s">
        <v>104</v>
      </c>
      <c r="H574" s="1">
        <v>35192</v>
      </c>
      <c r="I574">
        <v>30</v>
      </c>
      <c r="J574">
        <v>1996</v>
      </c>
      <c r="K574" s="1">
        <v>45356</v>
      </c>
      <c r="L574">
        <v>2024</v>
      </c>
      <c r="M574" t="s">
        <v>111</v>
      </c>
      <c r="N574">
        <v>16</v>
      </c>
      <c r="O574" t="s">
        <v>280</v>
      </c>
      <c r="P574" t="s">
        <v>119</v>
      </c>
      <c r="Q574">
        <v>120</v>
      </c>
      <c r="R574">
        <v>6</v>
      </c>
      <c r="S574" t="s">
        <v>140</v>
      </c>
      <c r="T574" t="s">
        <v>141</v>
      </c>
      <c r="U574">
        <v>7</v>
      </c>
      <c r="V574">
        <v>7</v>
      </c>
      <c r="W574">
        <v>7</v>
      </c>
      <c r="X574">
        <v>6</v>
      </c>
      <c r="Y574">
        <v>2</v>
      </c>
      <c r="Z574">
        <v>7</v>
      </c>
      <c r="AA574">
        <v>2.9285709999999998</v>
      </c>
      <c r="AB574">
        <v>20.5</v>
      </c>
      <c r="AC574" t="s">
        <v>70</v>
      </c>
      <c r="AD574" t="s">
        <v>60</v>
      </c>
      <c r="AE574">
        <v>3</v>
      </c>
      <c r="AF574">
        <v>0</v>
      </c>
      <c r="AG574">
        <v>1</v>
      </c>
      <c r="AH574">
        <v>1</v>
      </c>
      <c r="AI574">
        <v>0</v>
      </c>
      <c r="AJ574">
        <v>0</v>
      </c>
      <c r="AK574">
        <v>1</v>
      </c>
      <c r="AL574">
        <v>0</v>
      </c>
      <c r="AM574">
        <v>0</v>
      </c>
      <c r="AN574">
        <v>1</v>
      </c>
      <c r="AO574">
        <v>6</v>
      </c>
      <c r="AP574">
        <v>1</v>
      </c>
      <c r="AQ574">
        <v>85.714285714284998</v>
      </c>
      <c r="AR574" s="2">
        <v>45780.209016203706</v>
      </c>
      <c r="AS574" s="2">
        <v>45983.981365740743</v>
      </c>
      <c r="AT574" t="s">
        <v>61</v>
      </c>
      <c r="AU574" t="s">
        <v>62</v>
      </c>
      <c r="AV574">
        <v>203</v>
      </c>
    </row>
    <row r="575" spans="1:48" x14ac:dyDescent="0.25">
      <c r="A575">
        <v>825</v>
      </c>
      <c r="B575" t="s">
        <v>2353</v>
      </c>
      <c r="C575" t="s">
        <v>2354</v>
      </c>
      <c r="D575" t="s">
        <v>2355</v>
      </c>
      <c r="E575" t="s">
        <v>2356</v>
      </c>
      <c r="F575" t="s">
        <v>2357</v>
      </c>
      <c r="G575" t="s">
        <v>104</v>
      </c>
      <c r="H575" s="1">
        <v>35711</v>
      </c>
      <c r="I575">
        <v>29</v>
      </c>
      <c r="J575">
        <v>1997</v>
      </c>
      <c r="K575" s="1">
        <v>45311</v>
      </c>
      <c r="L575">
        <v>2024</v>
      </c>
      <c r="M575" t="s">
        <v>111</v>
      </c>
      <c r="N575">
        <v>8</v>
      </c>
      <c r="O575" t="s">
        <v>125</v>
      </c>
      <c r="P575" t="s">
        <v>56</v>
      </c>
      <c r="Q575">
        <v>36</v>
      </c>
      <c r="R575">
        <v>3</v>
      </c>
      <c r="S575" t="s">
        <v>126</v>
      </c>
      <c r="T575" t="s">
        <v>127</v>
      </c>
      <c r="U575">
        <v>7</v>
      </c>
      <c r="V575">
        <v>7</v>
      </c>
      <c r="W575">
        <v>7</v>
      </c>
      <c r="X575">
        <v>6</v>
      </c>
      <c r="Y575">
        <v>2</v>
      </c>
      <c r="Z575">
        <v>3</v>
      </c>
      <c r="AA575">
        <v>3.1666660000000002</v>
      </c>
      <c r="AB575">
        <v>9.5</v>
      </c>
      <c r="AC575" t="s">
        <v>540</v>
      </c>
      <c r="AD575" t="s">
        <v>60</v>
      </c>
      <c r="AE575">
        <v>1</v>
      </c>
      <c r="AF575">
        <v>0</v>
      </c>
      <c r="AG575">
        <v>0</v>
      </c>
      <c r="AH575">
        <v>1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3</v>
      </c>
      <c r="AP575">
        <v>0</v>
      </c>
      <c r="AQ575">
        <v>100</v>
      </c>
      <c r="AR575" s="2">
        <v>45737.525775462964</v>
      </c>
      <c r="AS575" s="2">
        <v>46031.653043981481</v>
      </c>
      <c r="AT575" t="s">
        <v>61</v>
      </c>
      <c r="AU575" t="s">
        <v>1357</v>
      </c>
      <c r="AV575">
        <v>294</v>
      </c>
    </row>
    <row r="576" spans="1:48" x14ac:dyDescent="0.25">
      <c r="A576">
        <v>937</v>
      </c>
      <c r="B576" t="s">
        <v>2358</v>
      </c>
      <c r="C576" t="s">
        <v>854</v>
      </c>
      <c r="D576" t="s">
        <v>2359</v>
      </c>
      <c r="E576" t="s">
        <v>2360</v>
      </c>
      <c r="F576" t="s">
        <v>2361</v>
      </c>
      <c r="G576" t="s">
        <v>104</v>
      </c>
      <c r="H576" s="1">
        <v>36840</v>
      </c>
      <c r="I576">
        <v>26</v>
      </c>
      <c r="J576">
        <v>2000</v>
      </c>
      <c r="K576" s="1">
        <v>44993</v>
      </c>
      <c r="L576">
        <v>2023</v>
      </c>
      <c r="M576" t="s">
        <v>111</v>
      </c>
      <c r="N576">
        <v>21</v>
      </c>
      <c r="O576" t="s">
        <v>339</v>
      </c>
      <c r="P576" t="s">
        <v>69</v>
      </c>
      <c r="Q576">
        <v>60</v>
      </c>
      <c r="R576">
        <v>7</v>
      </c>
      <c r="S576" t="s">
        <v>163</v>
      </c>
      <c r="T576" t="s">
        <v>164</v>
      </c>
      <c r="U576">
        <v>7</v>
      </c>
      <c r="V576">
        <v>7</v>
      </c>
      <c r="W576">
        <v>7</v>
      </c>
      <c r="X576">
        <v>7</v>
      </c>
      <c r="Y576">
        <v>2</v>
      </c>
      <c r="Z576">
        <v>7</v>
      </c>
      <c r="AA576">
        <v>2.5</v>
      </c>
      <c r="AB576">
        <v>17.5</v>
      </c>
      <c r="AC576" t="s">
        <v>59</v>
      </c>
      <c r="AD576" t="s">
        <v>112</v>
      </c>
      <c r="AE576">
        <v>0</v>
      </c>
      <c r="AF576">
        <v>0</v>
      </c>
      <c r="AG576">
        <v>1</v>
      </c>
      <c r="AH576">
        <v>2</v>
      </c>
      <c r="AI576">
        <v>0</v>
      </c>
      <c r="AJ576">
        <v>2</v>
      </c>
      <c r="AK576">
        <v>1</v>
      </c>
      <c r="AL576">
        <v>0</v>
      </c>
      <c r="AM576">
        <v>1</v>
      </c>
      <c r="AN576">
        <v>0</v>
      </c>
      <c r="AO576">
        <v>7</v>
      </c>
      <c r="AP576">
        <v>0</v>
      </c>
      <c r="AQ576">
        <v>100</v>
      </c>
      <c r="AR576" s="2">
        <v>45833.153773148151</v>
      </c>
      <c r="AS576" s="2">
        <v>46071.2028125</v>
      </c>
      <c r="AT576" t="s">
        <v>61</v>
      </c>
      <c r="AU576" t="s">
        <v>62</v>
      </c>
      <c r="AV576">
        <v>238</v>
      </c>
    </row>
    <row r="577" spans="1:48" x14ac:dyDescent="0.25">
      <c r="A577">
        <v>177</v>
      </c>
      <c r="B577" t="s">
        <v>2362</v>
      </c>
      <c r="C577" t="s">
        <v>2363</v>
      </c>
      <c r="D577" t="s">
        <v>1085</v>
      </c>
      <c r="E577" t="s">
        <v>2364</v>
      </c>
      <c r="F577">
        <f>1-706-857-8759</f>
        <v>-10321</v>
      </c>
      <c r="G577" t="s">
        <v>53</v>
      </c>
      <c r="H577" s="1">
        <v>36047</v>
      </c>
      <c r="I577">
        <v>28</v>
      </c>
      <c r="J577">
        <v>1998</v>
      </c>
      <c r="K577" s="1">
        <v>44663</v>
      </c>
      <c r="L577">
        <v>2022</v>
      </c>
      <c r="M577" t="s">
        <v>54</v>
      </c>
      <c r="N577">
        <v>16</v>
      </c>
      <c r="O577" t="s">
        <v>280</v>
      </c>
      <c r="P577" t="s">
        <v>119</v>
      </c>
      <c r="Q577">
        <v>120</v>
      </c>
      <c r="R577">
        <v>6</v>
      </c>
      <c r="S577" t="s">
        <v>140</v>
      </c>
      <c r="T577" t="s">
        <v>141</v>
      </c>
      <c r="U577">
        <v>7</v>
      </c>
      <c r="V577">
        <v>7</v>
      </c>
      <c r="W577">
        <v>7</v>
      </c>
      <c r="X577">
        <v>7</v>
      </c>
      <c r="Y577">
        <v>2</v>
      </c>
      <c r="Z577">
        <v>6</v>
      </c>
      <c r="AA577">
        <v>2.25</v>
      </c>
      <c r="AB577">
        <v>13.5</v>
      </c>
      <c r="AC577" t="s">
        <v>59</v>
      </c>
      <c r="AD577" t="s">
        <v>112</v>
      </c>
      <c r="AE577">
        <v>0</v>
      </c>
      <c r="AF577">
        <v>0</v>
      </c>
      <c r="AG577">
        <v>1</v>
      </c>
      <c r="AH577">
        <v>1</v>
      </c>
      <c r="AI577">
        <v>0</v>
      </c>
      <c r="AJ577">
        <v>2</v>
      </c>
      <c r="AK577">
        <v>0</v>
      </c>
      <c r="AL577">
        <v>0</v>
      </c>
      <c r="AM577">
        <v>2</v>
      </c>
      <c r="AN577">
        <v>0</v>
      </c>
      <c r="AO577">
        <v>6</v>
      </c>
      <c r="AP577">
        <v>0</v>
      </c>
      <c r="AQ577">
        <v>100</v>
      </c>
      <c r="AR577" s="2">
        <v>45727.964918981481</v>
      </c>
      <c r="AS577" s="2">
        <v>46059.339479166665</v>
      </c>
      <c r="AT577" t="s">
        <v>1357</v>
      </c>
      <c r="AU577" t="s">
        <v>62</v>
      </c>
      <c r="AV577">
        <v>332</v>
      </c>
    </row>
    <row r="578" spans="1:48" x14ac:dyDescent="0.25">
      <c r="A578">
        <v>282</v>
      </c>
      <c r="B578" t="s">
        <v>2365</v>
      </c>
      <c r="C578" t="s">
        <v>2366</v>
      </c>
      <c r="D578" t="s">
        <v>342</v>
      </c>
      <c r="E578" t="s">
        <v>2367</v>
      </c>
      <c r="F578" t="s">
        <v>2368</v>
      </c>
      <c r="G578" t="s">
        <v>104</v>
      </c>
      <c r="H578" s="1">
        <v>38203</v>
      </c>
      <c r="I578">
        <v>22</v>
      </c>
      <c r="J578">
        <v>2004</v>
      </c>
      <c r="K578" s="1">
        <v>44991</v>
      </c>
      <c r="L578">
        <v>2023</v>
      </c>
      <c r="M578" t="s">
        <v>54</v>
      </c>
      <c r="N578">
        <v>21</v>
      </c>
      <c r="O578" t="s">
        <v>339</v>
      </c>
      <c r="P578" t="s">
        <v>69</v>
      </c>
      <c r="Q578">
        <v>60</v>
      </c>
      <c r="R578">
        <v>7</v>
      </c>
      <c r="S578" t="s">
        <v>163</v>
      </c>
      <c r="T578" t="s">
        <v>164</v>
      </c>
      <c r="U578">
        <v>7</v>
      </c>
      <c r="V578">
        <v>7</v>
      </c>
      <c r="W578">
        <v>7</v>
      </c>
      <c r="X578">
        <v>6</v>
      </c>
      <c r="Y578">
        <v>2</v>
      </c>
      <c r="Z578">
        <v>6</v>
      </c>
      <c r="AA578">
        <v>1.666666</v>
      </c>
      <c r="AB578">
        <v>10</v>
      </c>
      <c r="AC578" t="s">
        <v>70</v>
      </c>
      <c r="AD578" t="s">
        <v>1061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</v>
      </c>
      <c r="AK578">
        <v>2</v>
      </c>
      <c r="AL578">
        <v>0</v>
      </c>
      <c r="AM578">
        <v>1</v>
      </c>
      <c r="AN578">
        <v>1</v>
      </c>
      <c r="AO578">
        <v>5</v>
      </c>
      <c r="AP578">
        <v>1</v>
      </c>
      <c r="AQ578">
        <v>83.333333333333002</v>
      </c>
      <c r="AR578" s="2">
        <v>45757.406354166669</v>
      </c>
      <c r="AS578" s="2">
        <v>46033.115023148152</v>
      </c>
      <c r="AT578" t="s">
        <v>1357</v>
      </c>
      <c r="AU578" t="s">
        <v>62</v>
      </c>
      <c r="AV578">
        <v>276</v>
      </c>
    </row>
    <row r="579" spans="1:48" x14ac:dyDescent="0.25">
      <c r="A579">
        <v>240</v>
      </c>
      <c r="B579" t="s">
        <v>2369</v>
      </c>
      <c r="C579" t="s">
        <v>1042</v>
      </c>
      <c r="D579" t="s">
        <v>1078</v>
      </c>
      <c r="E579" t="s">
        <v>2370</v>
      </c>
      <c r="F579" t="s">
        <v>2371</v>
      </c>
      <c r="G579" t="s">
        <v>104</v>
      </c>
      <c r="H579" s="1">
        <v>37075</v>
      </c>
      <c r="I579">
        <v>25</v>
      </c>
      <c r="J579">
        <v>2001</v>
      </c>
      <c r="K579" s="1">
        <v>44784</v>
      </c>
      <c r="L579">
        <v>2022</v>
      </c>
      <c r="M579" t="s">
        <v>54</v>
      </c>
      <c r="N579">
        <v>17</v>
      </c>
      <c r="O579" t="s">
        <v>350</v>
      </c>
      <c r="P579" t="s">
        <v>56</v>
      </c>
      <c r="Q579">
        <v>36</v>
      </c>
      <c r="R579">
        <v>6</v>
      </c>
      <c r="S579" t="s">
        <v>140</v>
      </c>
      <c r="T579" t="s">
        <v>141</v>
      </c>
      <c r="U579">
        <v>7</v>
      </c>
      <c r="V579">
        <v>7</v>
      </c>
      <c r="W579">
        <v>7</v>
      </c>
      <c r="X579">
        <v>7</v>
      </c>
      <c r="Y579">
        <v>2</v>
      </c>
      <c r="Z579">
        <v>7</v>
      </c>
      <c r="AA579">
        <v>2.8571420000000001</v>
      </c>
      <c r="AB579">
        <v>20</v>
      </c>
      <c r="AC579" t="s">
        <v>70</v>
      </c>
      <c r="AD579" t="s">
        <v>60</v>
      </c>
      <c r="AE579">
        <v>1</v>
      </c>
      <c r="AF579">
        <v>0</v>
      </c>
      <c r="AG579">
        <v>3</v>
      </c>
      <c r="AH579">
        <v>1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1</v>
      </c>
      <c r="AO579">
        <v>6</v>
      </c>
      <c r="AP579">
        <v>1</v>
      </c>
      <c r="AQ579">
        <v>85.714285714284998</v>
      </c>
      <c r="AR579" s="2">
        <v>45729.738506944443</v>
      </c>
      <c r="AS579" s="2">
        <v>45939.860046296293</v>
      </c>
      <c r="AT579" t="s">
        <v>61</v>
      </c>
      <c r="AU579" t="s">
        <v>62</v>
      </c>
      <c r="AV579">
        <v>210</v>
      </c>
    </row>
    <row r="580" spans="1:48" x14ac:dyDescent="0.25">
      <c r="A580">
        <v>818</v>
      </c>
      <c r="B580" t="s">
        <v>2372</v>
      </c>
      <c r="C580" t="s">
        <v>1359</v>
      </c>
      <c r="D580" t="s">
        <v>188</v>
      </c>
      <c r="E580" t="s">
        <v>2373</v>
      </c>
      <c r="F580" t="s">
        <v>2374</v>
      </c>
      <c r="G580" t="s">
        <v>104</v>
      </c>
      <c r="H580" s="1">
        <v>36716</v>
      </c>
      <c r="I580">
        <v>26</v>
      </c>
      <c r="J580">
        <v>2000</v>
      </c>
      <c r="K580" s="1">
        <v>45309</v>
      </c>
      <c r="L580">
        <v>2024</v>
      </c>
      <c r="M580" t="s">
        <v>54</v>
      </c>
      <c r="N580">
        <v>1</v>
      </c>
      <c r="O580" t="s">
        <v>157</v>
      </c>
      <c r="P580" t="s">
        <v>119</v>
      </c>
      <c r="Q580">
        <v>120</v>
      </c>
      <c r="R580">
        <v>1</v>
      </c>
      <c r="S580" t="s">
        <v>57</v>
      </c>
      <c r="T580" t="s">
        <v>58</v>
      </c>
      <c r="U580">
        <v>7</v>
      </c>
      <c r="V580">
        <v>7</v>
      </c>
      <c r="W580">
        <v>7</v>
      </c>
      <c r="X580">
        <v>7</v>
      </c>
      <c r="Y580">
        <v>2</v>
      </c>
      <c r="Z580">
        <v>7</v>
      </c>
      <c r="AA580">
        <v>2.5</v>
      </c>
      <c r="AB580">
        <v>17.5</v>
      </c>
      <c r="AC580" t="s">
        <v>59</v>
      </c>
      <c r="AD580" t="s">
        <v>60</v>
      </c>
      <c r="AE580">
        <v>1</v>
      </c>
      <c r="AF580">
        <v>0</v>
      </c>
      <c r="AG580">
        <v>1</v>
      </c>
      <c r="AH580">
        <v>0</v>
      </c>
      <c r="AI580">
        <v>0</v>
      </c>
      <c r="AJ580">
        <v>2</v>
      </c>
      <c r="AK580">
        <v>2</v>
      </c>
      <c r="AL580">
        <v>0</v>
      </c>
      <c r="AM580">
        <v>1</v>
      </c>
      <c r="AN580">
        <v>0</v>
      </c>
      <c r="AO580">
        <v>7</v>
      </c>
      <c r="AP580">
        <v>0</v>
      </c>
      <c r="AQ580">
        <v>100</v>
      </c>
      <c r="AR580" s="2">
        <v>45735.90148148148</v>
      </c>
      <c r="AS580" s="2">
        <v>46082.529351851852</v>
      </c>
      <c r="AT580" t="s">
        <v>61</v>
      </c>
      <c r="AU580" t="s">
        <v>62</v>
      </c>
      <c r="AV580">
        <v>347</v>
      </c>
    </row>
    <row r="581" spans="1:48" x14ac:dyDescent="0.25">
      <c r="A581">
        <v>280</v>
      </c>
      <c r="B581" t="s">
        <v>2375</v>
      </c>
      <c r="C581" t="s">
        <v>733</v>
      </c>
      <c r="D581" t="s">
        <v>1219</v>
      </c>
      <c r="E581" t="s">
        <v>2376</v>
      </c>
      <c r="F581" t="s">
        <v>2377</v>
      </c>
      <c r="G581" t="s">
        <v>53</v>
      </c>
      <c r="H581" s="1">
        <v>37539</v>
      </c>
      <c r="I581">
        <v>24</v>
      </c>
      <c r="J581">
        <v>2002</v>
      </c>
      <c r="K581" s="1">
        <v>45203</v>
      </c>
      <c r="L581">
        <v>2023</v>
      </c>
      <c r="M581" t="s">
        <v>54</v>
      </c>
      <c r="N581">
        <v>3</v>
      </c>
      <c r="O581" t="s">
        <v>68</v>
      </c>
      <c r="P581" t="s">
        <v>69</v>
      </c>
      <c r="Q581">
        <v>60</v>
      </c>
      <c r="R581">
        <v>1</v>
      </c>
      <c r="S581" t="s">
        <v>57</v>
      </c>
      <c r="T581" t="s">
        <v>58</v>
      </c>
      <c r="U581">
        <v>7</v>
      </c>
      <c r="V581">
        <v>7</v>
      </c>
      <c r="W581">
        <v>7</v>
      </c>
      <c r="X581">
        <v>6</v>
      </c>
      <c r="Y581">
        <v>2</v>
      </c>
      <c r="Z581">
        <v>7</v>
      </c>
      <c r="AA581">
        <v>2.9285709999999998</v>
      </c>
      <c r="AB581">
        <v>20.5</v>
      </c>
      <c r="AC581" t="s">
        <v>540</v>
      </c>
      <c r="AD581" t="s">
        <v>60</v>
      </c>
      <c r="AE581">
        <v>1</v>
      </c>
      <c r="AF581">
        <v>0</v>
      </c>
      <c r="AG581">
        <v>0</v>
      </c>
      <c r="AH581">
        <v>4</v>
      </c>
      <c r="AI581">
        <v>0</v>
      </c>
      <c r="AJ581">
        <v>1</v>
      </c>
      <c r="AK581">
        <v>1</v>
      </c>
      <c r="AL581">
        <v>0</v>
      </c>
      <c r="AM581">
        <v>0</v>
      </c>
      <c r="AN581">
        <v>0</v>
      </c>
      <c r="AO581">
        <v>7</v>
      </c>
      <c r="AP581">
        <v>0</v>
      </c>
      <c r="AQ581">
        <v>100</v>
      </c>
      <c r="AR581" s="2">
        <v>45803.730312500003</v>
      </c>
      <c r="AS581" s="2">
        <v>46048.039386574077</v>
      </c>
      <c r="AT581" t="s">
        <v>1357</v>
      </c>
      <c r="AU581" t="s">
        <v>62</v>
      </c>
      <c r="AV581">
        <v>245</v>
      </c>
    </row>
    <row r="582" spans="1:48" x14ac:dyDescent="0.25">
      <c r="A582">
        <v>645</v>
      </c>
      <c r="B582" t="s">
        <v>2378</v>
      </c>
      <c r="C582" t="s">
        <v>1015</v>
      </c>
      <c r="D582" t="s">
        <v>2379</v>
      </c>
      <c r="E582" t="s">
        <v>2380</v>
      </c>
      <c r="F582">
        <v>3137020569</v>
      </c>
      <c r="G582" t="s">
        <v>53</v>
      </c>
      <c r="H582" s="1">
        <v>35643</v>
      </c>
      <c r="I582">
        <v>29</v>
      </c>
      <c r="J582">
        <v>1997</v>
      </c>
      <c r="K582" s="1">
        <v>45691</v>
      </c>
      <c r="L582">
        <v>2025</v>
      </c>
      <c r="M582" t="s">
        <v>111</v>
      </c>
      <c r="N582">
        <v>14</v>
      </c>
      <c r="O582" t="s">
        <v>105</v>
      </c>
      <c r="P582" t="s">
        <v>56</v>
      </c>
      <c r="Q582">
        <v>36</v>
      </c>
      <c r="R582">
        <v>5</v>
      </c>
      <c r="S582" t="s">
        <v>92</v>
      </c>
      <c r="T582" t="s">
        <v>93</v>
      </c>
      <c r="U582">
        <v>6</v>
      </c>
      <c r="V582">
        <v>7</v>
      </c>
      <c r="W582">
        <v>7</v>
      </c>
      <c r="X582">
        <v>7</v>
      </c>
      <c r="Y582">
        <v>2</v>
      </c>
      <c r="Z582">
        <v>5</v>
      </c>
      <c r="AA582">
        <v>2.4</v>
      </c>
      <c r="AB582">
        <v>12</v>
      </c>
      <c r="AC582" t="s">
        <v>70</v>
      </c>
      <c r="AD582" t="s">
        <v>60</v>
      </c>
      <c r="AE582">
        <v>1</v>
      </c>
      <c r="AF582">
        <v>0</v>
      </c>
      <c r="AG582">
        <v>0</v>
      </c>
      <c r="AH582">
        <v>1</v>
      </c>
      <c r="AI582">
        <v>0</v>
      </c>
      <c r="AJ582">
        <v>2</v>
      </c>
      <c r="AK582">
        <v>0</v>
      </c>
      <c r="AL582">
        <v>0</v>
      </c>
      <c r="AM582">
        <v>0</v>
      </c>
      <c r="AN582">
        <v>1</v>
      </c>
      <c r="AO582">
        <v>4</v>
      </c>
      <c r="AP582">
        <v>1</v>
      </c>
      <c r="AQ582">
        <v>80</v>
      </c>
      <c r="AR582" s="2">
        <v>45801.001296296294</v>
      </c>
      <c r="AS582" s="2">
        <v>46004.831342592595</v>
      </c>
      <c r="AT582" t="s">
        <v>61</v>
      </c>
      <c r="AU582" t="s">
        <v>1357</v>
      </c>
      <c r="AV582">
        <v>203</v>
      </c>
    </row>
    <row r="583" spans="1:48" x14ac:dyDescent="0.25">
      <c r="A583">
        <v>866</v>
      </c>
      <c r="B583" t="s">
        <v>2381</v>
      </c>
      <c r="C583" t="s">
        <v>2363</v>
      </c>
      <c r="D583" t="s">
        <v>1642</v>
      </c>
      <c r="E583" t="s">
        <v>2382</v>
      </c>
      <c r="F583" t="s">
        <v>2383</v>
      </c>
      <c r="G583" t="s">
        <v>53</v>
      </c>
      <c r="H583" s="1">
        <v>35213</v>
      </c>
      <c r="I583">
        <v>30</v>
      </c>
      <c r="J583">
        <v>1996</v>
      </c>
      <c r="K583" s="1">
        <v>45624</v>
      </c>
      <c r="L583">
        <v>2024</v>
      </c>
      <c r="M583" t="s">
        <v>54</v>
      </c>
      <c r="N583">
        <v>15</v>
      </c>
      <c r="O583" t="s">
        <v>91</v>
      </c>
      <c r="P583" t="s">
        <v>69</v>
      </c>
      <c r="Q583">
        <v>60</v>
      </c>
      <c r="R583">
        <v>5</v>
      </c>
      <c r="S583" t="s">
        <v>92</v>
      </c>
      <c r="T583" t="s">
        <v>93</v>
      </c>
      <c r="U583">
        <v>7</v>
      </c>
      <c r="V583">
        <v>7</v>
      </c>
      <c r="W583">
        <v>7</v>
      </c>
      <c r="X583">
        <v>7</v>
      </c>
      <c r="Y583">
        <v>2</v>
      </c>
      <c r="Z583">
        <v>4</v>
      </c>
      <c r="AA583">
        <v>2.75</v>
      </c>
      <c r="AB583">
        <v>11</v>
      </c>
      <c r="AC583" t="s">
        <v>540</v>
      </c>
      <c r="AD583" t="s">
        <v>112</v>
      </c>
      <c r="AE583">
        <v>0</v>
      </c>
      <c r="AF583">
        <v>0</v>
      </c>
      <c r="AG583">
        <v>0</v>
      </c>
      <c r="AH583">
        <v>2</v>
      </c>
      <c r="AI583">
        <v>0</v>
      </c>
      <c r="AJ583">
        <v>2</v>
      </c>
      <c r="AK583">
        <v>0</v>
      </c>
      <c r="AL583">
        <v>0</v>
      </c>
      <c r="AM583">
        <v>0</v>
      </c>
      <c r="AN583">
        <v>0</v>
      </c>
      <c r="AO583">
        <v>4</v>
      </c>
      <c r="AP583">
        <v>0</v>
      </c>
      <c r="AQ583">
        <v>100</v>
      </c>
      <c r="AR583" s="2">
        <v>45722.207928240743</v>
      </c>
      <c r="AS583" s="2">
        <v>46036.83488425926</v>
      </c>
      <c r="AT583" t="s">
        <v>1357</v>
      </c>
      <c r="AU583" t="s">
        <v>62</v>
      </c>
      <c r="AV583">
        <v>314</v>
      </c>
    </row>
    <row r="584" spans="1:48" x14ac:dyDescent="0.25">
      <c r="A584">
        <v>828</v>
      </c>
      <c r="B584" t="s">
        <v>2384</v>
      </c>
      <c r="C584" t="s">
        <v>2385</v>
      </c>
      <c r="D584" t="s">
        <v>2386</v>
      </c>
      <c r="E584" t="s">
        <v>2387</v>
      </c>
      <c r="F584" t="s">
        <v>2388</v>
      </c>
      <c r="G584" t="s">
        <v>53</v>
      </c>
      <c r="H584" s="1">
        <v>35198</v>
      </c>
      <c r="I584">
        <v>30</v>
      </c>
      <c r="J584">
        <v>1996</v>
      </c>
      <c r="K584" s="1">
        <v>46014</v>
      </c>
      <c r="L584">
        <v>2025</v>
      </c>
      <c r="M584" t="s">
        <v>54</v>
      </c>
      <c r="N584">
        <v>13</v>
      </c>
      <c r="O584" t="s">
        <v>146</v>
      </c>
      <c r="P584" t="s">
        <v>119</v>
      </c>
      <c r="Q584">
        <v>120</v>
      </c>
      <c r="R584">
        <v>5</v>
      </c>
      <c r="S584" t="s">
        <v>92</v>
      </c>
      <c r="T584" t="s">
        <v>93</v>
      </c>
      <c r="U584">
        <v>6</v>
      </c>
      <c r="V584">
        <v>7</v>
      </c>
      <c r="W584">
        <v>7</v>
      </c>
      <c r="X584">
        <v>7</v>
      </c>
      <c r="Y584">
        <v>2</v>
      </c>
      <c r="Z584">
        <v>3</v>
      </c>
      <c r="AA584">
        <v>2.3333330000000001</v>
      </c>
      <c r="AB584">
        <v>7</v>
      </c>
      <c r="AC584" t="s">
        <v>540</v>
      </c>
      <c r="AD584" t="s">
        <v>1061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2</v>
      </c>
      <c r="AK584">
        <v>1</v>
      </c>
      <c r="AL584">
        <v>0</v>
      </c>
      <c r="AM584">
        <v>0</v>
      </c>
      <c r="AN584">
        <v>0</v>
      </c>
      <c r="AO584">
        <v>3</v>
      </c>
      <c r="AP584">
        <v>0</v>
      </c>
      <c r="AQ584">
        <v>100</v>
      </c>
      <c r="AR584" s="2">
        <v>45851.932696759257</v>
      </c>
      <c r="AS584" s="2">
        <v>46051.935162037036</v>
      </c>
      <c r="AT584" t="s">
        <v>61</v>
      </c>
      <c r="AU584" t="s">
        <v>1357</v>
      </c>
      <c r="AV584">
        <v>200</v>
      </c>
    </row>
    <row r="585" spans="1:48" x14ac:dyDescent="0.25">
      <c r="A585">
        <v>912</v>
      </c>
      <c r="B585" t="s">
        <v>2389</v>
      </c>
      <c r="C585" t="s">
        <v>668</v>
      </c>
      <c r="D585" t="s">
        <v>2390</v>
      </c>
      <c r="E585" t="s">
        <v>2391</v>
      </c>
      <c r="F585" t="s">
        <v>2392</v>
      </c>
      <c r="G585" t="s">
        <v>104</v>
      </c>
      <c r="H585" s="1">
        <v>38595</v>
      </c>
      <c r="I585">
        <v>21</v>
      </c>
      <c r="J585">
        <v>2005</v>
      </c>
      <c r="K585" s="1">
        <v>44968</v>
      </c>
      <c r="L585">
        <v>2023</v>
      </c>
      <c r="M585" t="s">
        <v>54</v>
      </c>
      <c r="N585">
        <v>19</v>
      </c>
      <c r="O585" t="s">
        <v>162</v>
      </c>
      <c r="P585" t="s">
        <v>119</v>
      </c>
      <c r="Q585">
        <v>120</v>
      </c>
      <c r="R585">
        <v>7</v>
      </c>
      <c r="S585" t="s">
        <v>163</v>
      </c>
      <c r="T585" t="s">
        <v>164</v>
      </c>
      <c r="U585">
        <v>7</v>
      </c>
      <c r="V585">
        <v>7</v>
      </c>
      <c r="W585">
        <v>7</v>
      </c>
      <c r="X585">
        <v>6</v>
      </c>
      <c r="Y585">
        <v>2</v>
      </c>
      <c r="Z585">
        <v>6</v>
      </c>
      <c r="AA585">
        <v>3.1666660000000002</v>
      </c>
      <c r="AB585">
        <v>19</v>
      </c>
      <c r="AC585" t="s">
        <v>540</v>
      </c>
      <c r="AD585" t="s">
        <v>60</v>
      </c>
      <c r="AE585">
        <v>2</v>
      </c>
      <c r="AF585">
        <v>0</v>
      </c>
      <c r="AG585">
        <v>1</v>
      </c>
      <c r="AH585">
        <v>1</v>
      </c>
      <c r="AI585">
        <v>0</v>
      </c>
      <c r="AJ585">
        <v>1</v>
      </c>
      <c r="AK585">
        <v>1</v>
      </c>
      <c r="AL585">
        <v>0</v>
      </c>
      <c r="AM585">
        <v>0</v>
      </c>
      <c r="AN585">
        <v>0</v>
      </c>
      <c r="AO585">
        <v>6</v>
      </c>
      <c r="AP585">
        <v>0</v>
      </c>
      <c r="AQ585">
        <v>100</v>
      </c>
      <c r="AR585" s="2">
        <v>45750.474398148152</v>
      </c>
      <c r="AS585" s="2">
        <v>46081.448425925926</v>
      </c>
      <c r="AT585" t="s">
        <v>1357</v>
      </c>
      <c r="AU585" t="s">
        <v>62</v>
      </c>
      <c r="AV585">
        <v>331</v>
      </c>
    </row>
    <row r="586" spans="1:48" x14ac:dyDescent="0.25">
      <c r="A586">
        <v>707</v>
      </c>
      <c r="B586" t="s">
        <v>2393</v>
      </c>
      <c r="C586" t="s">
        <v>2394</v>
      </c>
      <c r="D586" t="s">
        <v>596</v>
      </c>
      <c r="E586" t="s">
        <v>2395</v>
      </c>
      <c r="F586" t="s">
        <v>2396</v>
      </c>
      <c r="G586" t="s">
        <v>53</v>
      </c>
      <c r="H586" s="1">
        <v>38115</v>
      </c>
      <c r="I586">
        <v>22</v>
      </c>
      <c r="J586">
        <v>2004</v>
      </c>
      <c r="K586" s="1">
        <v>44885</v>
      </c>
      <c r="L586">
        <v>2022</v>
      </c>
      <c r="M586" t="s">
        <v>54</v>
      </c>
      <c r="N586">
        <v>10</v>
      </c>
      <c r="O586" t="s">
        <v>118</v>
      </c>
      <c r="P586" t="s">
        <v>119</v>
      </c>
      <c r="Q586">
        <v>120</v>
      </c>
      <c r="R586">
        <v>4</v>
      </c>
      <c r="S586" t="s">
        <v>77</v>
      </c>
      <c r="T586" t="s">
        <v>78</v>
      </c>
      <c r="U586">
        <v>7</v>
      </c>
      <c r="V586">
        <v>7</v>
      </c>
      <c r="W586">
        <v>7</v>
      </c>
      <c r="X586">
        <v>7</v>
      </c>
      <c r="Y586">
        <v>2</v>
      </c>
      <c r="Z586">
        <v>7</v>
      </c>
      <c r="AA586">
        <v>1.785714</v>
      </c>
      <c r="AB586">
        <v>12.5</v>
      </c>
      <c r="AC586" t="s">
        <v>70</v>
      </c>
      <c r="AD586" t="s">
        <v>1061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1</v>
      </c>
      <c r="AK586">
        <v>5</v>
      </c>
      <c r="AL586">
        <v>0</v>
      </c>
      <c r="AM586">
        <v>0</v>
      </c>
      <c r="AN586">
        <v>1</v>
      </c>
      <c r="AO586">
        <v>6</v>
      </c>
      <c r="AP586">
        <v>1</v>
      </c>
      <c r="AQ586">
        <v>85.714285714284998</v>
      </c>
      <c r="AR586" s="2">
        <v>45736.092592592591</v>
      </c>
      <c r="AS586" s="2">
        <v>46085.259004629632</v>
      </c>
      <c r="AT586" t="s">
        <v>61</v>
      </c>
      <c r="AU586" t="s">
        <v>62</v>
      </c>
      <c r="AV586">
        <v>349</v>
      </c>
    </row>
    <row r="587" spans="1:48" x14ac:dyDescent="0.25">
      <c r="A587">
        <v>189</v>
      </c>
      <c r="B587" t="s">
        <v>2397</v>
      </c>
      <c r="C587" t="s">
        <v>2033</v>
      </c>
      <c r="D587" t="s">
        <v>1289</v>
      </c>
      <c r="E587" t="s">
        <v>2398</v>
      </c>
      <c r="F587" t="s">
        <v>2399</v>
      </c>
      <c r="G587" t="s">
        <v>53</v>
      </c>
      <c r="H587" s="1">
        <v>35480</v>
      </c>
      <c r="I587">
        <v>29</v>
      </c>
      <c r="J587">
        <v>1997</v>
      </c>
      <c r="K587" s="1">
        <v>45642</v>
      </c>
      <c r="L587">
        <v>2024</v>
      </c>
      <c r="M587" t="s">
        <v>111</v>
      </c>
      <c r="N587">
        <v>18</v>
      </c>
      <c r="O587" t="s">
        <v>139</v>
      </c>
      <c r="P587" t="s">
        <v>69</v>
      </c>
      <c r="Q587">
        <v>60</v>
      </c>
      <c r="R587">
        <v>6</v>
      </c>
      <c r="S587" t="s">
        <v>140</v>
      </c>
      <c r="T587" t="s">
        <v>141</v>
      </c>
      <c r="U587">
        <v>7</v>
      </c>
      <c r="V587">
        <v>7</v>
      </c>
      <c r="W587">
        <v>7</v>
      </c>
      <c r="X587">
        <v>6</v>
      </c>
      <c r="Y587">
        <v>2</v>
      </c>
      <c r="Z587">
        <v>7</v>
      </c>
      <c r="AA587">
        <v>1.785714</v>
      </c>
      <c r="AB587">
        <v>12.5</v>
      </c>
      <c r="AC587" t="s">
        <v>70</v>
      </c>
      <c r="AD587" t="s">
        <v>112</v>
      </c>
      <c r="AE587">
        <v>0</v>
      </c>
      <c r="AF587">
        <v>0</v>
      </c>
      <c r="AG587">
        <v>1</v>
      </c>
      <c r="AH587">
        <v>1</v>
      </c>
      <c r="AI587">
        <v>0</v>
      </c>
      <c r="AJ587">
        <v>2</v>
      </c>
      <c r="AK587">
        <v>0</v>
      </c>
      <c r="AL587">
        <v>0</v>
      </c>
      <c r="AM587">
        <v>1</v>
      </c>
      <c r="AN587">
        <v>2</v>
      </c>
      <c r="AO587">
        <v>5</v>
      </c>
      <c r="AP587">
        <v>2</v>
      </c>
      <c r="AQ587">
        <v>71.428571428571004</v>
      </c>
      <c r="AR587" s="2">
        <v>45815.267881944441</v>
      </c>
      <c r="AS587" s="2">
        <v>46071.755960648145</v>
      </c>
      <c r="AT587" t="s">
        <v>61</v>
      </c>
      <c r="AU587" t="s">
        <v>62</v>
      </c>
      <c r="AV587">
        <v>256</v>
      </c>
    </row>
    <row r="588" spans="1:48" x14ac:dyDescent="0.25">
      <c r="A588">
        <v>181</v>
      </c>
      <c r="B588" t="s">
        <v>2400</v>
      </c>
      <c r="C588" t="s">
        <v>271</v>
      </c>
      <c r="D588" t="s">
        <v>1241</v>
      </c>
      <c r="E588" t="s">
        <v>2401</v>
      </c>
      <c r="F588" t="s">
        <v>2402</v>
      </c>
      <c r="G588" t="s">
        <v>53</v>
      </c>
      <c r="H588" s="1">
        <v>36537</v>
      </c>
      <c r="I588">
        <v>26</v>
      </c>
      <c r="J588">
        <v>2000</v>
      </c>
      <c r="K588" s="1">
        <v>46001</v>
      </c>
      <c r="L588">
        <v>2025</v>
      </c>
      <c r="M588" t="s">
        <v>54</v>
      </c>
      <c r="N588">
        <v>19</v>
      </c>
      <c r="O588" t="s">
        <v>162</v>
      </c>
      <c r="P588" t="s">
        <v>119</v>
      </c>
      <c r="Q588">
        <v>120</v>
      </c>
      <c r="R588">
        <v>7</v>
      </c>
      <c r="S588" t="s">
        <v>163</v>
      </c>
      <c r="T588" t="s">
        <v>164</v>
      </c>
      <c r="U588">
        <v>7</v>
      </c>
      <c r="V588">
        <v>7</v>
      </c>
      <c r="W588">
        <v>7</v>
      </c>
      <c r="X588">
        <v>6</v>
      </c>
      <c r="Y588">
        <v>2</v>
      </c>
      <c r="Z588">
        <v>7</v>
      </c>
      <c r="AA588">
        <v>2.6428569999999998</v>
      </c>
      <c r="AB588">
        <v>18.5</v>
      </c>
      <c r="AC588" t="s">
        <v>70</v>
      </c>
      <c r="AD588" t="s">
        <v>112</v>
      </c>
      <c r="AE588">
        <v>0</v>
      </c>
      <c r="AF588">
        <v>0</v>
      </c>
      <c r="AG588">
        <v>3</v>
      </c>
      <c r="AH588">
        <v>2</v>
      </c>
      <c r="AI588">
        <v>0</v>
      </c>
      <c r="AJ588">
        <v>0</v>
      </c>
      <c r="AK588">
        <v>1</v>
      </c>
      <c r="AL588">
        <v>0</v>
      </c>
      <c r="AM588">
        <v>0</v>
      </c>
      <c r="AN588">
        <v>1</v>
      </c>
      <c r="AO588">
        <v>6</v>
      </c>
      <c r="AP588">
        <v>1</v>
      </c>
      <c r="AQ588">
        <v>85.714285714284998</v>
      </c>
      <c r="AR588" s="2">
        <v>45771.131863425922</v>
      </c>
      <c r="AS588" s="2">
        <v>46062.487708333334</v>
      </c>
      <c r="AT588" t="s">
        <v>61</v>
      </c>
      <c r="AU588" t="s">
        <v>62</v>
      </c>
      <c r="AV588">
        <v>291</v>
      </c>
    </row>
    <row r="589" spans="1:48" x14ac:dyDescent="0.25">
      <c r="A589">
        <v>87</v>
      </c>
      <c r="B589" t="s">
        <v>2403</v>
      </c>
      <c r="C589" t="s">
        <v>2404</v>
      </c>
      <c r="D589" t="s">
        <v>2405</v>
      </c>
      <c r="E589" t="s">
        <v>2406</v>
      </c>
      <c r="F589" t="s">
        <v>2407</v>
      </c>
      <c r="G589" t="s">
        <v>53</v>
      </c>
      <c r="H589" s="1">
        <v>37636</v>
      </c>
      <c r="I589">
        <v>23</v>
      </c>
      <c r="J589">
        <v>2003</v>
      </c>
      <c r="K589" s="1">
        <v>45617</v>
      </c>
      <c r="L589">
        <v>2024</v>
      </c>
      <c r="M589" t="s">
        <v>54</v>
      </c>
      <c r="N589">
        <v>6</v>
      </c>
      <c r="O589" t="s">
        <v>133</v>
      </c>
      <c r="P589" t="s">
        <v>69</v>
      </c>
      <c r="Q589">
        <v>60</v>
      </c>
      <c r="R589">
        <v>2</v>
      </c>
      <c r="S589" t="s">
        <v>85</v>
      </c>
      <c r="T589" t="s">
        <v>86</v>
      </c>
      <c r="U589">
        <v>7</v>
      </c>
      <c r="V589">
        <v>7</v>
      </c>
      <c r="W589">
        <v>7</v>
      </c>
      <c r="X589">
        <v>6</v>
      </c>
      <c r="Y589">
        <v>2</v>
      </c>
      <c r="Z589">
        <v>7</v>
      </c>
      <c r="AA589">
        <v>2.4285709999999998</v>
      </c>
      <c r="AB589">
        <v>17</v>
      </c>
      <c r="AC589" t="s">
        <v>59</v>
      </c>
      <c r="AD589" t="s">
        <v>60</v>
      </c>
      <c r="AE589">
        <v>1</v>
      </c>
      <c r="AF589">
        <v>0</v>
      </c>
      <c r="AG589">
        <v>1</v>
      </c>
      <c r="AH589">
        <v>1</v>
      </c>
      <c r="AI589">
        <v>0</v>
      </c>
      <c r="AJ589">
        <v>1</v>
      </c>
      <c r="AK589">
        <v>1</v>
      </c>
      <c r="AL589">
        <v>0</v>
      </c>
      <c r="AM589">
        <v>2</v>
      </c>
      <c r="AN589">
        <v>0</v>
      </c>
      <c r="AO589">
        <v>7</v>
      </c>
      <c r="AP589">
        <v>0</v>
      </c>
      <c r="AQ589">
        <v>100</v>
      </c>
      <c r="AR589" s="2">
        <v>45884.289884259262</v>
      </c>
      <c r="AS589" s="2">
        <v>46085.026736111111</v>
      </c>
      <c r="AT589" t="s">
        <v>61</v>
      </c>
      <c r="AU589" t="s">
        <v>62</v>
      </c>
      <c r="AV589">
        <v>201</v>
      </c>
    </row>
    <row r="590" spans="1:48" x14ac:dyDescent="0.25">
      <c r="A590">
        <v>481</v>
      </c>
      <c r="B590" t="s">
        <v>2408</v>
      </c>
      <c r="C590" t="s">
        <v>888</v>
      </c>
      <c r="D590" t="s">
        <v>576</v>
      </c>
      <c r="E590" t="s">
        <v>2409</v>
      </c>
      <c r="F590" t="s">
        <v>2410</v>
      </c>
      <c r="G590" t="s">
        <v>53</v>
      </c>
      <c r="H590" s="1">
        <v>39232</v>
      </c>
      <c r="I590">
        <v>19</v>
      </c>
      <c r="J590">
        <v>2007</v>
      </c>
      <c r="K590" s="1">
        <v>46052</v>
      </c>
      <c r="L590">
        <v>2026</v>
      </c>
      <c r="M590" t="s">
        <v>54</v>
      </c>
      <c r="N590">
        <v>8</v>
      </c>
      <c r="O590" t="s">
        <v>125</v>
      </c>
      <c r="P590" t="s">
        <v>56</v>
      </c>
      <c r="Q590">
        <v>36</v>
      </c>
      <c r="R590">
        <v>3</v>
      </c>
      <c r="S590" t="s">
        <v>126</v>
      </c>
      <c r="T590" t="s">
        <v>127</v>
      </c>
      <c r="U590">
        <v>7</v>
      </c>
      <c r="V590">
        <v>7</v>
      </c>
      <c r="W590">
        <v>7</v>
      </c>
      <c r="X590">
        <v>7</v>
      </c>
      <c r="Y590">
        <v>2</v>
      </c>
      <c r="Z590">
        <v>6</v>
      </c>
      <c r="AA590">
        <v>3</v>
      </c>
      <c r="AB590">
        <v>18</v>
      </c>
      <c r="AC590" t="s">
        <v>540</v>
      </c>
      <c r="AD590" t="s">
        <v>60</v>
      </c>
      <c r="AE590">
        <v>1</v>
      </c>
      <c r="AF590">
        <v>0</v>
      </c>
      <c r="AG590">
        <v>1</v>
      </c>
      <c r="AH590">
        <v>2</v>
      </c>
      <c r="AI590">
        <v>0</v>
      </c>
      <c r="AJ590">
        <v>1</v>
      </c>
      <c r="AK590">
        <v>1</v>
      </c>
      <c r="AL590">
        <v>0</v>
      </c>
      <c r="AM590">
        <v>0</v>
      </c>
      <c r="AN590">
        <v>0</v>
      </c>
      <c r="AO590">
        <v>6</v>
      </c>
      <c r="AP590">
        <v>0</v>
      </c>
      <c r="AQ590">
        <v>100</v>
      </c>
      <c r="AR590" s="2">
        <v>45734.902129629627</v>
      </c>
      <c r="AS590" s="2">
        <v>46067.622337962966</v>
      </c>
      <c r="AT590" t="s">
        <v>61</v>
      </c>
      <c r="AU590" t="s">
        <v>1357</v>
      </c>
      <c r="AV590">
        <v>333</v>
      </c>
    </row>
    <row r="591" spans="1:48" x14ac:dyDescent="0.25">
      <c r="A591">
        <v>236</v>
      </c>
      <c r="B591" t="s">
        <v>2411</v>
      </c>
      <c r="C591" t="s">
        <v>918</v>
      </c>
      <c r="D591" t="s">
        <v>1881</v>
      </c>
      <c r="E591" t="s">
        <v>2412</v>
      </c>
      <c r="F591">
        <f>1-342-245-882</f>
        <v>-1468</v>
      </c>
      <c r="G591" t="s">
        <v>104</v>
      </c>
      <c r="H591" s="1">
        <v>34786</v>
      </c>
      <c r="I591">
        <v>31</v>
      </c>
      <c r="J591">
        <v>1995</v>
      </c>
      <c r="K591" s="1">
        <v>45496</v>
      </c>
      <c r="L591">
        <v>2024</v>
      </c>
      <c r="M591" t="s">
        <v>54</v>
      </c>
      <c r="N591">
        <v>12</v>
      </c>
      <c r="O591" t="s">
        <v>76</v>
      </c>
      <c r="P591" t="s">
        <v>69</v>
      </c>
      <c r="Q591">
        <v>60</v>
      </c>
      <c r="R591">
        <v>4</v>
      </c>
      <c r="S591" t="s">
        <v>77</v>
      </c>
      <c r="T591" t="s">
        <v>78</v>
      </c>
      <c r="U591">
        <v>7</v>
      </c>
      <c r="V591">
        <v>7</v>
      </c>
      <c r="W591">
        <v>7</v>
      </c>
      <c r="X591">
        <v>7</v>
      </c>
      <c r="Y591">
        <v>2</v>
      </c>
      <c r="Z591">
        <v>7</v>
      </c>
      <c r="AA591">
        <v>2.071428</v>
      </c>
      <c r="AB591">
        <v>14.5</v>
      </c>
      <c r="AC591" t="s">
        <v>70</v>
      </c>
      <c r="AD591" t="s">
        <v>60</v>
      </c>
      <c r="AE591">
        <v>1</v>
      </c>
      <c r="AF591">
        <v>0</v>
      </c>
      <c r="AG591">
        <v>0</v>
      </c>
      <c r="AH591">
        <v>2</v>
      </c>
      <c r="AI591">
        <v>0</v>
      </c>
      <c r="AJ591">
        <v>1</v>
      </c>
      <c r="AK591">
        <v>1</v>
      </c>
      <c r="AL591">
        <v>0</v>
      </c>
      <c r="AM591">
        <v>0</v>
      </c>
      <c r="AN591">
        <v>2</v>
      </c>
      <c r="AO591">
        <v>5</v>
      </c>
      <c r="AP591">
        <v>2</v>
      </c>
      <c r="AQ591">
        <v>71.428571428571004</v>
      </c>
      <c r="AR591" s="2">
        <v>45736.499490740738</v>
      </c>
      <c r="AS591" s="2">
        <v>46041.249050925922</v>
      </c>
      <c r="AT591" t="s">
        <v>61</v>
      </c>
      <c r="AU591" t="s">
        <v>1357</v>
      </c>
      <c r="AV591">
        <v>305</v>
      </c>
    </row>
    <row r="592" spans="1:48" x14ac:dyDescent="0.25">
      <c r="A592">
        <v>549</v>
      </c>
      <c r="B592" t="s">
        <v>2413</v>
      </c>
      <c r="C592" t="s">
        <v>1692</v>
      </c>
      <c r="D592" t="s">
        <v>502</v>
      </c>
      <c r="E592" t="s">
        <v>2414</v>
      </c>
      <c r="F592" t="s">
        <v>2415</v>
      </c>
      <c r="G592" t="s">
        <v>104</v>
      </c>
      <c r="H592" s="1">
        <v>38959</v>
      </c>
      <c r="I592">
        <v>20</v>
      </c>
      <c r="J592">
        <v>2006</v>
      </c>
      <c r="K592" s="1">
        <v>45661</v>
      </c>
      <c r="L592">
        <v>2025</v>
      </c>
      <c r="M592" t="s">
        <v>54</v>
      </c>
      <c r="N592">
        <v>2</v>
      </c>
      <c r="O592" t="s">
        <v>55</v>
      </c>
      <c r="P592" t="s">
        <v>56</v>
      </c>
      <c r="Q592">
        <v>36</v>
      </c>
      <c r="R592">
        <v>1</v>
      </c>
      <c r="S592" t="s">
        <v>57</v>
      </c>
      <c r="T592" t="s">
        <v>58</v>
      </c>
      <c r="U592">
        <v>7</v>
      </c>
      <c r="V592">
        <v>7</v>
      </c>
      <c r="W592">
        <v>7</v>
      </c>
      <c r="X592">
        <v>6</v>
      </c>
      <c r="Y592">
        <v>2</v>
      </c>
      <c r="Z592">
        <v>7</v>
      </c>
      <c r="AA592">
        <v>2.2142849999999998</v>
      </c>
      <c r="AB592">
        <v>15.5</v>
      </c>
      <c r="AC592" t="s">
        <v>59</v>
      </c>
      <c r="AD592" t="s">
        <v>112</v>
      </c>
      <c r="AE592">
        <v>0</v>
      </c>
      <c r="AF592">
        <v>0</v>
      </c>
      <c r="AG592">
        <v>1</v>
      </c>
      <c r="AH592">
        <v>1</v>
      </c>
      <c r="AI592">
        <v>0</v>
      </c>
      <c r="AJ592">
        <v>0</v>
      </c>
      <c r="AK592">
        <v>4</v>
      </c>
      <c r="AL592">
        <v>0</v>
      </c>
      <c r="AM592">
        <v>1</v>
      </c>
      <c r="AN592">
        <v>0</v>
      </c>
      <c r="AO592">
        <v>7</v>
      </c>
      <c r="AP592">
        <v>0</v>
      </c>
      <c r="AQ592">
        <v>100</v>
      </c>
      <c r="AR592" s="2">
        <v>45826.761087962965</v>
      </c>
      <c r="AS592" s="2">
        <v>46037.557210648149</v>
      </c>
      <c r="AT592" t="s">
        <v>61</v>
      </c>
      <c r="AU592" t="s">
        <v>62</v>
      </c>
      <c r="AV592">
        <v>211</v>
      </c>
    </row>
    <row r="593" spans="1:48" x14ac:dyDescent="0.25">
      <c r="A593">
        <v>146</v>
      </c>
      <c r="B593" t="s">
        <v>2416</v>
      </c>
      <c r="C593" t="s">
        <v>681</v>
      </c>
      <c r="D593" t="s">
        <v>1050</v>
      </c>
      <c r="E593" t="s">
        <v>2417</v>
      </c>
      <c r="F593" t="s">
        <v>2418</v>
      </c>
      <c r="G593" t="s">
        <v>53</v>
      </c>
      <c r="H593" s="1">
        <v>37595</v>
      </c>
      <c r="I593">
        <v>24</v>
      </c>
      <c r="J593">
        <v>2002</v>
      </c>
      <c r="K593" s="1">
        <v>45464</v>
      </c>
      <c r="L593">
        <v>2024</v>
      </c>
      <c r="M593" t="s">
        <v>54</v>
      </c>
      <c r="N593">
        <v>13</v>
      </c>
      <c r="O593" t="s">
        <v>146</v>
      </c>
      <c r="P593" t="s">
        <v>119</v>
      </c>
      <c r="Q593">
        <v>120</v>
      </c>
      <c r="R593">
        <v>5</v>
      </c>
      <c r="S593" t="s">
        <v>92</v>
      </c>
      <c r="T593" t="s">
        <v>93</v>
      </c>
      <c r="U593">
        <v>7</v>
      </c>
      <c r="V593">
        <v>7</v>
      </c>
      <c r="W593">
        <v>7</v>
      </c>
      <c r="X593">
        <v>7</v>
      </c>
      <c r="Y593">
        <v>2</v>
      </c>
      <c r="Z593">
        <v>6</v>
      </c>
      <c r="AA593">
        <v>1.5</v>
      </c>
      <c r="AB593">
        <v>9</v>
      </c>
      <c r="AC593" t="s">
        <v>70</v>
      </c>
      <c r="AD593" t="s">
        <v>60</v>
      </c>
      <c r="AE593">
        <v>1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2</v>
      </c>
      <c r="AN593">
        <v>2</v>
      </c>
      <c r="AO593">
        <v>4</v>
      </c>
      <c r="AP593">
        <v>2</v>
      </c>
      <c r="AQ593">
        <v>66.666666666666003</v>
      </c>
      <c r="AR593" s="2">
        <v>45777.981516203705</v>
      </c>
      <c r="AS593" s="2">
        <v>46045.235393518517</v>
      </c>
      <c r="AT593" t="s">
        <v>61</v>
      </c>
      <c r="AU593" t="s">
        <v>1357</v>
      </c>
      <c r="AV593">
        <v>268</v>
      </c>
    </row>
    <row r="594" spans="1:48" x14ac:dyDescent="0.25">
      <c r="A594">
        <v>368</v>
      </c>
      <c r="B594" t="s">
        <v>2419</v>
      </c>
      <c r="C594" t="s">
        <v>238</v>
      </c>
      <c r="D594" t="s">
        <v>2420</v>
      </c>
      <c r="E594" t="s">
        <v>2421</v>
      </c>
      <c r="F594">
        <v>3682671773</v>
      </c>
      <c r="G594" t="s">
        <v>104</v>
      </c>
      <c r="H594" s="1">
        <v>38054</v>
      </c>
      <c r="I594">
        <v>22</v>
      </c>
      <c r="J594">
        <v>2004</v>
      </c>
      <c r="K594" s="1">
        <v>45219</v>
      </c>
      <c r="L594">
        <v>2023</v>
      </c>
      <c r="M594" t="s">
        <v>111</v>
      </c>
      <c r="N594">
        <v>6</v>
      </c>
      <c r="O594" t="s">
        <v>133</v>
      </c>
      <c r="P594" t="s">
        <v>69</v>
      </c>
      <c r="Q594">
        <v>60</v>
      </c>
      <c r="R594">
        <v>2</v>
      </c>
      <c r="S594" t="s">
        <v>85</v>
      </c>
      <c r="T594" t="s">
        <v>86</v>
      </c>
      <c r="U594">
        <v>6</v>
      </c>
      <c r="V594">
        <v>7</v>
      </c>
      <c r="W594">
        <v>7</v>
      </c>
      <c r="X594">
        <v>7</v>
      </c>
      <c r="Y594">
        <v>2</v>
      </c>
      <c r="Z594">
        <v>5</v>
      </c>
      <c r="AA594">
        <v>3.2</v>
      </c>
      <c r="AB594">
        <v>16</v>
      </c>
      <c r="AC594" t="s">
        <v>540</v>
      </c>
      <c r="AD594" t="s">
        <v>60</v>
      </c>
      <c r="AE594">
        <v>2</v>
      </c>
      <c r="AF594">
        <v>0</v>
      </c>
      <c r="AG594">
        <v>1</v>
      </c>
      <c r="AH594">
        <v>0</v>
      </c>
      <c r="AI594">
        <v>0</v>
      </c>
      <c r="AJ594">
        <v>1</v>
      </c>
      <c r="AK594">
        <v>1</v>
      </c>
      <c r="AL594">
        <v>0</v>
      </c>
      <c r="AM594">
        <v>0</v>
      </c>
      <c r="AN594">
        <v>0</v>
      </c>
      <c r="AO594">
        <v>5</v>
      </c>
      <c r="AP594">
        <v>0</v>
      </c>
      <c r="AQ594">
        <v>100</v>
      </c>
      <c r="AR594" s="2">
        <v>45724.449224537035</v>
      </c>
      <c r="AS594" s="2">
        <v>46000.256493055553</v>
      </c>
      <c r="AT594" t="s">
        <v>61</v>
      </c>
      <c r="AU594" t="s">
        <v>1357</v>
      </c>
      <c r="AV594">
        <v>276</v>
      </c>
    </row>
    <row r="595" spans="1:48" x14ac:dyDescent="0.25">
      <c r="A595">
        <v>565</v>
      </c>
      <c r="B595" t="s">
        <v>2422</v>
      </c>
      <c r="C595" t="s">
        <v>1042</v>
      </c>
      <c r="D595" t="s">
        <v>1135</v>
      </c>
      <c r="E595" t="s">
        <v>2423</v>
      </c>
      <c r="F595" t="s">
        <v>2424</v>
      </c>
      <c r="G595" t="s">
        <v>104</v>
      </c>
      <c r="H595" s="1">
        <v>38214</v>
      </c>
      <c r="I595">
        <v>22</v>
      </c>
      <c r="J595">
        <v>2004</v>
      </c>
      <c r="K595" s="1">
        <v>45805</v>
      </c>
      <c r="L595">
        <v>2025</v>
      </c>
      <c r="M595" t="s">
        <v>54</v>
      </c>
      <c r="N595">
        <v>1</v>
      </c>
      <c r="O595" t="s">
        <v>157</v>
      </c>
      <c r="P595" t="s">
        <v>119</v>
      </c>
      <c r="Q595">
        <v>120</v>
      </c>
      <c r="R595">
        <v>1</v>
      </c>
      <c r="S595" t="s">
        <v>57</v>
      </c>
      <c r="T595" t="s">
        <v>58</v>
      </c>
      <c r="U595">
        <v>7</v>
      </c>
      <c r="V595">
        <v>7</v>
      </c>
      <c r="W595">
        <v>7</v>
      </c>
      <c r="X595">
        <v>7</v>
      </c>
      <c r="Y595">
        <v>2</v>
      </c>
      <c r="Z595">
        <v>7</v>
      </c>
      <c r="AA595">
        <v>1</v>
      </c>
      <c r="AB595">
        <v>7</v>
      </c>
      <c r="AC595" t="s">
        <v>70</v>
      </c>
      <c r="AD595" t="s">
        <v>112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1</v>
      </c>
      <c r="AL595">
        <v>0</v>
      </c>
      <c r="AM595">
        <v>2</v>
      </c>
      <c r="AN595">
        <v>3</v>
      </c>
      <c r="AO595">
        <v>4</v>
      </c>
      <c r="AP595">
        <v>3</v>
      </c>
      <c r="AQ595">
        <v>57.142857142856997</v>
      </c>
      <c r="AR595" s="2">
        <v>45738.057025462964</v>
      </c>
      <c r="AS595" s="2">
        <v>46079.7653125</v>
      </c>
      <c r="AT595" t="s">
        <v>61</v>
      </c>
      <c r="AU595" t="s">
        <v>62</v>
      </c>
      <c r="AV595">
        <v>341</v>
      </c>
    </row>
    <row r="596" spans="1:48" x14ac:dyDescent="0.25">
      <c r="A596">
        <v>931</v>
      </c>
      <c r="B596" t="s">
        <v>2425</v>
      </c>
      <c r="C596" t="s">
        <v>122</v>
      </c>
      <c r="D596" t="s">
        <v>2426</v>
      </c>
      <c r="E596" t="s">
        <v>2427</v>
      </c>
      <c r="F596">
        <f>1-818-298-4841</f>
        <v>-5956</v>
      </c>
      <c r="G596" t="s">
        <v>104</v>
      </c>
      <c r="H596" s="1">
        <v>36244</v>
      </c>
      <c r="I596">
        <v>27</v>
      </c>
      <c r="J596">
        <v>1999</v>
      </c>
      <c r="K596" s="1">
        <v>45907</v>
      </c>
      <c r="L596">
        <v>2025</v>
      </c>
      <c r="M596" t="s">
        <v>54</v>
      </c>
      <c r="N596">
        <v>19</v>
      </c>
      <c r="O596" t="s">
        <v>162</v>
      </c>
      <c r="P596" t="s">
        <v>119</v>
      </c>
      <c r="Q596">
        <v>120</v>
      </c>
      <c r="R596">
        <v>7</v>
      </c>
      <c r="S596" t="s">
        <v>163</v>
      </c>
      <c r="T596" t="s">
        <v>164</v>
      </c>
      <c r="U596">
        <v>7</v>
      </c>
      <c r="V596">
        <v>7</v>
      </c>
      <c r="W596">
        <v>7</v>
      </c>
      <c r="X596">
        <v>7</v>
      </c>
      <c r="Y596">
        <v>2</v>
      </c>
      <c r="Z596">
        <v>7</v>
      </c>
      <c r="AA596">
        <v>2.5</v>
      </c>
      <c r="AB596">
        <v>17.5</v>
      </c>
      <c r="AC596" t="s">
        <v>70</v>
      </c>
      <c r="AD596" t="s">
        <v>60</v>
      </c>
      <c r="AE596">
        <v>2</v>
      </c>
      <c r="AF596">
        <v>0</v>
      </c>
      <c r="AG596">
        <v>1</v>
      </c>
      <c r="AH596">
        <v>1</v>
      </c>
      <c r="AI596">
        <v>0</v>
      </c>
      <c r="AJ596">
        <v>0</v>
      </c>
      <c r="AK596">
        <v>1</v>
      </c>
      <c r="AL596">
        <v>0</v>
      </c>
      <c r="AM596">
        <v>1</v>
      </c>
      <c r="AN596">
        <v>1</v>
      </c>
      <c r="AO596">
        <v>6</v>
      </c>
      <c r="AP596">
        <v>1</v>
      </c>
      <c r="AQ596">
        <v>85.714285714284998</v>
      </c>
      <c r="AR596" s="2">
        <v>45730.035046296296</v>
      </c>
      <c r="AS596" s="2">
        <v>46053.748668981483</v>
      </c>
      <c r="AT596" t="s">
        <v>61</v>
      </c>
      <c r="AU596" t="s">
        <v>62</v>
      </c>
      <c r="AV596">
        <v>323</v>
      </c>
    </row>
    <row r="597" spans="1:48" x14ac:dyDescent="0.25">
      <c r="A597">
        <v>861</v>
      </c>
      <c r="B597" t="s">
        <v>2428</v>
      </c>
      <c r="C597" t="s">
        <v>690</v>
      </c>
      <c r="D597" t="s">
        <v>2429</v>
      </c>
      <c r="E597" t="s">
        <v>2430</v>
      </c>
      <c r="F597" t="s">
        <v>2431</v>
      </c>
      <c r="G597" t="s">
        <v>104</v>
      </c>
      <c r="H597" s="1">
        <v>37367</v>
      </c>
      <c r="I597">
        <v>24</v>
      </c>
      <c r="J597">
        <v>2002</v>
      </c>
      <c r="K597" s="1">
        <v>45202</v>
      </c>
      <c r="L597">
        <v>2023</v>
      </c>
      <c r="M597" t="s">
        <v>225</v>
      </c>
      <c r="N597">
        <v>5</v>
      </c>
      <c r="O597" t="s">
        <v>84</v>
      </c>
      <c r="P597" t="s">
        <v>56</v>
      </c>
      <c r="Q597">
        <v>36</v>
      </c>
      <c r="R597">
        <v>2</v>
      </c>
      <c r="S597" t="s">
        <v>85</v>
      </c>
      <c r="T597" t="s">
        <v>86</v>
      </c>
      <c r="U597">
        <v>7</v>
      </c>
      <c r="V597">
        <v>7</v>
      </c>
      <c r="W597">
        <v>7</v>
      </c>
      <c r="X597">
        <v>6</v>
      </c>
      <c r="Y597">
        <v>2</v>
      </c>
      <c r="Z597">
        <v>5</v>
      </c>
      <c r="AA597">
        <v>1.8</v>
      </c>
      <c r="AB597">
        <v>9</v>
      </c>
      <c r="AC597" t="s">
        <v>59</v>
      </c>
      <c r="AD597" t="s">
        <v>281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3</v>
      </c>
      <c r="AN597">
        <v>0</v>
      </c>
      <c r="AO597">
        <v>5</v>
      </c>
      <c r="AP597">
        <v>0</v>
      </c>
      <c r="AQ597">
        <v>100</v>
      </c>
      <c r="AR597" s="2">
        <v>45724.318148148152</v>
      </c>
      <c r="AS597" s="2">
        <v>46040.89770833333</v>
      </c>
      <c r="AT597" t="s">
        <v>61</v>
      </c>
      <c r="AU597" t="s">
        <v>1357</v>
      </c>
      <c r="AV597">
        <v>316</v>
      </c>
    </row>
    <row r="598" spans="1:48" x14ac:dyDescent="0.25">
      <c r="A598">
        <v>105</v>
      </c>
      <c r="B598" t="s">
        <v>2432</v>
      </c>
      <c r="C598" t="s">
        <v>733</v>
      </c>
      <c r="D598" t="s">
        <v>874</v>
      </c>
      <c r="E598" t="s">
        <v>2433</v>
      </c>
      <c r="F598" t="s">
        <v>2434</v>
      </c>
      <c r="G598" t="s">
        <v>53</v>
      </c>
      <c r="H598" s="1">
        <v>39296</v>
      </c>
      <c r="I598">
        <v>19</v>
      </c>
      <c r="J598">
        <v>2007</v>
      </c>
      <c r="K598" s="1">
        <v>45800</v>
      </c>
      <c r="L598">
        <v>2025</v>
      </c>
      <c r="M598" t="s">
        <v>54</v>
      </c>
      <c r="N598">
        <v>18</v>
      </c>
      <c r="O598" t="s">
        <v>139</v>
      </c>
      <c r="P598" t="s">
        <v>69</v>
      </c>
      <c r="Q598">
        <v>60</v>
      </c>
      <c r="R598">
        <v>6</v>
      </c>
      <c r="S598" t="s">
        <v>140</v>
      </c>
      <c r="T598" t="s">
        <v>141</v>
      </c>
      <c r="U598">
        <v>7</v>
      </c>
      <c r="V598">
        <v>7</v>
      </c>
      <c r="W598">
        <v>7</v>
      </c>
      <c r="X598">
        <v>7</v>
      </c>
      <c r="Y598">
        <v>2</v>
      </c>
      <c r="Z598">
        <v>7</v>
      </c>
      <c r="AA598">
        <v>2.8571420000000001</v>
      </c>
      <c r="AB598">
        <v>20</v>
      </c>
      <c r="AC598" t="s">
        <v>70</v>
      </c>
      <c r="AD598" t="s">
        <v>60</v>
      </c>
      <c r="AE598">
        <v>1</v>
      </c>
      <c r="AF598">
        <v>0</v>
      </c>
      <c r="AG598">
        <v>4</v>
      </c>
      <c r="AH598">
        <v>0</v>
      </c>
      <c r="AI598">
        <v>0</v>
      </c>
      <c r="AJ598">
        <v>0</v>
      </c>
      <c r="AK598">
        <v>1</v>
      </c>
      <c r="AL598">
        <v>0</v>
      </c>
      <c r="AM598">
        <v>0</v>
      </c>
      <c r="AN598">
        <v>1</v>
      </c>
      <c r="AO598">
        <v>6</v>
      </c>
      <c r="AP598">
        <v>1</v>
      </c>
      <c r="AQ598">
        <v>85.714285714284998</v>
      </c>
      <c r="AR598" s="2">
        <v>45767.04409722222</v>
      </c>
      <c r="AS598" s="2">
        <v>46022.880879629629</v>
      </c>
      <c r="AT598" t="s">
        <v>1357</v>
      </c>
      <c r="AU598" t="s">
        <v>62</v>
      </c>
      <c r="AV598">
        <v>255</v>
      </c>
    </row>
    <row r="599" spans="1:48" x14ac:dyDescent="0.25">
      <c r="A599">
        <v>387</v>
      </c>
      <c r="B599" t="s">
        <v>2435</v>
      </c>
      <c r="C599" t="s">
        <v>873</v>
      </c>
      <c r="D599" t="s">
        <v>96</v>
      </c>
      <c r="E599" t="s">
        <v>2436</v>
      </c>
      <c r="F599" t="s">
        <v>2437</v>
      </c>
      <c r="G599" t="s">
        <v>53</v>
      </c>
      <c r="H599" s="1">
        <v>37300</v>
      </c>
      <c r="I599">
        <v>24</v>
      </c>
      <c r="J599">
        <v>2002</v>
      </c>
      <c r="K599" s="1">
        <v>45138</v>
      </c>
      <c r="L599">
        <v>2023</v>
      </c>
      <c r="M599" t="s">
        <v>54</v>
      </c>
      <c r="N599">
        <v>20</v>
      </c>
      <c r="O599" t="s">
        <v>180</v>
      </c>
      <c r="P599" t="s">
        <v>56</v>
      </c>
      <c r="Q599">
        <v>36</v>
      </c>
      <c r="R599">
        <v>7</v>
      </c>
      <c r="S599" t="s">
        <v>163</v>
      </c>
      <c r="T599" t="s">
        <v>164</v>
      </c>
      <c r="U599">
        <v>7</v>
      </c>
      <c r="V599">
        <v>7</v>
      </c>
      <c r="W599">
        <v>7</v>
      </c>
      <c r="X599">
        <v>7</v>
      </c>
      <c r="Y599">
        <v>2</v>
      </c>
      <c r="Z599">
        <v>5</v>
      </c>
      <c r="AA599">
        <v>1.6</v>
      </c>
      <c r="AB599">
        <v>8</v>
      </c>
      <c r="AC599" t="s">
        <v>70</v>
      </c>
      <c r="AD599" t="s">
        <v>1061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</v>
      </c>
      <c r="AK599">
        <v>1</v>
      </c>
      <c r="AL599">
        <v>0</v>
      </c>
      <c r="AM599">
        <v>1</v>
      </c>
      <c r="AN599">
        <v>1</v>
      </c>
      <c r="AO599">
        <v>4</v>
      </c>
      <c r="AP599">
        <v>1</v>
      </c>
      <c r="AQ599">
        <v>80</v>
      </c>
      <c r="AR599" s="2">
        <v>45818.668333333335</v>
      </c>
      <c r="AS599" s="2">
        <v>46002.721354166664</v>
      </c>
      <c r="AT599" t="s">
        <v>1357</v>
      </c>
      <c r="AU599" t="s">
        <v>62</v>
      </c>
      <c r="AV599">
        <v>184</v>
      </c>
    </row>
    <row r="600" spans="1:48" x14ac:dyDescent="0.25">
      <c r="A600">
        <v>140</v>
      </c>
      <c r="B600" t="s">
        <v>2438</v>
      </c>
      <c r="C600" t="s">
        <v>686</v>
      </c>
      <c r="D600" t="s">
        <v>2439</v>
      </c>
      <c r="E600" t="s">
        <v>2440</v>
      </c>
      <c r="F600">
        <f>1-891-713-5290</f>
        <v>-6893</v>
      </c>
      <c r="G600" t="s">
        <v>53</v>
      </c>
      <c r="H600" s="1">
        <v>39349</v>
      </c>
      <c r="I600">
        <v>19</v>
      </c>
      <c r="J600">
        <v>2007</v>
      </c>
      <c r="K600" s="1">
        <v>45253</v>
      </c>
      <c r="L600">
        <v>2023</v>
      </c>
      <c r="M600" t="s">
        <v>54</v>
      </c>
      <c r="N600">
        <v>13</v>
      </c>
      <c r="O600" t="s">
        <v>146</v>
      </c>
      <c r="P600" t="s">
        <v>119</v>
      </c>
      <c r="Q600">
        <v>120</v>
      </c>
      <c r="R600">
        <v>5</v>
      </c>
      <c r="S600" t="s">
        <v>92</v>
      </c>
      <c r="T600" t="s">
        <v>93</v>
      </c>
      <c r="U600">
        <v>6</v>
      </c>
      <c r="V600">
        <v>7</v>
      </c>
      <c r="W600">
        <v>7</v>
      </c>
      <c r="X600">
        <v>6</v>
      </c>
      <c r="Y600">
        <v>2</v>
      </c>
      <c r="Z600">
        <v>6</v>
      </c>
      <c r="AA600">
        <v>1.8333330000000001</v>
      </c>
      <c r="AB600">
        <v>11</v>
      </c>
      <c r="AC600" t="s">
        <v>70</v>
      </c>
      <c r="AD600" t="s">
        <v>112</v>
      </c>
      <c r="AE600">
        <v>0</v>
      </c>
      <c r="AF600">
        <v>0</v>
      </c>
      <c r="AG600">
        <v>1</v>
      </c>
      <c r="AH600">
        <v>1</v>
      </c>
      <c r="AI600">
        <v>0</v>
      </c>
      <c r="AJ600">
        <v>1</v>
      </c>
      <c r="AK600">
        <v>0</v>
      </c>
      <c r="AL600">
        <v>0</v>
      </c>
      <c r="AM600">
        <v>2</v>
      </c>
      <c r="AN600">
        <v>1</v>
      </c>
      <c r="AO600">
        <v>5</v>
      </c>
      <c r="AP600">
        <v>1</v>
      </c>
      <c r="AQ600">
        <v>83.333333333333002</v>
      </c>
      <c r="AR600" s="2">
        <v>45774.264398148145</v>
      </c>
      <c r="AS600" s="2">
        <v>46010.939849537041</v>
      </c>
      <c r="AT600" t="s">
        <v>1357</v>
      </c>
      <c r="AU600" t="s">
        <v>62</v>
      </c>
      <c r="AV600">
        <v>236</v>
      </c>
    </row>
    <row r="601" spans="1:48" x14ac:dyDescent="0.25">
      <c r="A601">
        <v>547</v>
      </c>
      <c r="B601" t="s">
        <v>2441</v>
      </c>
      <c r="C601" t="s">
        <v>2165</v>
      </c>
      <c r="D601" t="s">
        <v>1073</v>
      </c>
      <c r="E601" t="s">
        <v>2442</v>
      </c>
      <c r="F601">
        <v>7796705097</v>
      </c>
      <c r="G601" t="s">
        <v>104</v>
      </c>
      <c r="H601" s="1">
        <v>36443</v>
      </c>
      <c r="I601">
        <v>27</v>
      </c>
      <c r="J601">
        <v>1999</v>
      </c>
      <c r="K601" s="1">
        <v>44632</v>
      </c>
      <c r="L601">
        <v>2022</v>
      </c>
      <c r="M601" t="s">
        <v>54</v>
      </c>
      <c r="N601">
        <v>15</v>
      </c>
      <c r="O601" t="s">
        <v>91</v>
      </c>
      <c r="P601" t="s">
        <v>69</v>
      </c>
      <c r="Q601">
        <v>60</v>
      </c>
      <c r="R601">
        <v>5</v>
      </c>
      <c r="S601" t="s">
        <v>92</v>
      </c>
      <c r="T601" t="s">
        <v>93</v>
      </c>
      <c r="U601">
        <v>7</v>
      </c>
      <c r="V601">
        <v>7</v>
      </c>
      <c r="W601">
        <v>7</v>
      </c>
      <c r="X601">
        <v>7</v>
      </c>
      <c r="Y601">
        <v>2</v>
      </c>
      <c r="Z601">
        <v>5</v>
      </c>
      <c r="AA601">
        <v>2.1</v>
      </c>
      <c r="AB601">
        <v>10.5</v>
      </c>
      <c r="AC601" t="s">
        <v>70</v>
      </c>
      <c r="AD601" t="s">
        <v>281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2</v>
      </c>
      <c r="AK601">
        <v>1</v>
      </c>
      <c r="AL601">
        <v>0</v>
      </c>
      <c r="AM601">
        <v>0</v>
      </c>
      <c r="AN601">
        <v>1</v>
      </c>
      <c r="AO601">
        <v>4</v>
      </c>
      <c r="AP601">
        <v>1</v>
      </c>
      <c r="AQ601">
        <v>80</v>
      </c>
      <c r="AR601" s="2">
        <v>45722.979398148149</v>
      </c>
      <c r="AS601" s="2">
        <v>46048.129664351851</v>
      </c>
      <c r="AT601" t="s">
        <v>61</v>
      </c>
      <c r="AU601" t="s">
        <v>1357</v>
      </c>
      <c r="AV601">
        <v>326</v>
      </c>
    </row>
    <row r="602" spans="1:48" x14ac:dyDescent="0.25">
      <c r="A602">
        <v>823</v>
      </c>
      <c r="B602" t="s">
        <v>2443</v>
      </c>
      <c r="C602" t="s">
        <v>1534</v>
      </c>
      <c r="D602" t="s">
        <v>459</v>
      </c>
      <c r="E602" t="s">
        <v>2444</v>
      </c>
      <c r="F602" t="s">
        <v>2445</v>
      </c>
      <c r="G602" t="s">
        <v>104</v>
      </c>
      <c r="H602" s="1">
        <v>36497</v>
      </c>
      <c r="I602">
        <v>27</v>
      </c>
      <c r="J602">
        <v>1999</v>
      </c>
      <c r="K602" s="1">
        <v>44994</v>
      </c>
      <c r="L602">
        <v>2023</v>
      </c>
      <c r="M602" t="s">
        <v>54</v>
      </c>
      <c r="N602">
        <v>12</v>
      </c>
      <c r="O602" t="s">
        <v>76</v>
      </c>
      <c r="P602" t="s">
        <v>69</v>
      </c>
      <c r="Q602">
        <v>60</v>
      </c>
      <c r="R602">
        <v>4</v>
      </c>
      <c r="S602" t="s">
        <v>77</v>
      </c>
      <c r="T602" t="s">
        <v>78</v>
      </c>
      <c r="U602">
        <v>7</v>
      </c>
      <c r="V602">
        <v>7</v>
      </c>
      <c r="W602">
        <v>7</v>
      </c>
      <c r="X602">
        <v>4</v>
      </c>
      <c r="Y602">
        <v>2</v>
      </c>
      <c r="Z602">
        <v>7</v>
      </c>
      <c r="AA602">
        <v>2.7142849999999998</v>
      </c>
      <c r="AB602">
        <v>19</v>
      </c>
      <c r="AC602" t="s">
        <v>59</v>
      </c>
      <c r="AD602" t="s">
        <v>60</v>
      </c>
      <c r="AE602">
        <v>2</v>
      </c>
      <c r="AF602">
        <v>0</v>
      </c>
      <c r="AG602">
        <v>0</v>
      </c>
      <c r="AH602">
        <v>1</v>
      </c>
      <c r="AI602">
        <v>0</v>
      </c>
      <c r="AJ602">
        <v>2</v>
      </c>
      <c r="AK602">
        <v>1</v>
      </c>
      <c r="AL602">
        <v>0</v>
      </c>
      <c r="AM602">
        <v>1</v>
      </c>
      <c r="AN602">
        <v>0</v>
      </c>
      <c r="AO602">
        <v>7</v>
      </c>
      <c r="AP602">
        <v>0</v>
      </c>
      <c r="AQ602">
        <v>100</v>
      </c>
      <c r="AR602" s="2">
        <v>45734.753310185188</v>
      </c>
      <c r="AS602" s="2">
        <v>46074.089074074072</v>
      </c>
      <c r="AT602" t="s">
        <v>61</v>
      </c>
      <c r="AU602" t="s">
        <v>62</v>
      </c>
      <c r="AV602">
        <v>340</v>
      </c>
    </row>
    <row r="603" spans="1:48" x14ac:dyDescent="0.25">
      <c r="A603">
        <v>345</v>
      </c>
      <c r="B603" t="s">
        <v>2446</v>
      </c>
      <c r="C603" t="s">
        <v>763</v>
      </c>
      <c r="D603" t="s">
        <v>2447</v>
      </c>
      <c r="E603" t="s">
        <v>2448</v>
      </c>
      <c r="F603">
        <f>1-236-667-4286</f>
        <v>-5188</v>
      </c>
      <c r="G603" t="s">
        <v>104</v>
      </c>
      <c r="H603" s="1">
        <v>39166</v>
      </c>
      <c r="I603">
        <v>19</v>
      </c>
      <c r="J603">
        <v>2007</v>
      </c>
      <c r="K603" s="1">
        <v>45280</v>
      </c>
      <c r="L603">
        <v>2023</v>
      </c>
      <c r="M603" t="s">
        <v>54</v>
      </c>
      <c r="N603">
        <v>12</v>
      </c>
      <c r="O603" t="s">
        <v>76</v>
      </c>
      <c r="P603" t="s">
        <v>69</v>
      </c>
      <c r="Q603">
        <v>60</v>
      </c>
      <c r="R603">
        <v>4</v>
      </c>
      <c r="S603" t="s">
        <v>77</v>
      </c>
      <c r="T603" t="s">
        <v>78</v>
      </c>
      <c r="U603">
        <v>7</v>
      </c>
      <c r="V603">
        <v>7</v>
      </c>
      <c r="W603">
        <v>7</v>
      </c>
      <c r="X603">
        <v>6</v>
      </c>
      <c r="Y603">
        <v>2</v>
      </c>
      <c r="Z603">
        <v>7</v>
      </c>
      <c r="AA603">
        <v>3.071428</v>
      </c>
      <c r="AB603">
        <v>21.5</v>
      </c>
      <c r="AC603" t="s">
        <v>59</v>
      </c>
      <c r="AD603" t="s">
        <v>60</v>
      </c>
      <c r="AE603">
        <v>1</v>
      </c>
      <c r="AF603">
        <v>0</v>
      </c>
      <c r="AG603">
        <v>3</v>
      </c>
      <c r="AH603">
        <v>2</v>
      </c>
      <c r="AI603">
        <v>0</v>
      </c>
      <c r="AJ603">
        <v>0</v>
      </c>
      <c r="AK603">
        <v>0</v>
      </c>
      <c r="AL603">
        <v>0</v>
      </c>
      <c r="AM603">
        <v>1</v>
      </c>
      <c r="AN603">
        <v>0</v>
      </c>
      <c r="AO603">
        <v>7</v>
      </c>
      <c r="AP603">
        <v>0</v>
      </c>
      <c r="AQ603">
        <v>100</v>
      </c>
      <c r="AR603" s="2">
        <v>45739.628784722219</v>
      </c>
      <c r="AS603" s="2">
        <v>46077.841516203705</v>
      </c>
      <c r="AT603" t="s">
        <v>61</v>
      </c>
      <c r="AU603" t="s">
        <v>62</v>
      </c>
      <c r="AV603">
        <v>338</v>
      </c>
    </row>
    <row r="604" spans="1:48" x14ac:dyDescent="0.25">
      <c r="A604">
        <v>254</v>
      </c>
      <c r="B604" t="s">
        <v>2449</v>
      </c>
      <c r="C604" t="s">
        <v>153</v>
      </c>
      <c r="D604" t="s">
        <v>370</v>
      </c>
      <c r="E604" t="s">
        <v>2450</v>
      </c>
      <c r="F604" t="s">
        <v>2451</v>
      </c>
      <c r="G604" t="s">
        <v>104</v>
      </c>
      <c r="H604" s="1">
        <v>36610</v>
      </c>
      <c r="I604">
        <v>26</v>
      </c>
      <c r="J604">
        <v>2000</v>
      </c>
      <c r="K604" s="1">
        <v>45554</v>
      </c>
      <c r="L604">
        <v>2024</v>
      </c>
      <c r="M604" t="s">
        <v>54</v>
      </c>
      <c r="N604">
        <v>10</v>
      </c>
      <c r="O604" t="s">
        <v>118</v>
      </c>
      <c r="P604" t="s">
        <v>119</v>
      </c>
      <c r="Q604">
        <v>120</v>
      </c>
      <c r="R604">
        <v>4</v>
      </c>
      <c r="S604" t="s">
        <v>77</v>
      </c>
      <c r="T604" t="s">
        <v>78</v>
      </c>
      <c r="U604">
        <v>7</v>
      </c>
      <c r="V604">
        <v>7</v>
      </c>
      <c r="W604">
        <v>7</v>
      </c>
      <c r="X604">
        <v>7</v>
      </c>
      <c r="Y604">
        <v>2</v>
      </c>
      <c r="Z604">
        <v>7</v>
      </c>
      <c r="AA604">
        <v>2.8571420000000001</v>
      </c>
      <c r="AB604">
        <v>20</v>
      </c>
      <c r="AC604" t="s">
        <v>59</v>
      </c>
      <c r="AD604" t="s">
        <v>60</v>
      </c>
      <c r="AE604">
        <v>2</v>
      </c>
      <c r="AF604">
        <v>0</v>
      </c>
      <c r="AG604">
        <v>0</v>
      </c>
      <c r="AH604">
        <v>2</v>
      </c>
      <c r="AI604">
        <v>0</v>
      </c>
      <c r="AJ604">
        <v>2</v>
      </c>
      <c r="AK604">
        <v>0</v>
      </c>
      <c r="AL604">
        <v>0</v>
      </c>
      <c r="AM604">
        <v>1</v>
      </c>
      <c r="AN604">
        <v>0</v>
      </c>
      <c r="AO604">
        <v>7</v>
      </c>
      <c r="AP604">
        <v>0</v>
      </c>
      <c r="AQ604">
        <v>100</v>
      </c>
      <c r="AR604" s="2">
        <v>45750.107141203705</v>
      </c>
      <c r="AS604" s="2">
        <v>46031.215532407405</v>
      </c>
      <c r="AT604" t="s">
        <v>61</v>
      </c>
      <c r="AU604" t="s">
        <v>62</v>
      </c>
      <c r="AV604">
        <v>281</v>
      </c>
    </row>
    <row r="605" spans="1:48" x14ac:dyDescent="0.25">
      <c r="A605">
        <v>602</v>
      </c>
      <c r="B605" t="s">
        <v>2452</v>
      </c>
      <c r="C605" t="s">
        <v>122</v>
      </c>
      <c r="D605" t="s">
        <v>1881</v>
      </c>
      <c r="E605" t="s">
        <v>2453</v>
      </c>
      <c r="F605" t="s">
        <v>2454</v>
      </c>
      <c r="G605" t="s">
        <v>104</v>
      </c>
      <c r="H605" s="1">
        <v>39054</v>
      </c>
      <c r="I605">
        <v>20</v>
      </c>
      <c r="J605">
        <v>2006</v>
      </c>
      <c r="K605" s="1">
        <v>45588</v>
      </c>
      <c r="L605">
        <v>2024</v>
      </c>
      <c r="M605" t="s">
        <v>54</v>
      </c>
      <c r="N605">
        <v>9</v>
      </c>
      <c r="O605" t="s">
        <v>151</v>
      </c>
      <c r="P605" t="s">
        <v>69</v>
      </c>
      <c r="Q605">
        <v>60</v>
      </c>
      <c r="R605">
        <v>3</v>
      </c>
      <c r="S605" t="s">
        <v>126</v>
      </c>
      <c r="T605" t="s">
        <v>127</v>
      </c>
      <c r="U605">
        <v>7</v>
      </c>
      <c r="V605">
        <v>7</v>
      </c>
      <c r="W605">
        <v>7</v>
      </c>
      <c r="X605">
        <v>7</v>
      </c>
      <c r="Y605">
        <v>2</v>
      </c>
      <c r="Z605">
        <v>3</v>
      </c>
      <c r="AA605">
        <v>2.3333330000000001</v>
      </c>
      <c r="AB605">
        <v>7</v>
      </c>
      <c r="AC605" t="s">
        <v>59</v>
      </c>
      <c r="AD605" t="s">
        <v>281</v>
      </c>
      <c r="AE605">
        <v>0</v>
      </c>
      <c r="AF605">
        <v>0</v>
      </c>
      <c r="AG605">
        <v>1</v>
      </c>
      <c r="AH605">
        <v>0</v>
      </c>
      <c r="AI605">
        <v>0</v>
      </c>
      <c r="AJ605">
        <v>1</v>
      </c>
      <c r="AK605">
        <v>0</v>
      </c>
      <c r="AL605">
        <v>0</v>
      </c>
      <c r="AM605">
        <v>1</v>
      </c>
      <c r="AN605">
        <v>0</v>
      </c>
      <c r="AO605">
        <v>3</v>
      </c>
      <c r="AP605">
        <v>0</v>
      </c>
      <c r="AQ605">
        <v>100</v>
      </c>
      <c r="AR605" s="2">
        <v>45821.469155092593</v>
      </c>
      <c r="AS605" s="2">
        <v>46066.210868055554</v>
      </c>
      <c r="AT605" t="s">
        <v>61</v>
      </c>
      <c r="AU605" t="s">
        <v>1357</v>
      </c>
      <c r="AV605">
        <v>245</v>
      </c>
    </row>
    <row r="606" spans="1:48" x14ac:dyDescent="0.25">
      <c r="A606">
        <v>194</v>
      </c>
      <c r="B606" t="s">
        <v>2455</v>
      </c>
      <c r="C606" t="s">
        <v>2456</v>
      </c>
      <c r="D606" t="s">
        <v>228</v>
      </c>
      <c r="E606" t="s">
        <v>2457</v>
      </c>
      <c r="F606" t="s">
        <v>2458</v>
      </c>
      <c r="G606" t="s">
        <v>53</v>
      </c>
      <c r="H606" s="1">
        <v>38644</v>
      </c>
      <c r="I606">
        <v>21</v>
      </c>
      <c r="J606">
        <v>2005</v>
      </c>
      <c r="K606" s="1">
        <v>45067</v>
      </c>
      <c r="L606">
        <v>2023</v>
      </c>
      <c r="M606" t="s">
        <v>54</v>
      </c>
      <c r="N606">
        <v>19</v>
      </c>
      <c r="O606" t="s">
        <v>162</v>
      </c>
      <c r="P606" t="s">
        <v>119</v>
      </c>
      <c r="Q606">
        <v>120</v>
      </c>
      <c r="R606">
        <v>7</v>
      </c>
      <c r="S606" t="s">
        <v>163</v>
      </c>
      <c r="T606" t="s">
        <v>164</v>
      </c>
      <c r="U606">
        <v>7</v>
      </c>
      <c r="V606">
        <v>7</v>
      </c>
      <c r="W606">
        <v>7</v>
      </c>
      <c r="X606">
        <v>7</v>
      </c>
      <c r="Y606">
        <v>2</v>
      </c>
      <c r="Z606">
        <v>6</v>
      </c>
      <c r="AA606">
        <v>2.0833330000000001</v>
      </c>
      <c r="AB606">
        <v>12.5</v>
      </c>
      <c r="AC606" t="s">
        <v>59</v>
      </c>
      <c r="AD606" t="s">
        <v>112</v>
      </c>
      <c r="AE606">
        <v>0</v>
      </c>
      <c r="AF606">
        <v>0</v>
      </c>
      <c r="AG606">
        <v>1</v>
      </c>
      <c r="AH606">
        <v>1</v>
      </c>
      <c r="AI606">
        <v>0</v>
      </c>
      <c r="AJ606">
        <v>0</v>
      </c>
      <c r="AK606">
        <v>2</v>
      </c>
      <c r="AL606">
        <v>0</v>
      </c>
      <c r="AM606">
        <v>2</v>
      </c>
      <c r="AN606">
        <v>0</v>
      </c>
      <c r="AO606">
        <v>6</v>
      </c>
      <c r="AP606">
        <v>0</v>
      </c>
      <c r="AQ606">
        <v>100</v>
      </c>
      <c r="AR606" s="2">
        <v>45804.588506944441</v>
      </c>
      <c r="AS606" s="2">
        <v>46074.80091435185</v>
      </c>
      <c r="AT606" t="s">
        <v>61</v>
      </c>
      <c r="AU606" t="s">
        <v>1357</v>
      </c>
      <c r="AV606">
        <v>270</v>
      </c>
    </row>
    <row r="607" spans="1:48" x14ac:dyDescent="0.25">
      <c r="A607">
        <v>379</v>
      </c>
      <c r="B607" t="s">
        <v>2459</v>
      </c>
      <c r="C607" t="s">
        <v>107</v>
      </c>
      <c r="D607" t="s">
        <v>1719</v>
      </c>
      <c r="E607" t="s">
        <v>2460</v>
      </c>
      <c r="F607" t="s">
        <v>2461</v>
      </c>
      <c r="G607" t="s">
        <v>53</v>
      </c>
      <c r="H607" s="1">
        <v>34880</v>
      </c>
      <c r="I607">
        <v>31</v>
      </c>
      <c r="J607">
        <v>1995</v>
      </c>
      <c r="K607" s="1">
        <v>45527</v>
      </c>
      <c r="L607">
        <v>2024</v>
      </c>
      <c r="M607" t="s">
        <v>54</v>
      </c>
      <c r="N607">
        <v>7</v>
      </c>
      <c r="O607" t="s">
        <v>231</v>
      </c>
      <c r="P607" t="s">
        <v>119</v>
      </c>
      <c r="Q607">
        <v>120</v>
      </c>
      <c r="R607">
        <v>3</v>
      </c>
      <c r="S607" t="s">
        <v>126</v>
      </c>
      <c r="T607" t="s">
        <v>127</v>
      </c>
      <c r="U607">
        <v>7</v>
      </c>
      <c r="V607">
        <v>7</v>
      </c>
      <c r="W607">
        <v>7</v>
      </c>
      <c r="X607">
        <v>7</v>
      </c>
      <c r="Y607">
        <v>2</v>
      </c>
      <c r="Z607">
        <v>5</v>
      </c>
      <c r="AA607">
        <v>3</v>
      </c>
      <c r="AB607">
        <v>15</v>
      </c>
      <c r="AC607" t="s">
        <v>540</v>
      </c>
      <c r="AD607" t="s">
        <v>112</v>
      </c>
      <c r="AE607">
        <v>0</v>
      </c>
      <c r="AF607">
        <v>0</v>
      </c>
      <c r="AG607">
        <v>1</v>
      </c>
      <c r="AH607">
        <v>3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5</v>
      </c>
      <c r="AP607">
        <v>0</v>
      </c>
      <c r="AQ607">
        <v>100</v>
      </c>
      <c r="AR607" s="2">
        <v>45786.914143518516</v>
      </c>
      <c r="AS607" s="2">
        <v>46062.983402777776</v>
      </c>
      <c r="AT607" t="s">
        <v>61</v>
      </c>
      <c r="AU607" t="s">
        <v>1357</v>
      </c>
      <c r="AV607">
        <v>276</v>
      </c>
    </row>
    <row r="608" spans="1:48" x14ac:dyDescent="0.25">
      <c r="A608">
        <v>331</v>
      </c>
      <c r="B608" t="s">
        <v>2462</v>
      </c>
      <c r="C608" t="s">
        <v>2164</v>
      </c>
      <c r="D608" t="s">
        <v>228</v>
      </c>
      <c r="E608" t="s">
        <v>2463</v>
      </c>
      <c r="F608" t="s">
        <v>2464</v>
      </c>
      <c r="G608" t="s">
        <v>104</v>
      </c>
      <c r="H608" s="1">
        <v>37567</v>
      </c>
      <c r="I608">
        <v>24</v>
      </c>
      <c r="J608">
        <v>2002</v>
      </c>
      <c r="K608" s="1">
        <v>44973</v>
      </c>
      <c r="L608">
        <v>2023</v>
      </c>
      <c r="M608" t="s">
        <v>54</v>
      </c>
      <c r="N608">
        <v>17</v>
      </c>
      <c r="O608" t="s">
        <v>350</v>
      </c>
      <c r="P608" t="s">
        <v>56</v>
      </c>
      <c r="Q608">
        <v>36</v>
      </c>
      <c r="R608">
        <v>6</v>
      </c>
      <c r="S608" t="s">
        <v>140</v>
      </c>
      <c r="T608" t="s">
        <v>141</v>
      </c>
      <c r="U608">
        <v>7</v>
      </c>
      <c r="V608">
        <v>7</v>
      </c>
      <c r="W608">
        <v>7</v>
      </c>
      <c r="X608">
        <v>7</v>
      </c>
      <c r="Y608">
        <v>2</v>
      </c>
      <c r="Z608">
        <v>6</v>
      </c>
      <c r="AA608">
        <v>1.916666</v>
      </c>
      <c r="AB608">
        <v>11.5</v>
      </c>
      <c r="AC608" t="s">
        <v>70</v>
      </c>
      <c r="AD608" t="s">
        <v>60</v>
      </c>
      <c r="AE608">
        <v>2</v>
      </c>
      <c r="AF608">
        <v>0</v>
      </c>
      <c r="AG608">
        <v>0</v>
      </c>
      <c r="AH608">
        <v>0</v>
      </c>
      <c r="AI608">
        <v>0</v>
      </c>
      <c r="AJ608">
        <v>1</v>
      </c>
      <c r="AK608">
        <v>0</v>
      </c>
      <c r="AL608">
        <v>0</v>
      </c>
      <c r="AM608">
        <v>1</v>
      </c>
      <c r="AN608">
        <v>2</v>
      </c>
      <c r="AO608">
        <v>4</v>
      </c>
      <c r="AP608">
        <v>2</v>
      </c>
      <c r="AQ608">
        <v>66.666666666666003</v>
      </c>
      <c r="AR608" s="2">
        <v>45770.119004629632</v>
      </c>
      <c r="AS608" s="2">
        <v>46084.422523148147</v>
      </c>
      <c r="AT608" t="s">
        <v>61</v>
      </c>
      <c r="AU608" t="s">
        <v>1357</v>
      </c>
      <c r="AV608">
        <v>314</v>
      </c>
    </row>
    <row r="609" spans="1:48" x14ac:dyDescent="0.25">
      <c r="A609">
        <v>539</v>
      </c>
      <c r="B609" t="s">
        <v>2465</v>
      </c>
      <c r="C609" t="s">
        <v>1414</v>
      </c>
      <c r="D609" t="s">
        <v>1817</v>
      </c>
      <c r="E609" t="s">
        <v>2466</v>
      </c>
      <c r="F609" t="s">
        <v>2467</v>
      </c>
      <c r="G609" t="s">
        <v>53</v>
      </c>
      <c r="H609" s="1">
        <v>36554</v>
      </c>
      <c r="I609">
        <v>26</v>
      </c>
      <c r="J609">
        <v>2000</v>
      </c>
      <c r="K609" s="1">
        <v>46040</v>
      </c>
      <c r="L609">
        <v>2026</v>
      </c>
      <c r="M609" t="s">
        <v>54</v>
      </c>
      <c r="N609">
        <v>14</v>
      </c>
      <c r="O609" t="s">
        <v>105</v>
      </c>
      <c r="P609" t="s">
        <v>56</v>
      </c>
      <c r="Q609">
        <v>36</v>
      </c>
      <c r="R609">
        <v>5</v>
      </c>
      <c r="S609" t="s">
        <v>92</v>
      </c>
      <c r="T609" t="s">
        <v>93</v>
      </c>
      <c r="U609">
        <v>7</v>
      </c>
      <c r="V609">
        <v>7</v>
      </c>
      <c r="W609">
        <v>7</v>
      </c>
      <c r="X609">
        <v>6</v>
      </c>
      <c r="Y609">
        <v>2</v>
      </c>
      <c r="Z609">
        <v>5</v>
      </c>
      <c r="AA609">
        <v>0.8</v>
      </c>
      <c r="AB609">
        <v>4</v>
      </c>
      <c r="AC609" t="s">
        <v>70</v>
      </c>
      <c r="AD609" t="s">
        <v>1061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2</v>
      </c>
      <c r="AN609">
        <v>2</v>
      </c>
      <c r="AO609">
        <v>3</v>
      </c>
      <c r="AP609">
        <v>2</v>
      </c>
      <c r="AQ609">
        <v>60</v>
      </c>
      <c r="AR609" s="2">
        <v>45723.915243055555</v>
      </c>
      <c r="AS609" s="2">
        <v>46049.963599537034</v>
      </c>
      <c r="AT609" t="s">
        <v>61</v>
      </c>
      <c r="AU609" t="s">
        <v>1357</v>
      </c>
      <c r="AV609">
        <v>326</v>
      </c>
    </row>
    <row r="610" spans="1:48" x14ac:dyDescent="0.25">
      <c r="A610">
        <v>197</v>
      </c>
      <c r="B610" t="s">
        <v>1876</v>
      </c>
      <c r="C610" t="s">
        <v>399</v>
      </c>
      <c r="D610" t="s">
        <v>144</v>
      </c>
      <c r="E610" t="s">
        <v>2468</v>
      </c>
      <c r="F610">
        <v>2535457861</v>
      </c>
      <c r="G610" t="s">
        <v>104</v>
      </c>
      <c r="H610" s="1">
        <v>36531</v>
      </c>
      <c r="I610">
        <v>26</v>
      </c>
      <c r="J610">
        <v>2000</v>
      </c>
      <c r="K610" s="1">
        <v>45492</v>
      </c>
      <c r="L610">
        <v>2024</v>
      </c>
      <c r="M610" t="s">
        <v>54</v>
      </c>
      <c r="N610">
        <v>20</v>
      </c>
      <c r="O610" t="s">
        <v>180</v>
      </c>
      <c r="P610" t="s">
        <v>56</v>
      </c>
      <c r="Q610">
        <v>36</v>
      </c>
      <c r="R610">
        <v>7</v>
      </c>
      <c r="S610" t="s">
        <v>163</v>
      </c>
      <c r="T610" t="s">
        <v>164</v>
      </c>
      <c r="U610">
        <v>7</v>
      </c>
      <c r="V610">
        <v>7</v>
      </c>
      <c r="W610">
        <v>7</v>
      </c>
      <c r="X610">
        <v>7</v>
      </c>
      <c r="Y610">
        <v>2</v>
      </c>
      <c r="Z610">
        <v>7</v>
      </c>
      <c r="AA610">
        <v>2.4285709999999998</v>
      </c>
      <c r="AB610">
        <v>17</v>
      </c>
      <c r="AC610" t="s">
        <v>59</v>
      </c>
      <c r="AD610" t="s">
        <v>60</v>
      </c>
      <c r="AE610">
        <v>2</v>
      </c>
      <c r="AF610">
        <v>0</v>
      </c>
      <c r="AG610">
        <v>0</v>
      </c>
      <c r="AH610">
        <v>0</v>
      </c>
      <c r="AI610">
        <v>0</v>
      </c>
      <c r="AJ610">
        <v>2</v>
      </c>
      <c r="AK610">
        <v>1</v>
      </c>
      <c r="AL610">
        <v>0</v>
      </c>
      <c r="AM610">
        <v>2</v>
      </c>
      <c r="AN610">
        <v>0</v>
      </c>
      <c r="AO610">
        <v>7</v>
      </c>
      <c r="AP610">
        <v>0</v>
      </c>
      <c r="AQ610">
        <v>100</v>
      </c>
      <c r="AR610" s="2">
        <v>45760.499884259261</v>
      </c>
      <c r="AS610" s="2">
        <v>46022.563900462963</v>
      </c>
      <c r="AT610" t="s">
        <v>61</v>
      </c>
      <c r="AU610" t="s">
        <v>62</v>
      </c>
      <c r="AV610">
        <v>262</v>
      </c>
    </row>
    <row r="611" spans="1:48" x14ac:dyDescent="0.25">
      <c r="A611">
        <v>598</v>
      </c>
      <c r="B611" t="s">
        <v>2469</v>
      </c>
      <c r="C611" t="s">
        <v>789</v>
      </c>
      <c r="D611" t="s">
        <v>2470</v>
      </c>
      <c r="E611" t="s">
        <v>2471</v>
      </c>
      <c r="F611" t="s">
        <v>2472</v>
      </c>
      <c r="G611" t="s">
        <v>53</v>
      </c>
      <c r="H611" s="1">
        <v>37219</v>
      </c>
      <c r="I611">
        <v>25</v>
      </c>
      <c r="J611">
        <v>2001</v>
      </c>
      <c r="K611" s="1">
        <v>45264</v>
      </c>
      <c r="L611">
        <v>2023</v>
      </c>
      <c r="M611" t="s">
        <v>111</v>
      </c>
      <c r="N611">
        <v>14</v>
      </c>
      <c r="O611" t="s">
        <v>105</v>
      </c>
      <c r="P611" t="s">
        <v>56</v>
      </c>
      <c r="Q611">
        <v>36</v>
      </c>
      <c r="R611">
        <v>5</v>
      </c>
      <c r="S611" t="s">
        <v>92</v>
      </c>
      <c r="T611" t="s">
        <v>93</v>
      </c>
      <c r="U611">
        <v>7</v>
      </c>
      <c r="V611">
        <v>7</v>
      </c>
      <c r="W611">
        <v>7</v>
      </c>
      <c r="X611">
        <v>6</v>
      </c>
      <c r="Y611">
        <v>2</v>
      </c>
      <c r="Z611">
        <v>7</v>
      </c>
      <c r="AA611">
        <v>2.2142849999999998</v>
      </c>
      <c r="AB611">
        <v>15.5</v>
      </c>
      <c r="AC611" t="s">
        <v>59</v>
      </c>
      <c r="AD611" t="s">
        <v>281</v>
      </c>
      <c r="AE611">
        <v>0</v>
      </c>
      <c r="AF611">
        <v>0</v>
      </c>
      <c r="AG611">
        <v>2</v>
      </c>
      <c r="AH611">
        <v>0</v>
      </c>
      <c r="AI611">
        <v>0</v>
      </c>
      <c r="AJ611">
        <v>1</v>
      </c>
      <c r="AK611">
        <v>2</v>
      </c>
      <c r="AL611">
        <v>0</v>
      </c>
      <c r="AM611">
        <v>2</v>
      </c>
      <c r="AN611">
        <v>0</v>
      </c>
      <c r="AO611">
        <v>7</v>
      </c>
      <c r="AP611">
        <v>0</v>
      </c>
      <c r="AQ611">
        <v>100</v>
      </c>
      <c r="AR611" s="2">
        <v>45742.38108796296</v>
      </c>
      <c r="AS611" s="2">
        <v>46052.886701388888</v>
      </c>
      <c r="AT611" t="s">
        <v>61</v>
      </c>
      <c r="AU611" t="s">
        <v>62</v>
      </c>
      <c r="AV611">
        <v>310</v>
      </c>
    </row>
    <row r="612" spans="1:48" x14ac:dyDescent="0.25">
      <c r="A612">
        <v>408</v>
      </c>
      <c r="B612" t="s">
        <v>2473</v>
      </c>
      <c r="C612" t="s">
        <v>290</v>
      </c>
      <c r="D612" t="s">
        <v>239</v>
      </c>
      <c r="E612" t="s">
        <v>2474</v>
      </c>
      <c r="F612" t="s">
        <v>2475</v>
      </c>
      <c r="G612" t="s">
        <v>53</v>
      </c>
      <c r="H612" s="1">
        <v>35302</v>
      </c>
      <c r="I612">
        <v>30</v>
      </c>
      <c r="J612">
        <v>1996</v>
      </c>
      <c r="K612" s="1">
        <v>44905</v>
      </c>
      <c r="L612">
        <v>2022</v>
      </c>
      <c r="M612" t="s">
        <v>54</v>
      </c>
      <c r="N612">
        <v>17</v>
      </c>
      <c r="O612" t="s">
        <v>350</v>
      </c>
      <c r="P612" t="s">
        <v>56</v>
      </c>
      <c r="Q612">
        <v>36</v>
      </c>
      <c r="R612">
        <v>6</v>
      </c>
      <c r="S612" t="s">
        <v>140</v>
      </c>
      <c r="T612" t="s">
        <v>141</v>
      </c>
      <c r="U612">
        <v>7</v>
      </c>
      <c r="V612">
        <v>7</v>
      </c>
      <c r="W612">
        <v>7</v>
      </c>
      <c r="X612">
        <v>6</v>
      </c>
      <c r="Y612">
        <v>2</v>
      </c>
      <c r="Z612">
        <v>5</v>
      </c>
      <c r="AA612">
        <v>2</v>
      </c>
      <c r="AB612">
        <v>10</v>
      </c>
      <c r="AC612" t="s">
        <v>59</v>
      </c>
      <c r="AD612" t="s">
        <v>281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1</v>
      </c>
      <c r="AK612">
        <v>1</v>
      </c>
      <c r="AL612">
        <v>0</v>
      </c>
      <c r="AM612">
        <v>2</v>
      </c>
      <c r="AN612">
        <v>0</v>
      </c>
      <c r="AO612">
        <v>5</v>
      </c>
      <c r="AP612">
        <v>0</v>
      </c>
      <c r="AQ612">
        <v>100</v>
      </c>
      <c r="AR612" s="2">
        <v>45732.105914351851</v>
      </c>
      <c r="AS612" s="2">
        <v>45962.392280092594</v>
      </c>
      <c r="AT612" t="s">
        <v>1357</v>
      </c>
      <c r="AU612" t="s">
        <v>62</v>
      </c>
      <c r="AV612">
        <v>230</v>
      </c>
    </row>
    <row r="613" spans="1:48" x14ac:dyDescent="0.25">
      <c r="A613">
        <v>675</v>
      </c>
      <c r="B613" t="s">
        <v>2476</v>
      </c>
      <c r="C613" t="s">
        <v>2477</v>
      </c>
      <c r="D613" t="s">
        <v>177</v>
      </c>
      <c r="E613" t="s">
        <v>2478</v>
      </c>
      <c r="F613" t="s">
        <v>2479</v>
      </c>
      <c r="G613" t="s">
        <v>53</v>
      </c>
      <c r="H613" s="1">
        <v>37074</v>
      </c>
      <c r="I613">
        <v>25</v>
      </c>
      <c r="J613">
        <v>2001</v>
      </c>
      <c r="K613" s="1">
        <v>44951</v>
      </c>
      <c r="L613">
        <v>2023</v>
      </c>
      <c r="M613" t="s">
        <v>54</v>
      </c>
      <c r="N613">
        <v>15</v>
      </c>
      <c r="O613" t="s">
        <v>91</v>
      </c>
      <c r="P613" t="s">
        <v>69</v>
      </c>
      <c r="Q613">
        <v>60</v>
      </c>
      <c r="R613">
        <v>5</v>
      </c>
      <c r="S613" t="s">
        <v>92</v>
      </c>
      <c r="T613" t="s">
        <v>93</v>
      </c>
      <c r="U613">
        <v>7</v>
      </c>
      <c r="V613">
        <v>7</v>
      </c>
      <c r="W613">
        <v>7</v>
      </c>
      <c r="X613">
        <v>7</v>
      </c>
      <c r="Y613">
        <v>2</v>
      </c>
      <c r="Z613">
        <v>6</v>
      </c>
      <c r="AA613">
        <v>2.4166660000000002</v>
      </c>
      <c r="AB613">
        <v>14.5</v>
      </c>
      <c r="AC613" t="s">
        <v>70</v>
      </c>
      <c r="AD613" t="s">
        <v>60</v>
      </c>
      <c r="AE613">
        <v>1</v>
      </c>
      <c r="AF613">
        <v>0</v>
      </c>
      <c r="AG613">
        <v>1</v>
      </c>
      <c r="AH613">
        <v>1</v>
      </c>
      <c r="AI613">
        <v>0</v>
      </c>
      <c r="AJ613">
        <v>0</v>
      </c>
      <c r="AK613">
        <v>2</v>
      </c>
      <c r="AL613">
        <v>0</v>
      </c>
      <c r="AM613">
        <v>0</v>
      </c>
      <c r="AN613">
        <v>1</v>
      </c>
      <c r="AO613">
        <v>5</v>
      </c>
      <c r="AP613">
        <v>1</v>
      </c>
      <c r="AQ613">
        <v>83.333333333333002</v>
      </c>
      <c r="AR613" s="2">
        <v>45721.648946759262</v>
      </c>
      <c r="AS613" s="2">
        <v>46019.536226851851</v>
      </c>
      <c r="AT613" t="s">
        <v>1357</v>
      </c>
      <c r="AU613" t="s">
        <v>62</v>
      </c>
      <c r="AV613">
        <v>298</v>
      </c>
    </row>
    <row r="614" spans="1:48" x14ac:dyDescent="0.25">
      <c r="A614">
        <v>563</v>
      </c>
      <c r="B614" t="s">
        <v>2480</v>
      </c>
      <c r="C614" t="s">
        <v>669</v>
      </c>
      <c r="D614" t="s">
        <v>1866</v>
      </c>
      <c r="E614" t="s">
        <v>2481</v>
      </c>
      <c r="F614" t="s">
        <v>2482</v>
      </c>
      <c r="G614" t="s">
        <v>53</v>
      </c>
      <c r="H614" s="1">
        <v>38642</v>
      </c>
      <c r="I614">
        <v>21</v>
      </c>
      <c r="J614">
        <v>2005</v>
      </c>
      <c r="K614" s="1">
        <v>44947</v>
      </c>
      <c r="L614">
        <v>2023</v>
      </c>
      <c r="M614" t="s">
        <v>54</v>
      </c>
      <c r="N614">
        <v>11</v>
      </c>
      <c r="O614" t="s">
        <v>378</v>
      </c>
      <c r="P614" t="s">
        <v>56</v>
      </c>
      <c r="Q614">
        <v>36</v>
      </c>
      <c r="R614">
        <v>4</v>
      </c>
      <c r="S614" t="s">
        <v>77</v>
      </c>
      <c r="T614" t="s">
        <v>78</v>
      </c>
      <c r="U614">
        <v>7</v>
      </c>
      <c r="V614">
        <v>7</v>
      </c>
      <c r="W614">
        <v>7</v>
      </c>
      <c r="X614">
        <v>7</v>
      </c>
      <c r="Y614">
        <v>2</v>
      </c>
      <c r="Z614">
        <v>7</v>
      </c>
      <c r="AA614">
        <v>2</v>
      </c>
      <c r="AB614">
        <v>14</v>
      </c>
      <c r="AC614" t="s">
        <v>70</v>
      </c>
      <c r="AD614" t="s">
        <v>60</v>
      </c>
      <c r="AE614">
        <v>2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3</v>
      </c>
      <c r="AN614">
        <v>1</v>
      </c>
      <c r="AO614">
        <v>6</v>
      </c>
      <c r="AP614">
        <v>1</v>
      </c>
      <c r="AQ614">
        <v>85.714285714284998</v>
      </c>
      <c r="AR614" s="2">
        <v>45739.56082175926</v>
      </c>
      <c r="AS614" s="2">
        <v>46028.365613425929</v>
      </c>
      <c r="AT614" t="s">
        <v>61</v>
      </c>
      <c r="AU614" t="s">
        <v>1357</v>
      </c>
      <c r="AV614">
        <v>289</v>
      </c>
    </row>
    <row r="615" spans="1:48" x14ac:dyDescent="0.25">
      <c r="A615">
        <v>81</v>
      </c>
      <c r="B615" t="s">
        <v>2483</v>
      </c>
      <c r="C615" t="s">
        <v>355</v>
      </c>
      <c r="D615" t="s">
        <v>562</v>
      </c>
      <c r="E615" t="s">
        <v>2484</v>
      </c>
      <c r="F615" t="s">
        <v>2485</v>
      </c>
      <c r="G615" t="s">
        <v>104</v>
      </c>
      <c r="H615" s="1">
        <v>39290</v>
      </c>
      <c r="I615">
        <v>19</v>
      </c>
      <c r="J615">
        <v>2007</v>
      </c>
      <c r="K615" s="1">
        <v>45419</v>
      </c>
      <c r="L615">
        <v>2024</v>
      </c>
      <c r="M615" t="s">
        <v>54</v>
      </c>
      <c r="N615">
        <v>10</v>
      </c>
      <c r="O615" t="s">
        <v>118</v>
      </c>
      <c r="P615" t="s">
        <v>119</v>
      </c>
      <c r="Q615">
        <v>120</v>
      </c>
      <c r="R615">
        <v>4</v>
      </c>
      <c r="S615" t="s">
        <v>77</v>
      </c>
      <c r="T615" t="s">
        <v>78</v>
      </c>
      <c r="U615">
        <v>7</v>
      </c>
      <c r="V615">
        <v>7</v>
      </c>
      <c r="W615">
        <v>7</v>
      </c>
      <c r="X615">
        <v>6</v>
      </c>
      <c r="Y615">
        <v>2</v>
      </c>
      <c r="Z615">
        <v>7</v>
      </c>
      <c r="AA615">
        <v>2.4285709999999998</v>
      </c>
      <c r="AB615">
        <v>17</v>
      </c>
      <c r="AC615" t="s">
        <v>70</v>
      </c>
      <c r="AD615" t="s">
        <v>60</v>
      </c>
      <c r="AE615">
        <v>1</v>
      </c>
      <c r="AF615">
        <v>0</v>
      </c>
      <c r="AG615">
        <v>2</v>
      </c>
      <c r="AH615">
        <v>0</v>
      </c>
      <c r="AI615">
        <v>0</v>
      </c>
      <c r="AJ615">
        <v>2</v>
      </c>
      <c r="AK615">
        <v>0</v>
      </c>
      <c r="AL615">
        <v>0</v>
      </c>
      <c r="AM615">
        <v>1</v>
      </c>
      <c r="AN615">
        <v>1</v>
      </c>
      <c r="AO615">
        <v>6</v>
      </c>
      <c r="AP615">
        <v>1</v>
      </c>
      <c r="AQ615">
        <v>85.714285714284998</v>
      </c>
      <c r="AR615" s="2">
        <v>45728.54420138889</v>
      </c>
      <c r="AS615" s="2">
        <v>46065.232939814814</v>
      </c>
      <c r="AT615" t="s">
        <v>61</v>
      </c>
      <c r="AU615" t="s">
        <v>62</v>
      </c>
      <c r="AV615">
        <v>337</v>
      </c>
    </row>
    <row r="616" spans="1:48" x14ac:dyDescent="0.25">
      <c r="A616">
        <v>271</v>
      </c>
      <c r="B616" t="s">
        <v>2486</v>
      </c>
      <c r="C616" t="s">
        <v>2487</v>
      </c>
      <c r="D616" t="s">
        <v>2488</v>
      </c>
      <c r="E616" t="s">
        <v>2489</v>
      </c>
      <c r="F616" t="s">
        <v>2490</v>
      </c>
      <c r="G616" t="s">
        <v>53</v>
      </c>
      <c r="H616" s="1">
        <v>36009</v>
      </c>
      <c r="I616">
        <v>28</v>
      </c>
      <c r="J616">
        <v>1998</v>
      </c>
      <c r="K616" s="1">
        <v>44851</v>
      </c>
      <c r="L616">
        <v>2022</v>
      </c>
      <c r="M616" t="s">
        <v>54</v>
      </c>
      <c r="N616">
        <v>5</v>
      </c>
      <c r="O616" t="s">
        <v>84</v>
      </c>
      <c r="P616" t="s">
        <v>56</v>
      </c>
      <c r="Q616">
        <v>36</v>
      </c>
      <c r="R616">
        <v>2</v>
      </c>
      <c r="S616" t="s">
        <v>85</v>
      </c>
      <c r="T616" t="s">
        <v>86</v>
      </c>
      <c r="U616">
        <v>7</v>
      </c>
      <c r="V616">
        <v>7</v>
      </c>
      <c r="W616">
        <v>7</v>
      </c>
      <c r="X616">
        <v>7</v>
      </c>
      <c r="Y616">
        <v>2</v>
      </c>
      <c r="Z616">
        <v>5</v>
      </c>
      <c r="AA616">
        <v>2.4</v>
      </c>
      <c r="AB616">
        <v>12</v>
      </c>
      <c r="AC616" t="s">
        <v>70</v>
      </c>
      <c r="AD616" t="s">
        <v>60</v>
      </c>
      <c r="AE616">
        <v>1</v>
      </c>
      <c r="AF616">
        <v>0</v>
      </c>
      <c r="AG616">
        <v>0</v>
      </c>
      <c r="AH616">
        <v>1</v>
      </c>
      <c r="AI616">
        <v>0</v>
      </c>
      <c r="AJ616">
        <v>2</v>
      </c>
      <c r="AK616">
        <v>0</v>
      </c>
      <c r="AL616">
        <v>0</v>
      </c>
      <c r="AM616">
        <v>0</v>
      </c>
      <c r="AN616">
        <v>1</v>
      </c>
      <c r="AO616">
        <v>4</v>
      </c>
      <c r="AP616">
        <v>1</v>
      </c>
      <c r="AQ616">
        <v>80</v>
      </c>
      <c r="AR616" s="2">
        <v>45738.403310185182</v>
      </c>
      <c r="AS616" s="2">
        <v>46054.11142361111</v>
      </c>
      <c r="AT616" t="s">
        <v>61</v>
      </c>
      <c r="AU616" t="s">
        <v>1357</v>
      </c>
      <c r="AV616">
        <v>316</v>
      </c>
    </row>
    <row r="617" spans="1:48" x14ac:dyDescent="0.25">
      <c r="A617">
        <v>480</v>
      </c>
      <c r="B617" t="s">
        <v>2491</v>
      </c>
      <c r="C617" t="s">
        <v>978</v>
      </c>
      <c r="D617" t="s">
        <v>177</v>
      </c>
      <c r="E617" t="s">
        <v>2492</v>
      </c>
      <c r="F617" t="s">
        <v>2493</v>
      </c>
      <c r="G617" t="s">
        <v>104</v>
      </c>
      <c r="H617" s="1">
        <v>38787</v>
      </c>
      <c r="I617">
        <v>20</v>
      </c>
      <c r="J617">
        <v>2006</v>
      </c>
      <c r="K617" s="1">
        <v>44984</v>
      </c>
      <c r="L617">
        <v>2023</v>
      </c>
      <c r="M617" t="s">
        <v>111</v>
      </c>
      <c r="N617">
        <v>9</v>
      </c>
      <c r="O617" t="s">
        <v>151</v>
      </c>
      <c r="P617" t="s">
        <v>69</v>
      </c>
      <c r="Q617">
        <v>60</v>
      </c>
      <c r="R617">
        <v>3</v>
      </c>
      <c r="S617" t="s">
        <v>126</v>
      </c>
      <c r="T617" t="s">
        <v>127</v>
      </c>
      <c r="U617">
        <v>7</v>
      </c>
      <c r="V617">
        <v>7</v>
      </c>
      <c r="W617">
        <v>7</v>
      </c>
      <c r="X617">
        <v>7</v>
      </c>
      <c r="Y617">
        <v>2</v>
      </c>
      <c r="Z617">
        <v>5</v>
      </c>
      <c r="AA617">
        <v>1.4</v>
      </c>
      <c r="AB617">
        <v>7</v>
      </c>
      <c r="AC617" t="s">
        <v>59</v>
      </c>
      <c r="AD617" t="s">
        <v>112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4</v>
      </c>
      <c r="AN617">
        <v>0</v>
      </c>
      <c r="AO617">
        <v>5</v>
      </c>
      <c r="AP617">
        <v>0</v>
      </c>
      <c r="AQ617">
        <v>100</v>
      </c>
      <c r="AR617" s="2">
        <v>45730.172662037039</v>
      </c>
      <c r="AS617" s="2">
        <v>46075.897210648145</v>
      </c>
      <c r="AT617" t="s">
        <v>61</v>
      </c>
      <c r="AU617" t="s">
        <v>1357</v>
      </c>
      <c r="AV617">
        <v>345</v>
      </c>
    </row>
    <row r="618" spans="1:48" x14ac:dyDescent="0.25">
      <c r="A618">
        <v>453</v>
      </c>
      <c r="B618" t="s">
        <v>2494</v>
      </c>
      <c r="C618" t="s">
        <v>1245</v>
      </c>
      <c r="D618" t="s">
        <v>955</v>
      </c>
      <c r="E618" t="s">
        <v>2495</v>
      </c>
      <c r="F618" t="s">
        <v>2496</v>
      </c>
      <c r="G618" t="s">
        <v>104</v>
      </c>
      <c r="H618" s="1">
        <v>39246</v>
      </c>
      <c r="I618">
        <v>19</v>
      </c>
      <c r="J618">
        <v>2007</v>
      </c>
      <c r="K618" s="1">
        <v>45164</v>
      </c>
      <c r="L618">
        <v>2023</v>
      </c>
      <c r="M618" t="s">
        <v>111</v>
      </c>
      <c r="N618">
        <v>14</v>
      </c>
      <c r="O618" t="s">
        <v>105</v>
      </c>
      <c r="P618" t="s">
        <v>56</v>
      </c>
      <c r="Q618">
        <v>36</v>
      </c>
      <c r="R618">
        <v>5</v>
      </c>
      <c r="S618" t="s">
        <v>92</v>
      </c>
      <c r="T618" t="s">
        <v>93</v>
      </c>
      <c r="U618">
        <v>7</v>
      </c>
      <c r="V618">
        <v>7</v>
      </c>
      <c r="W618">
        <v>7</v>
      </c>
      <c r="X618">
        <v>7</v>
      </c>
      <c r="Y618">
        <v>2</v>
      </c>
      <c r="Z618">
        <v>5</v>
      </c>
      <c r="AA618">
        <v>1.9</v>
      </c>
      <c r="AB618">
        <v>9.5</v>
      </c>
      <c r="AC618" t="s">
        <v>70</v>
      </c>
      <c r="AD618" t="s">
        <v>281</v>
      </c>
      <c r="AE618">
        <v>0</v>
      </c>
      <c r="AF618">
        <v>0</v>
      </c>
      <c r="AG618">
        <v>1</v>
      </c>
      <c r="AH618">
        <v>0</v>
      </c>
      <c r="AI618">
        <v>0</v>
      </c>
      <c r="AJ618">
        <v>2</v>
      </c>
      <c r="AK618">
        <v>0</v>
      </c>
      <c r="AL618">
        <v>0</v>
      </c>
      <c r="AM618">
        <v>1</v>
      </c>
      <c r="AN618">
        <v>1</v>
      </c>
      <c r="AO618">
        <v>4</v>
      </c>
      <c r="AP618">
        <v>1</v>
      </c>
      <c r="AQ618">
        <v>80</v>
      </c>
      <c r="AR618" s="2">
        <v>45724.389490740738</v>
      </c>
      <c r="AS618" s="2">
        <v>46062.365914351853</v>
      </c>
      <c r="AT618" t="s">
        <v>61</v>
      </c>
      <c r="AU618" t="s">
        <v>1357</v>
      </c>
      <c r="AV618">
        <v>338</v>
      </c>
    </row>
    <row r="619" spans="1:48" x14ac:dyDescent="0.25">
      <c r="A619">
        <v>546</v>
      </c>
      <c r="B619" t="s">
        <v>2497</v>
      </c>
      <c r="C619" t="s">
        <v>2498</v>
      </c>
      <c r="D619" t="s">
        <v>2499</v>
      </c>
      <c r="E619" t="s">
        <v>2500</v>
      </c>
      <c r="F619">
        <f>1-814-547-4430</f>
        <v>-5790</v>
      </c>
      <c r="G619" t="s">
        <v>53</v>
      </c>
      <c r="H619" s="1">
        <v>39146</v>
      </c>
      <c r="I619">
        <v>19</v>
      </c>
      <c r="J619">
        <v>2007</v>
      </c>
      <c r="K619" s="1">
        <v>45982</v>
      </c>
      <c r="L619">
        <v>2025</v>
      </c>
      <c r="M619" t="s">
        <v>54</v>
      </c>
      <c r="N619">
        <v>7</v>
      </c>
      <c r="O619" t="s">
        <v>231</v>
      </c>
      <c r="P619" t="s">
        <v>119</v>
      </c>
      <c r="Q619">
        <v>120</v>
      </c>
      <c r="R619">
        <v>3</v>
      </c>
      <c r="S619" t="s">
        <v>126</v>
      </c>
      <c r="T619" t="s">
        <v>127</v>
      </c>
      <c r="U619">
        <v>6</v>
      </c>
      <c r="V619">
        <v>7</v>
      </c>
      <c r="W619">
        <v>7</v>
      </c>
      <c r="X619">
        <v>7</v>
      </c>
      <c r="Y619">
        <v>2</v>
      </c>
      <c r="Z619">
        <v>5</v>
      </c>
      <c r="AA619">
        <v>3.5</v>
      </c>
      <c r="AB619">
        <v>17.5</v>
      </c>
      <c r="AC619" t="s">
        <v>540</v>
      </c>
      <c r="AD619" t="s">
        <v>60</v>
      </c>
      <c r="AE619">
        <v>2</v>
      </c>
      <c r="AF619">
        <v>0</v>
      </c>
      <c r="AG619">
        <v>2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0</v>
      </c>
      <c r="AN619">
        <v>0</v>
      </c>
      <c r="AO619">
        <v>5</v>
      </c>
      <c r="AP619">
        <v>0</v>
      </c>
      <c r="AQ619">
        <v>100</v>
      </c>
      <c r="AR619" s="2">
        <v>45773.245821759258</v>
      </c>
      <c r="AS619" s="2">
        <v>46055.340069444443</v>
      </c>
      <c r="AT619" t="s">
        <v>1357</v>
      </c>
      <c r="AU619" t="s">
        <v>62</v>
      </c>
      <c r="AV619">
        <v>282</v>
      </c>
    </row>
    <row r="620" spans="1:48" x14ac:dyDescent="0.25">
      <c r="A620">
        <v>382</v>
      </c>
      <c r="B620" t="s">
        <v>2501</v>
      </c>
      <c r="C620" t="s">
        <v>2502</v>
      </c>
      <c r="D620" t="s">
        <v>2503</v>
      </c>
      <c r="E620" t="s">
        <v>2504</v>
      </c>
      <c r="F620" t="s">
        <v>2505</v>
      </c>
      <c r="G620" t="s">
        <v>104</v>
      </c>
      <c r="H620" s="1">
        <v>39194</v>
      </c>
      <c r="I620">
        <v>19</v>
      </c>
      <c r="J620">
        <v>2007</v>
      </c>
      <c r="K620" s="1">
        <v>45487</v>
      </c>
      <c r="L620">
        <v>2024</v>
      </c>
      <c r="M620" t="s">
        <v>54</v>
      </c>
      <c r="N620">
        <v>12</v>
      </c>
      <c r="O620" t="s">
        <v>76</v>
      </c>
      <c r="P620" t="s">
        <v>69</v>
      </c>
      <c r="Q620">
        <v>60</v>
      </c>
      <c r="R620">
        <v>4</v>
      </c>
      <c r="S620" t="s">
        <v>77</v>
      </c>
      <c r="T620" t="s">
        <v>78</v>
      </c>
      <c r="U620">
        <v>7</v>
      </c>
      <c r="V620">
        <v>7</v>
      </c>
      <c r="W620">
        <v>7</v>
      </c>
      <c r="X620">
        <v>7</v>
      </c>
      <c r="Y620">
        <v>2</v>
      </c>
      <c r="Z620">
        <v>4</v>
      </c>
      <c r="AA620">
        <v>2.125</v>
      </c>
      <c r="AB620">
        <v>8.5</v>
      </c>
      <c r="AC620" t="s">
        <v>70</v>
      </c>
      <c r="AD620" t="s">
        <v>281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2</v>
      </c>
      <c r="AK620">
        <v>0</v>
      </c>
      <c r="AL620">
        <v>0</v>
      </c>
      <c r="AM620">
        <v>0</v>
      </c>
      <c r="AN620">
        <v>1</v>
      </c>
      <c r="AO620">
        <v>3</v>
      </c>
      <c r="AP620">
        <v>1</v>
      </c>
      <c r="AQ620">
        <v>75</v>
      </c>
      <c r="AR620" s="2">
        <v>45795.820960648147</v>
      </c>
      <c r="AS620" s="2">
        <v>46047.511574074073</v>
      </c>
      <c r="AT620" t="s">
        <v>61</v>
      </c>
      <c r="AU620" t="s">
        <v>1357</v>
      </c>
      <c r="AV620">
        <v>252</v>
      </c>
    </row>
    <row r="621" spans="1:48" x14ac:dyDescent="0.25">
      <c r="A621">
        <v>612</v>
      </c>
      <c r="B621" t="s">
        <v>2506</v>
      </c>
      <c r="C621" t="s">
        <v>2507</v>
      </c>
      <c r="D621" t="s">
        <v>2508</v>
      </c>
      <c r="E621" t="s">
        <v>2509</v>
      </c>
      <c r="F621" t="s">
        <v>2510</v>
      </c>
      <c r="G621" t="s">
        <v>53</v>
      </c>
      <c r="H621" s="1">
        <v>38793</v>
      </c>
      <c r="I621">
        <v>20</v>
      </c>
      <c r="J621">
        <v>2006</v>
      </c>
      <c r="K621" s="1">
        <v>46038</v>
      </c>
      <c r="L621">
        <v>2026</v>
      </c>
      <c r="M621" t="s">
        <v>225</v>
      </c>
      <c r="N621">
        <v>20</v>
      </c>
      <c r="O621" t="s">
        <v>180</v>
      </c>
      <c r="P621" t="s">
        <v>56</v>
      </c>
      <c r="Q621">
        <v>36</v>
      </c>
      <c r="R621">
        <v>7</v>
      </c>
      <c r="S621" t="s">
        <v>163</v>
      </c>
      <c r="T621" t="s">
        <v>164</v>
      </c>
      <c r="U621">
        <v>7</v>
      </c>
      <c r="V621">
        <v>7</v>
      </c>
      <c r="W621">
        <v>7</v>
      </c>
      <c r="X621">
        <v>7</v>
      </c>
      <c r="Y621">
        <v>2</v>
      </c>
      <c r="Z621">
        <v>5</v>
      </c>
      <c r="AA621">
        <v>2.2000000000000002</v>
      </c>
      <c r="AB621">
        <v>11</v>
      </c>
      <c r="AC621" t="s">
        <v>59</v>
      </c>
      <c r="AD621" t="s">
        <v>60</v>
      </c>
      <c r="AE621">
        <v>1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1</v>
      </c>
      <c r="AL621">
        <v>0</v>
      </c>
      <c r="AM621">
        <v>2</v>
      </c>
      <c r="AN621">
        <v>0</v>
      </c>
      <c r="AO621">
        <v>5</v>
      </c>
      <c r="AP621">
        <v>0</v>
      </c>
      <c r="AQ621">
        <v>100</v>
      </c>
      <c r="AR621" s="2">
        <v>45821.786053240743</v>
      </c>
      <c r="AS621" s="2">
        <v>46072.011203703703</v>
      </c>
      <c r="AT621" t="s">
        <v>61</v>
      </c>
      <c r="AU621" t="s">
        <v>1357</v>
      </c>
      <c r="AV621">
        <v>251</v>
      </c>
    </row>
    <row r="622" spans="1:48" x14ac:dyDescent="0.25">
      <c r="A622">
        <v>845</v>
      </c>
      <c r="B622" t="s">
        <v>2511</v>
      </c>
      <c r="C622" t="s">
        <v>695</v>
      </c>
      <c r="D622" t="s">
        <v>2426</v>
      </c>
      <c r="E622" t="s">
        <v>2512</v>
      </c>
      <c r="F622" t="s">
        <v>2513</v>
      </c>
      <c r="G622" t="s">
        <v>53</v>
      </c>
      <c r="H622" s="1">
        <v>37121</v>
      </c>
      <c r="I622">
        <v>25</v>
      </c>
      <c r="J622">
        <v>2001</v>
      </c>
      <c r="K622" s="1">
        <v>45979</v>
      </c>
      <c r="L622">
        <v>2025</v>
      </c>
      <c r="M622" t="s">
        <v>111</v>
      </c>
      <c r="N622">
        <v>21</v>
      </c>
      <c r="O622" t="s">
        <v>339</v>
      </c>
      <c r="P622" t="s">
        <v>69</v>
      </c>
      <c r="Q622">
        <v>60</v>
      </c>
      <c r="R622">
        <v>7</v>
      </c>
      <c r="S622" t="s">
        <v>163</v>
      </c>
      <c r="T622" t="s">
        <v>164</v>
      </c>
      <c r="U622">
        <v>7</v>
      </c>
      <c r="V622">
        <v>7</v>
      </c>
      <c r="W622">
        <v>7</v>
      </c>
      <c r="X622">
        <v>7</v>
      </c>
      <c r="Y622">
        <v>2</v>
      </c>
      <c r="Z622">
        <v>5</v>
      </c>
      <c r="AA622">
        <v>2</v>
      </c>
      <c r="AB622">
        <v>10</v>
      </c>
      <c r="AC622" t="s">
        <v>59</v>
      </c>
      <c r="AD622" t="s">
        <v>281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1</v>
      </c>
      <c r="AK622">
        <v>1</v>
      </c>
      <c r="AL622">
        <v>0</v>
      </c>
      <c r="AM622">
        <v>2</v>
      </c>
      <c r="AN622">
        <v>0</v>
      </c>
      <c r="AO622">
        <v>5</v>
      </c>
      <c r="AP622">
        <v>0</v>
      </c>
      <c r="AQ622">
        <v>100</v>
      </c>
      <c r="AR622" s="2">
        <v>45742.761446759258</v>
      </c>
      <c r="AS622" s="2">
        <v>46009.080590277779</v>
      </c>
      <c r="AT622" t="s">
        <v>1357</v>
      </c>
      <c r="AU622" t="s">
        <v>62</v>
      </c>
      <c r="AV622">
        <v>267</v>
      </c>
    </row>
    <row r="623" spans="1:48" x14ac:dyDescent="0.25">
      <c r="A623">
        <v>557</v>
      </c>
      <c r="B623" t="s">
        <v>2514</v>
      </c>
      <c r="C623" t="s">
        <v>1468</v>
      </c>
      <c r="D623" t="s">
        <v>2515</v>
      </c>
      <c r="E623" t="s">
        <v>2516</v>
      </c>
      <c r="F623" t="s">
        <v>2517</v>
      </c>
      <c r="G623" t="s">
        <v>53</v>
      </c>
      <c r="H623" s="1">
        <v>36194</v>
      </c>
      <c r="I623">
        <v>27</v>
      </c>
      <c r="J623">
        <v>1999</v>
      </c>
      <c r="K623" s="1">
        <v>45317</v>
      </c>
      <c r="L623">
        <v>2024</v>
      </c>
      <c r="M623" t="s">
        <v>54</v>
      </c>
      <c r="N623">
        <v>10</v>
      </c>
      <c r="O623" t="s">
        <v>118</v>
      </c>
      <c r="P623" t="s">
        <v>119</v>
      </c>
      <c r="Q623">
        <v>120</v>
      </c>
      <c r="R623">
        <v>4</v>
      </c>
      <c r="S623" t="s">
        <v>77</v>
      </c>
      <c r="T623" t="s">
        <v>78</v>
      </c>
      <c r="U623">
        <v>7</v>
      </c>
      <c r="V623">
        <v>7</v>
      </c>
      <c r="W623">
        <v>7</v>
      </c>
      <c r="X623">
        <v>7</v>
      </c>
      <c r="Y623">
        <v>2</v>
      </c>
      <c r="Z623">
        <v>5</v>
      </c>
      <c r="AA623">
        <v>1.9</v>
      </c>
      <c r="AB623">
        <v>9.5</v>
      </c>
      <c r="AC623" t="s">
        <v>59</v>
      </c>
      <c r="AD623" t="s">
        <v>281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2</v>
      </c>
      <c r="AL623">
        <v>0</v>
      </c>
      <c r="AM623">
        <v>2</v>
      </c>
      <c r="AN623">
        <v>0</v>
      </c>
      <c r="AO623">
        <v>5</v>
      </c>
      <c r="AP623">
        <v>0</v>
      </c>
      <c r="AQ623">
        <v>100</v>
      </c>
      <c r="AR623" s="2">
        <v>45757.330416666664</v>
      </c>
      <c r="AS623" s="2">
        <v>46000.8046875</v>
      </c>
      <c r="AT623" t="s">
        <v>61</v>
      </c>
      <c r="AU623" t="s">
        <v>1357</v>
      </c>
      <c r="AV623">
        <v>243</v>
      </c>
    </row>
    <row r="624" spans="1:48" x14ac:dyDescent="0.25">
      <c r="A624">
        <v>660</v>
      </c>
      <c r="B624" t="s">
        <v>2518</v>
      </c>
      <c r="C624" t="s">
        <v>708</v>
      </c>
      <c r="D624" t="s">
        <v>532</v>
      </c>
      <c r="E624" t="s">
        <v>2519</v>
      </c>
      <c r="F624" t="s">
        <v>2520</v>
      </c>
      <c r="G624" t="s">
        <v>53</v>
      </c>
      <c r="H624" s="1">
        <v>37686</v>
      </c>
      <c r="I624">
        <v>23</v>
      </c>
      <c r="J624">
        <v>2003</v>
      </c>
      <c r="K624" s="1">
        <v>45153</v>
      </c>
      <c r="L624">
        <v>2023</v>
      </c>
      <c r="M624" t="s">
        <v>54</v>
      </c>
      <c r="N624">
        <v>19</v>
      </c>
      <c r="O624" t="s">
        <v>162</v>
      </c>
      <c r="P624" t="s">
        <v>119</v>
      </c>
      <c r="Q624">
        <v>120</v>
      </c>
      <c r="R624">
        <v>7</v>
      </c>
      <c r="S624" t="s">
        <v>163</v>
      </c>
      <c r="T624" t="s">
        <v>164</v>
      </c>
      <c r="U624">
        <v>7</v>
      </c>
      <c r="V624">
        <v>7</v>
      </c>
      <c r="W624">
        <v>7</v>
      </c>
      <c r="X624">
        <v>7</v>
      </c>
      <c r="Y624">
        <v>2</v>
      </c>
      <c r="Z624">
        <v>3</v>
      </c>
      <c r="AA624">
        <v>1.666666</v>
      </c>
      <c r="AB624">
        <v>5</v>
      </c>
      <c r="AC624" t="s">
        <v>70</v>
      </c>
      <c r="AD624" t="s">
        <v>112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1</v>
      </c>
      <c r="AL624">
        <v>0</v>
      </c>
      <c r="AM624">
        <v>0</v>
      </c>
      <c r="AN624">
        <v>1</v>
      </c>
      <c r="AO624">
        <v>2</v>
      </c>
      <c r="AP624">
        <v>1</v>
      </c>
      <c r="AQ624">
        <v>66.666666666666003</v>
      </c>
      <c r="AR624" s="2">
        <v>45762.968043981484</v>
      </c>
      <c r="AS624" s="2">
        <v>46057.804675925923</v>
      </c>
      <c r="AT624" t="s">
        <v>61</v>
      </c>
      <c r="AU624" t="s">
        <v>1357</v>
      </c>
      <c r="AV624">
        <v>295</v>
      </c>
    </row>
    <row r="625" spans="1:48" x14ac:dyDescent="0.25">
      <c r="A625">
        <v>328</v>
      </c>
      <c r="B625" t="s">
        <v>2521</v>
      </c>
      <c r="C625" t="s">
        <v>336</v>
      </c>
      <c r="D625" t="s">
        <v>2522</v>
      </c>
      <c r="E625" t="s">
        <v>2523</v>
      </c>
      <c r="F625">
        <f>1-270-320-7016</f>
        <v>-7605</v>
      </c>
      <c r="G625" t="s">
        <v>104</v>
      </c>
      <c r="H625" s="1">
        <v>36788</v>
      </c>
      <c r="I625">
        <v>26</v>
      </c>
      <c r="J625">
        <v>2000</v>
      </c>
      <c r="K625" s="1">
        <v>44886</v>
      </c>
      <c r="L625">
        <v>2022</v>
      </c>
      <c r="M625" t="s">
        <v>54</v>
      </c>
      <c r="N625">
        <v>20</v>
      </c>
      <c r="O625" t="s">
        <v>180</v>
      </c>
      <c r="P625" t="s">
        <v>56</v>
      </c>
      <c r="Q625">
        <v>36</v>
      </c>
      <c r="R625">
        <v>7</v>
      </c>
      <c r="S625" t="s">
        <v>163</v>
      </c>
      <c r="T625" t="s">
        <v>164</v>
      </c>
      <c r="U625">
        <v>7</v>
      </c>
      <c r="V625">
        <v>7</v>
      </c>
      <c r="W625">
        <v>7</v>
      </c>
      <c r="X625">
        <v>6</v>
      </c>
      <c r="Y625">
        <v>2</v>
      </c>
      <c r="Z625">
        <v>6</v>
      </c>
      <c r="AA625">
        <v>2.5</v>
      </c>
      <c r="AB625">
        <v>15</v>
      </c>
      <c r="AC625" t="s">
        <v>540</v>
      </c>
      <c r="AD625" t="s">
        <v>112</v>
      </c>
      <c r="AE625">
        <v>0</v>
      </c>
      <c r="AF625">
        <v>0</v>
      </c>
      <c r="AG625">
        <v>1</v>
      </c>
      <c r="AH625">
        <v>1</v>
      </c>
      <c r="AI625">
        <v>0</v>
      </c>
      <c r="AJ625">
        <v>1</v>
      </c>
      <c r="AK625">
        <v>3</v>
      </c>
      <c r="AL625">
        <v>0</v>
      </c>
      <c r="AM625">
        <v>0</v>
      </c>
      <c r="AN625">
        <v>0</v>
      </c>
      <c r="AO625">
        <v>6</v>
      </c>
      <c r="AP625">
        <v>0</v>
      </c>
      <c r="AQ625">
        <v>100</v>
      </c>
      <c r="AR625" s="2">
        <v>45733.300243055557</v>
      </c>
      <c r="AS625" s="2">
        <v>46082.435729166667</v>
      </c>
      <c r="AT625" t="s">
        <v>61</v>
      </c>
      <c r="AU625" t="s">
        <v>1357</v>
      </c>
      <c r="AV625">
        <v>349</v>
      </c>
    </row>
    <row r="626" spans="1:48" x14ac:dyDescent="0.25">
      <c r="A626">
        <v>800</v>
      </c>
      <c r="B626" t="s">
        <v>2524</v>
      </c>
      <c r="C626" t="s">
        <v>153</v>
      </c>
      <c r="D626" t="s">
        <v>2525</v>
      </c>
      <c r="E626" t="s">
        <v>2526</v>
      </c>
      <c r="F626" t="s">
        <v>2527</v>
      </c>
      <c r="G626" t="s">
        <v>104</v>
      </c>
      <c r="H626" s="1">
        <v>39093</v>
      </c>
      <c r="I626">
        <v>19</v>
      </c>
      <c r="J626">
        <v>2007</v>
      </c>
      <c r="K626" s="1">
        <v>45447</v>
      </c>
      <c r="L626">
        <v>2024</v>
      </c>
      <c r="M626" t="s">
        <v>54</v>
      </c>
      <c r="N626">
        <v>2</v>
      </c>
      <c r="O626" t="s">
        <v>55</v>
      </c>
      <c r="P626" t="s">
        <v>56</v>
      </c>
      <c r="Q626">
        <v>36</v>
      </c>
      <c r="R626">
        <v>1</v>
      </c>
      <c r="S626" t="s">
        <v>57</v>
      </c>
      <c r="T626" t="s">
        <v>58</v>
      </c>
      <c r="U626">
        <v>7</v>
      </c>
      <c r="V626">
        <v>7</v>
      </c>
      <c r="W626">
        <v>7</v>
      </c>
      <c r="X626">
        <v>5</v>
      </c>
      <c r="Y626">
        <v>2</v>
      </c>
      <c r="Z626">
        <v>5</v>
      </c>
      <c r="AA626">
        <v>2.2999999999999998</v>
      </c>
      <c r="AB626">
        <v>11.5</v>
      </c>
      <c r="AC626" t="s">
        <v>70</v>
      </c>
      <c r="AD626" t="s">
        <v>112</v>
      </c>
      <c r="AE626">
        <v>0</v>
      </c>
      <c r="AF626">
        <v>0</v>
      </c>
      <c r="AG626">
        <v>1</v>
      </c>
      <c r="AH626">
        <v>1</v>
      </c>
      <c r="AI626">
        <v>0</v>
      </c>
      <c r="AJ626">
        <v>2</v>
      </c>
      <c r="AK626">
        <v>0</v>
      </c>
      <c r="AL626">
        <v>0</v>
      </c>
      <c r="AM626">
        <v>0</v>
      </c>
      <c r="AN626">
        <v>1</v>
      </c>
      <c r="AO626">
        <v>4</v>
      </c>
      <c r="AP626">
        <v>1</v>
      </c>
      <c r="AQ626">
        <v>80</v>
      </c>
      <c r="AR626" s="2">
        <v>45737.861307870371</v>
      </c>
      <c r="AS626" s="2">
        <v>46023.928101851852</v>
      </c>
      <c r="AT626" t="s">
        <v>1357</v>
      </c>
      <c r="AU626" t="s">
        <v>62</v>
      </c>
      <c r="AV626">
        <v>286</v>
      </c>
    </row>
    <row r="627" spans="1:48" x14ac:dyDescent="0.25">
      <c r="A627">
        <v>533</v>
      </c>
      <c r="B627" t="s">
        <v>2528</v>
      </c>
      <c r="C627" t="s">
        <v>1784</v>
      </c>
      <c r="D627" t="s">
        <v>726</v>
      </c>
      <c r="E627" t="s">
        <v>2529</v>
      </c>
      <c r="F627" t="s">
        <v>2530</v>
      </c>
      <c r="G627" t="s">
        <v>53</v>
      </c>
      <c r="H627" s="1">
        <v>35620</v>
      </c>
      <c r="I627">
        <v>29</v>
      </c>
      <c r="J627">
        <v>1997</v>
      </c>
      <c r="K627" s="1">
        <v>45500</v>
      </c>
      <c r="L627">
        <v>2024</v>
      </c>
      <c r="M627" t="s">
        <v>54</v>
      </c>
      <c r="N627">
        <v>10</v>
      </c>
      <c r="O627" t="s">
        <v>118</v>
      </c>
      <c r="P627" t="s">
        <v>119</v>
      </c>
      <c r="Q627">
        <v>120</v>
      </c>
      <c r="R627">
        <v>4</v>
      </c>
      <c r="S627" t="s">
        <v>77</v>
      </c>
      <c r="T627" t="s">
        <v>78</v>
      </c>
      <c r="U627">
        <v>7</v>
      </c>
      <c r="V627">
        <v>7</v>
      </c>
      <c r="W627">
        <v>7</v>
      </c>
      <c r="X627">
        <v>7</v>
      </c>
      <c r="Y627">
        <v>2</v>
      </c>
      <c r="Z627">
        <v>7</v>
      </c>
      <c r="AA627">
        <v>2.3571420000000001</v>
      </c>
      <c r="AB627">
        <v>16.5</v>
      </c>
      <c r="AC627" t="s">
        <v>59</v>
      </c>
      <c r="AD627" t="s">
        <v>112</v>
      </c>
      <c r="AE627">
        <v>0</v>
      </c>
      <c r="AF627">
        <v>0</v>
      </c>
      <c r="AG627">
        <v>0</v>
      </c>
      <c r="AH627">
        <v>2</v>
      </c>
      <c r="AI627">
        <v>0</v>
      </c>
      <c r="AJ627">
        <v>3</v>
      </c>
      <c r="AK627">
        <v>1</v>
      </c>
      <c r="AL627">
        <v>0</v>
      </c>
      <c r="AM627">
        <v>1</v>
      </c>
      <c r="AN627">
        <v>0</v>
      </c>
      <c r="AO627">
        <v>7</v>
      </c>
      <c r="AP627">
        <v>0</v>
      </c>
      <c r="AQ627">
        <v>100</v>
      </c>
      <c r="AR627" s="2">
        <v>45739.969155092593</v>
      </c>
      <c r="AS627" s="2">
        <v>46030.142280092594</v>
      </c>
      <c r="AT627" t="s">
        <v>61</v>
      </c>
      <c r="AU627" t="s">
        <v>62</v>
      </c>
      <c r="AV627">
        <v>291</v>
      </c>
    </row>
    <row r="628" spans="1:48" x14ac:dyDescent="0.25">
      <c r="A628">
        <v>748</v>
      </c>
      <c r="B628" t="s">
        <v>2531</v>
      </c>
      <c r="C628" t="s">
        <v>2532</v>
      </c>
      <c r="D628" t="s">
        <v>2533</v>
      </c>
      <c r="E628" t="s">
        <v>2534</v>
      </c>
      <c r="F628" t="s">
        <v>2535</v>
      </c>
      <c r="G628" t="s">
        <v>53</v>
      </c>
      <c r="H628" s="1">
        <v>35212</v>
      </c>
      <c r="I628">
        <v>30</v>
      </c>
      <c r="J628">
        <v>1996</v>
      </c>
      <c r="K628" s="1">
        <v>45884</v>
      </c>
      <c r="L628">
        <v>2025</v>
      </c>
      <c r="M628" t="s">
        <v>111</v>
      </c>
      <c r="N628">
        <v>21</v>
      </c>
      <c r="O628" t="s">
        <v>339</v>
      </c>
      <c r="P628" t="s">
        <v>69</v>
      </c>
      <c r="Q628">
        <v>60</v>
      </c>
      <c r="R628">
        <v>7</v>
      </c>
      <c r="S628" t="s">
        <v>163</v>
      </c>
      <c r="T628" t="s">
        <v>164</v>
      </c>
      <c r="U628">
        <v>6</v>
      </c>
      <c r="V628">
        <v>7</v>
      </c>
      <c r="W628">
        <v>7</v>
      </c>
      <c r="X628">
        <v>6</v>
      </c>
      <c r="Y628">
        <v>2</v>
      </c>
      <c r="Z628">
        <v>5</v>
      </c>
      <c r="AA628">
        <v>1.8</v>
      </c>
      <c r="AB628">
        <v>9</v>
      </c>
      <c r="AC628" t="s">
        <v>70</v>
      </c>
      <c r="AD628" t="s">
        <v>60</v>
      </c>
      <c r="AE628">
        <v>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2</v>
      </c>
      <c r="AL628">
        <v>0</v>
      </c>
      <c r="AM628">
        <v>1</v>
      </c>
      <c r="AN628">
        <v>1</v>
      </c>
      <c r="AO628">
        <v>4</v>
      </c>
      <c r="AP628">
        <v>1</v>
      </c>
      <c r="AQ628">
        <v>80</v>
      </c>
      <c r="AR628" s="2">
        <v>45722.963402777779</v>
      </c>
      <c r="AS628" s="2">
        <v>45905.437245370369</v>
      </c>
      <c r="AT628" t="s">
        <v>61</v>
      </c>
      <c r="AU628" t="s">
        <v>1357</v>
      </c>
      <c r="AV628">
        <v>183</v>
      </c>
    </row>
    <row r="629" spans="1:48" x14ac:dyDescent="0.25">
      <c r="A629">
        <v>631</v>
      </c>
      <c r="B629" t="s">
        <v>2536</v>
      </c>
      <c r="C629" t="s">
        <v>717</v>
      </c>
      <c r="D629" t="s">
        <v>2537</v>
      </c>
      <c r="E629" t="s">
        <v>2538</v>
      </c>
      <c r="F629" t="s">
        <v>2539</v>
      </c>
      <c r="G629" t="s">
        <v>53</v>
      </c>
      <c r="H629" s="1">
        <v>38478</v>
      </c>
      <c r="I629">
        <v>21</v>
      </c>
      <c r="J629">
        <v>2005</v>
      </c>
      <c r="K629" s="1">
        <v>45843</v>
      </c>
      <c r="L629">
        <v>2025</v>
      </c>
      <c r="M629" t="s">
        <v>54</v>
      </c>
      <c r="N629">
        <v>14</v>
      </c>
      <c r="O629" t="s">
        <v>105</v>
      </c>
      <c r="P629" t="s">
        <v>56</v>
      </c>
      <c r="Q629">
        <v>36</v>
      </c>
      <c r="R629">
        <v>5</v>
      </c>
      <c r="S629" t="s">
        <v>92</v>
      </c>
      <c r="T629" t="s">
        <v>93</v>
      </c>
      <c r="U629">
        <v>7</v>
      </c>
      <c r="V629">
        <v>7</v>
      </c>
      <c r="W629">
        <v>7</v>
      </c>
      <c r="X629">
        <v>6</v>
      </c>
      <c r="Y629">
        <v>2</v>
      </c>
      <c r="Z629">
        <v>5</v>
      </c>
      <c r="AA629">
        <v>3.5</v>
      </c>
      <c r="AB629">
        <v>17.5</v>
      </c>
      <c r="AC629" t="s">
        <v>540</v>
      </c>
      <c r="AD629" t="s">
        <v>60</v>
      </c>
      <c r="AE629">
        <v>2</v>
      </c>
      <c r="AF629">
        <v>0</v>
      </c>
      <c r="AG629">
        <v>2</v>
      </c>
      <c r="AH629">
        <v>0</v>
      </c>
      <c r="AI629">
        <v>0</v>
      </c>
      <c r="AJ629">
        <v>1</v>
      </c>
      <c r="AK629">
        <v>0</v>
      </c>
      <c r="AL629">
        <v>0</v>
      </c>
      <c r="AM629">
        <v>0</v>
      </c>
      <c r="AN629">
        <v>0</v>
      </c>
      <c r="AO629">
        <v>5</v>
      </c>
      <c r="AP629">
        <v>0</v>
      </c>
      <c r="AQ629">
        <v>100</v>
      </c>
      <c r="AR629" s="2">
        <v>45771.338506944441</v>
      </c>
      <c r="AS629" s="2">
        <v>46040.641273148147</v>
      </c>
      <c r="AT629" t="s">
        <v>1357</v>
      </c>
      <c r="AU629" t="s">
        <v>62</v>
      </c>
      <c r="AV629">
        <v>269</v>
      </c>
    </row>
    <row r="630" spans="1:48" x14ac:dyDescent="0.25">
      <c r="A630">
        <v>98</v>
      </c>
      <c r="B630" t="s">
        <v>2540</v>
      </c>
      <c r="C630" t="s">
        <v>148</v>
      </c>
      <c r="D630" t="s">
        <v>2541</v>
      </c>
      <c r="E630" t="s">
        <v>2542</v>
      </c>
      <c r="F630" t="s">
        <v>2543</v>
      </c>
      <c r="G630" t="s">
        <v>53</v>
      </c>
      <c r="H630" s="1">
        <v>37311</v>
      </c>
      <c r="I630">
        <v>24</v>
      </c>
      <c r="J630">
        <v>2002</v>
      </c>
      <c r="K630" s="1">
        <v>45862</v>
      </c>
      <c r="L630">
        <v>2025</v>
      </c>
      <c r="M630" t="s">
        <v>54</v>
      </c>
      <c r="N630">
        <v>20</v>
      </c>
      <c r="O630" t="s">
        <v>180</v>
      </c>
      <c r="P630" t="s">
        <v>56</v>
      </c>
      <c r="Q630">
        <v>36</v>
      </c>
      <c r="R630">
        <v>7</v>
      </c>
      <c r="S630" t="s">
        <v>163</v>
      </c>
      <c r="T630" t="s">
        <v>164</v>
      </c>
      <c r="U630">
        <v>7</v>
      </c>
      <c r="V630">
        <v>7</v>
      </c>
      <c r="W630">
        <v>7</v>
      </c>
      <c r="X630">
        <v>7</v>
      </c>
      <c r="Y630">
        <v>2</v>
      </c>
      <c r="Z630">
        <v>6</v>
      </c>
      <c r="AA630">
        <v>2.3333330000000001</v>
      </c>
      <c r="AB630">
        <v>14</v>
      </c>
      <c r="AC630" t="s">
        <v>70</v>
      </c>
      <c r="AD630" t="s">
        <v>60</v>
      </c>
      <c r="AE630">
        <v>1</v>
      </c>
      <c r="AF630">
        <v>0</v>
      </c>
      <c r="AG630">
        <v>1</v>
      </c>
      <c r="AH630">
        <v>1</v>
      </c>
      <c r="AI630">
        <v>0</v>
      </c>
      <c r="AJ630">
        <v>1</v>
      </c>
      <c r="AK630">
        <v>0</v>
      </c>
      <c r="AL630">
        <v>0</v>
      </c>
      <c r="AM630">
        <v>1</v>
      </c>
      <c r="AN630">
        <v>1</v>
      </c>
      <c r="AO630">
        <v>5</v>
      </c>
      <c r="AP630">
        <v>1</v>
      </c>
      <c r="AQ630">
        <v>83.333333333333002</v>
      </c>
      <c r="AR630" s="2">
        <v>45779.01421296296</v>
      </c>
      <c r="AS630" s="2">
        <v>46046.793194444443</v>
      </c>
      <c r="AT630" t="s">
        <v>1357</v>
      </c>
      <c r="AU630" t="s">
        <v>62</v>
      </c>
      <c r="AV630">
        <v>267</v>
      </c>
    </row>
    <row r="631" spans="1:48" x14ac:dyDescent="0.25">
      <c r="A631">
        <v>822</v>
      </c>
      <c r="B631" t="s">
        <v>2544</v>
      </c>
      <c r="C631" t="s">
        <v>575</v>
      </c>
      <c r="D631" t="s">
        <v>940</v>
      </c>
      <c r="E631" t="s">
        <v>2545</v>
      </c>
      <c r="F631" t="s">
        <v>2546</v>
      </c>
      <c r="G631" t="s">
        <v>53</v>
      </c>
      <c r="H631" s="1">
        <v>39454</v>
      </c>
      <c r="I631">
        <v>18</v>
      </c>
      <c r="J631">
        <v>2008</v>
      </c>
      <c r="K631" s="1">
        <v>45920</v>
      </c>
      <c r="L631">
        <v>2025</v>
      </c>
      <c r="M631" t="s">
        <v>54</v>
      </c>
      <c r="N631">
        <v>2</v>
      </c>
      <c r="O631" t="s">
        <v>55</v>
      </c>
      <c r="P631" t="s">
        <v>56</v>
      </c>
      <c r="Q631">
        <v>36</v>
      </c>
      <c r="R631">
        <v>1</v>
      </c>
      <c r="S631" t="s">
        <v>57</v>
      </c>
      <c r="T631" t="s">
        <v>58</v>
      </c>
      <c r="U631">
        <v>7</v>
      </c>
      <c r="V631">
        <v>7</v>
      </c>
      <c r="W631">
        <v>7</v>
      </c>
      <c r="X631">
        <v>6</v>
      </c>
      <c r="Y631">
        <v>2</v>
      </c>
      <c r="Z631">
        <v>4</v>
      </c>
      <c r="AA631">
        <v>2.625</v>
      </c>
      <c r="AB631">
        <v>10.5</v>
      </c>
      <c r="AC631" t="s">
        <v>540</v>
      </c>
      <c r="AD631" t="s">
        <v>112</v>
      </c>
      <c r="AE631">
        <v>0</v>
      </c>
      <c r="AF631">
        <v>0</v>
      </c>
      <c r="AG631">
        <v>0</v>
      </c>
      <c r="AH631">
        <v>2</v>
      </c>
      <c r="AI631">
        <v>0</v>
      </c>
      <c r="AJ631">
        <v>1</v>
      </c>
      <c r="AK631">
        <v>1</v>
      </c>
      <c r="AL631">
        <v>0</v>
      </c>
      <c r="AM631">
        <v>0</v>
      </c>
      <c r="AN631">
        <v>0</v>
      </c>
      <c r="AO631">
        <v>4</v>
      </c>
      <c r="AP631">
        <v>0</v>
      </c>
      <c r="AQ631">
        <v>100</v>
      </c>
      <c r="AR631" s="2">
        <v>45770.242650462962</v>
      </c>
      <c r="AS631" s="2">
        <v>46016.635879629626</v>
      </c>
      <c r="AT631" t="s">
        <v>61</v>
      </c>
      <c r="AU631" t="s">
        <v>1357</v>
      </c>
      <c r="AV631">
        <v>246</v>
      </c>
    </row>
    <row r="632" spans="1:48" x14ac:dyDescent="0.25">
      <c r="A632">
        <v>220</v>
      </c>
      <c r="B632" t="s">
        <v>2547</v>
      </c>
      <c r="C632" t="s">
        <v>399</v>
      </c>
      <c r="D632" t="s">
        <v>2548</v>
      </c>
      <c r="E632" t="s">
        <v>2549</v>
      </c>
      <c r="F632" t="s">
        <v>2550</v>
      </c>
      <c r="G632" t="s">
        <v>104</v>
      </c>
      <c r="H632" s="1">
        <v>38704</v>
      </c>
      <c r="I632">
        <v>21</v>
      </c>
      <c r="J632">
        <v>2005</v>
      </c>
      <c r="K632" s="1">
        <v>46034</v>
      </c>
      <c r="L632">
        <v>2026</v>
      </c>
      <c r="M632" t="s">
        <v>54</v>
      </c>
      <c r="N632">
        <v>20</v>
      </c>
      <c r="O632" t="s">
        <v>180</v>
      </c>
      <c r="P632" t="s">
        <v>56</v>
      </c>
      <c r="Q632">
        <v>36</v>
      </c>
      <c r="R632">
        <v>7</v>
      </c>
      <c r="S632" t="s">
        <v>163</v>
      </c>
      <c r="T632" t="s">
        <v>164</v>
      </c>
      <c r="U632">
        <v>7</v>
      </c>
      <c r="V632">
        <v>7</v>
      </c>
      <c r="W632">
        <v>7</v>
      </c>
      <c r="X632">
        <v>7</v>
      </c>
      <c r="Y632">
        <v>2</v>
      </c>
      <c r="Z632">
        <v>7</v>
      </c>
      <c r="AA632">
        <v>2.8571420000000001</v>
      </c>
      <c r="AB632">
        <v>20</v>
      </c>
      <c r="AC632" t="s">
        <v>540</v>
      </c>
      <c r="AD632" t="s">
        <v>60</v>
      </c>
      <c r="AE632">
        <v>1</v>
      </c>
      <c r="AF632">
        <v>0</v>
      </c>
      <c r="AG632">
        <v>1</v>
      </c>
      <c r="AH632">
        <v>1</v>
      </c>
      <c r="AI632">
        <v>0</v>
      </c>
      <c r="AJ632">
        <v>3</v>
      </c>
      <c r="AK632">
        <v>1</v>
      </c>
      <c r="AL632">
        <v>0</v>
      </c>
      <c r="AM632">
        <v>0</v>
      </c>
      <c r="AN632">
        <v>0</v>
      </c>
      <c r="AO632">
        <v>7</v>
      </c>
      <c r="AP632">
        <v>0</v>
      </c>
      <c r="AQ632">
        <v>100</v>
      </c>
      <c r="AR632" s="2">
        <v>45723.420162037037</v>
      </c>
      <c r="AS632" s="2">
        <v>46055.0237037037</v>
      </c>
      <c r="AT632" t="s">
        <v>61</v>
      </c>
      <c r="AU632" t="s">
        <v>62</v>
      </c>
      <c r="AV632">
        <v>332</v>
      </c>
    </row>
    <row r="633" spans="1:48" x14ac:dyDescent="0.25">
      <c r="A633">
        <v>657</v>
      </c>
      <c r="B633" t="s">
        <v>2551</v>
      </c>
      <c r="C633" t="s">
        <v>176</v>
      </c>
      <c r="D633" t="s">
        <v>962</v>
      </c>
      <c r="E633" t="s">
        <v>2552</v>
      </c>
      <c r="F633" t="s">
        <v>2553</v>
      </c>
      <c r="G633" t="s">
        <v>53</v>
      </c>
      <c r="H633" s="1">
        <v>36088</v>
      </c>
      <c r="I633">
        <v>28</v>
      </c>
      <c r="J633">
        <v>1998</v>
      </c>
      <c r="K633" s="1">
        <v>45515</v>
      </c>
      <c r="L633">
        <v>2024</v>
      </c>
      <c r="M633" t="s">
        <v>54</v>
      </c>
      <c r="N633">
        <v>8</v>
      </c>
      <c r="O633" t="s">
        <v>125</v>
      </c>
      <c r="P633" t="s">
        <v>56</v>
      </c>
      <c r="Q633">
        <v>36</v>
      </c>
      <c r="R633">
        <v>3</v>
      </c>
      <c r="S633" t="s">
        <v>126</v>
      </c>
      <c r="T633" t="s">
        <v>127</v>
      </c>
      <c r="U633">
        <v>7</v>
      </c>
      <c r="V633">
        <v>7</v>
      </c>
      <c r="W633">
        <v>7</v>
      </c>
      <c r="X633">
        <v>6</v>
      </c>
      <c r="Y633">
        <v>2</v>
      </c>
      <c r="Z633">
        <v>6</v>
      </c>
      <c r="AA633">
        <v>2.1666660000000002</v>
      </c>
      <c r="AB633">
        <v>13</v>
      </c>
      <c r="AC633" t="s">
        <v>70</v>
      </c>
      <c r="AD633" t="s">
        <v>60</v>
      </c>
      <c r="AE633">
        <v>2</v>
      </c>
      <c r="AF633">
        <v>0</v>
      </c>
      <c r="AG633">
        <v>0</v>
      </c>
      <c r="AH633">
        <v>0</v>
      </c>
      <c r="AI633">
        <v>0</v>
      </c>
      <c r="AJ633">
        <v>2</v>
      </c>
      <c r="AK633">
        <v>0</v>
      </c>
      <c r="AL633">
        <v>0</v>
      </c>
      <c r="AM633">
        <v>0</v>
      </c>
      <c r="AN633">
        <v>2</v>
      </c>
      <c r="AO633">
        <v>4</v>
      </c>
      <c r="AP633">
        <v>2</v>
      </c>
      <c r="AQ633">
        <v>66.666666666666003</v>
      </c>
      <c r="AR633" s="2">
        <v>45780.685219907406</v>
      </c>
      <c r="AS633" s="2">
        <v>46086.366666666669</v>
      </c>
      <c r="AT633" t="s">
        <v>1357</v>
      </c>
      <c r="AU633" t="s">
        <v>62</v>
      </c>
      <c r="AV633">
        <v>306</v>
      </c>
    </row>
    <row r="634" spans="1:48" x14ac:dyDescent="0.25">
      <c r="A634">
        <v>277</v>
      </c>
      <c r="B634" t="s">
        <v>2554</v>
      </c>
      <c r="C634" t="s">
        <v>1484</v>
      </c>
      <c r="D634" t="s">
        <v>562</v>
      </c>
      <c r="E634" t="s">
        <v>2555</v>
      </c>
      <c r="F634">
        <v>2805214427</v>
      </c>
      <c r="G634" t="s">
        <v>53</v>
      </c>
      <c r="H634" s="1">
        <v>35191</v>
      </c>
      <c r="I634">
        <v>30</v>
      </c>
      <c r="J634">
        <v>1996</v>
      </c>
      <c r="K634" s="1">
        <v>44646</v>
      </c>
      <c r="L634">
        <v>2022</v>
      </c>
      <c r="M634" t="s">
        <v>54</v>
      </c>
      <c r="N634">
        <v>8</v>
      </c>
      <c r="O634" t="s">
        <v>125</v>
      </c>
      <c r="P634" t="s">
        <v>56</v>
      </c>
      <c r="Q634">
        <v>36</v>
      </c>
      <c r="R634">
        <v>3</v>
      </c>
      <c r="S634" t="s">
        <v>126</v>
      </c>
      <c r="T634" t="s">
        <v>127</v>
      </c>
      <c r="U634">
        <v>7</v>
      </c>
      <c r="V634">
        <v>7</v>
      </c>
      <c r="W634">
        <v>7</v>
      </c>
      <c r="X634">
        <v>7</v>
      </c>
      <c r="Y634">
        <v>2</v>
      </c>
      <c r="Z634">
        <v>7</v>
      </c>
      <c r="AA634">
        <v>2.071428</v>
      </c>
      <c r="AB634">
        <v>14.5</v>
      </c>
      <c r="AC634" t="s">
        <v>70</v>
      </c>
      <c r="AD634" t="s">
        <v>281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4</v>
      </c>
      <c r="AK634">
        <v>0</v>
      </c>
      <c r="AL634">
        <v>0</v>
      </c>
      <c r="AM634">
        <v>1</v>
      </c>
      <c r="AN634">
        <v>1</v>
      </c>
      <c r="AO634">
        <v>6</v>
      </c>
      <c r="AP634">
        <v>1</v>
      </c>
      <c r="AQ634">
        <v>85.714285714284998</v>
      </c>
      <c r="AR634" s="2">
        <v>45846.999398148146</v>
      </c>
      <c r="AS634" s="2">
        <v>46074.321423611109</v>
      </c>
      <c r="AT634" t="s">
        <v>61</v>
      </c>
      <c r="AU634" t="s">
        <v>1357</v>
      </c>
      <c r="AV634">
        <v>228</v>
      </c>
    </row>
    <row r="635" spans="1:48" x14ac:dyDescent="0.25">
      <c r="A635">
        <v>390</v>
      </c>
      <c r="B635" t="s">
        <v>2556</v>
      </c>
      <c r="C635" t="s">
        <v>1692</v>
      </c>
      <c r="D635" t="s">
        <v>420</v>
      </c>
      <c r="E635" t="s">
        <v>2557</v>
      </c>
      <c r="F635" t="s">
        <v>2558</v>
      </c>
      <c r="G635" t="s">
        <v>104</v>
      </c>
      <c r="H635" s="1">
        <v>34918</v>
      </c>
      <c r="I635">
        <v>31</v>
      </c>
      <c r="J635">
        <v>1995</v>
      </c>
      <c r="K635" s="1">
        <v>45588</v>
      </c>
      <c r="L635">
        <v>2024</v>
      </c>
      <c r="M635" t="s">
        <v>54</v>
      </c>
      <c r="N635">
        <v>16</v>
      </c>
      <c r="O635" t="s">
        <v>280</v>
      </c>
      <c r="P635" t="s">
        <v>119</v>
      </c>
      <c r="Q635">
        <v>120</v>
      </c>
      <c r="R635">
        <v>6</v>
      </c>
      <c r="S635" t="s">
        <v>140</v>
      </c>
      <c r="T635" t="s">
        <v>141</v>
      </c>
      <c r="U635">
        <v>7</v>
      </c>
      <c r="V635">
        <v>7</v>
      </c>
      <c r="W635">
        <v>7</v>
      </c>
      <c r="X635">
        <v>6</v>
      </c>
      <c r="Y635">
        <v>2</v>
      </c>
      <c r="Z635">
        <v>6</v>
      </c>
      <c r="AA635">
        <v>1.5</v>
      </c>
      <c r="AB635">
        <v>9</v>
      </c>
      <c r="AC635" t="s">
        <v>70</v>
      </c>
      <c r="AD635" t="s">
        <v>281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1</v>
      </c>
      <c r="AK635">
        <v>1</v>
      </c>
      <c r="AL635">
        <v>0</v>
      </c>
      <c r="AM635">
        <v>1</v>
      </c>
      <c r="AN635">
        <v>2</v>
      </c>
      <c r="AO635">
        <v>4</v>
      </c>
      <c r="AP635">
        <v>2</v>
      </c>
      <c r="AQ635">
        <v>66.666666666666003</v>
      </c>
      <c r="AR635" s="2">
        <v>45755.773912037039</v>
      </c>
      <c r="AS635" s="2">
        <v>46039.082118055558</v>
      </c>
      <c r="AT635" t="s">
        <v>61</v>
      </c>
      <c r="AU635" t="s">
        <v>1357</v>
      </c>
      <c r="AV635">
        <v>284</v>
      </c>
    </row>
    <row r="636" spans="1:48" x14ac:dyDescent="0.25">
      <c r="A636">
        <v>433</v>
      </c>
      <c r="B636" t="s">
        <v>2559</v>
      </c>
      <c r="C636" t="s">
        <v>201</v>
      </c>
      <c r="D636" t="s">
        <v>1583</v>
      </c>
      <c r="E636" t="s">
        <v>2560</v>
      </c>
      <c r="F636" t="s">
        <v>2561</v>
      </c>
      <c r="G636" t="s">
        <v>53</v>
      </c>
      <c r="H636" s="1">
        <v>36253</v>
      </c>
      <c r="I636">
        <v>27</v>
      </c>
      <c r="J636">
        <v>1999</v>
      </c>
      <c r="K636" s="1">
        <v>45682</v>
      </c>
      <c r="L636">
        <v>2025</v>
      </c>
      <c r="M636" t="s">
        <v>111</v>
      </c>
      <c r="N636">
        <v>21</v>
      </c>
      <c r="O636" t="s">
        <v>339</v>
      </c>
      <c r="P636" t="s">
        <v>69</v>
      </c>
      <c r="Q636">
        <v>60</v>
      </c>
      <c r="R636">
        <v>7</v>
      </c>
      <c r="S636" t="s">
        <v>163</v>
      </c>
      <c r="T636" t="s">
        <v>164</v>
      </c>
      <c r="U636">
        <v>7</v>
      </c>
      <c r="V636">
        <v>7</v>
      </c>
      <c r="W636">
        <v>7</v>
      </c>
      <c r="X636">
        <v>6</v>
      </c>
      <c r="Y636">
        <v>2</v>
      </c>
      <c r="Z636">
        <v>6</v>
      </c>
      <c r="AA636">
        <v>3.0833330000000001</v>
      </c>
      <c r="AB636">
        <v>18.5</v>
      </c>
      <c r="AC636" t="s">
        <v>70</v>
      </c>
      <c r="AD636" t="s">
        <v>60</v>
      </c>
      <c r="AE636">
        <v>3</v>
      </c>
      <c r="AF636">
        <v>0</v>
      </c>
      <c r="AG636">
        <v>1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5</v>
      </c>
      <c r="AP636">
        <v>1</v>
      </c>
      <c r="AQ636">
        <v>83.333333333333002</v>
      </c>
      <c r="AR636" s="2">
        <v>45740.120219907411</v>
      </c>
      <c r="AS636" s="2">
        <v>46066.683391203704</v>
      </c>
      <c r="AT636" t="s">
        <v>61</v>
      </c>
      <c r="AU636" t="s">
        <v>1357</v>
      </c>
      <c r="AV636">
        <v>326</v>
      </c>
    </row>
    <row r="637" spans="1:48" x14ac:dyDescent="0.25">
      <c r="A637">
        <v>839</v>
      </c>
      <c r="B637" t="s">
        <v>2562</v>
      </c>
      <c r="C637" t="s">
        <v>300</v>
      </c>
      <c r="D637" t="s">
        <v>2563</v>
      </c>
      <c r="E637" t="s">
        <v>2564</v>
      </c>
      <c r="F637" t="s">
        <v>2565</v>
      </c>
      <c r="G637" t="s">
        <v>104</v>
      </c>
      <c r="H637" s="1">
        <v>37083</v>
      </c>
      <c r="I637">
        <v>25</v>
      </c>
      <c r="J637">
        <v>2001</v>
      </c>
      <c r="K637" s="1">
        <v>45311</v>
      </c>
      <c r="L637">
        <v>2024</v>
      </c>
      <c r="M637" t="s">
        <v>54</v>
      </c>
      <c r="N637">
        <v>10</v>
      </c>
      <c r="O637" t="s">
        <v>118</v>
      </c>
      <c r="P637" t="s">
        <v>119</v>
      </c>
      <c r="Q637">
        <v>120</v>
      </c>
      <c r="R637">
        <v>4</v>
      </c>
      <c r="S637" t="s">
        <v>77</v>
      </c>
      <c r="T637" t="s">
        <v>78</v>
      </c>
      <c r="U637">
        <v>6</v>
      </c>
      <c r="V637">
        <v>7</v>
      </c>
      <c r="W637">
        <v>7</v>
      </c>
      <c r="X637">
        <v>6</v>
      </c>
      <c r="Y637">
        <v>2</v>
      </c>
      <c r="Z637">
        <v>6</v>
      </c>
      <c r="AA637">
        <v>1.916666</v>
      </c>
      <c r="AB637">
        <v>11.5</v>
      </c>
      <c r="AC637" t="s">
        <v>70</v>
      </c>
      <c r="AD637" t="s">
        <v>112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1</v>
      </c>
      <c r="AK637">
        <v>3</v>
      </c>
      <c r="AL637">
        <v>0</v>
      </c>
      <c r="AM637">
        <v>0</v>
      </c>
      <c r="AN637">
        <v>1</v>
      </c>
      <c r="AO637">
        <v>5</v>
      </c>
      <c r="AP637">
        <v>1</v>
      </c>
      <c r="AQ637">
        <v>83.333333333333002</v>
      </c>
      <c r="AR637" s="2">
        <v>45735.154317129629</v>
      </c>
      <c r="AS637" s="2">
        <v>46072.630983796298</v>
      </c>
      <c r="AT637" t="s">
        <v>61</v>
      </c>
      <c r="AU637" t="s">
        <v>1357</v>
      </c>
      <c r="AV637">
        <v>337</v>
      </c>
    </row>
    <row r="638" spans="1:48" x14ac:dyDescent="0.25">
      <c r="A638">
        <v>837</v>
      </c>
      <c r="B638" t="s">
        <v>2566</v>
      </c>
      <c r="C638" t="s">
        <v>575</v>
      </c>
      <c r="D638" t="s">
        <v>843</v>
      </c>
      <c r="E638" t="s">
        <v>2567</v>
      </c>
      <c r="F638" t="s">
        <v>2568</v>
      </c>
      <c r="G638" t="s">
        <v>53</v>
      </c>
      <c r="H638" s="1">
        <v>38011</v>
      </c>
      <c r="I638">
        <v>22</v>
      </c>
      <c r="J638">
        <v>2004</v>
      </c>
      <c r="K638" s="1">
        <v>45251</v>
      </c>
      <c r="L638">
        <v>2023</v>
      </c>
      <c r="M638" t="s">
        <v>54</v>
      </c>
      <c r="N638">
        <v>11</v>
      </c>
      <c r="O638" t="s">
        <v>378</v>
      </c>
      <c r="P638" t="s">
        <v>56</v>
      </c>
      <c r="Q638">
        <v>36</v>
      </c>
      <c r="R638">
        <v>4</v>
      </c>
      <c r="S638" t="s">
        <v>77</v>
      </c>
      <c r="T638" t="s">
        <v>78</v>
      </c>
      <c r="U638">
        <v>7</v>
      </c>
      <c r="V638">
        <v>7</v>
      </c>
      <c r="W638">
        <v>7</v>
      </c>
      <c r="X638">
        <v>7</v>
      </c>
      <c r="Y638">
        <v>2</v>
      </c>
      <c r="Z638">
        <v>6</v>
      </c>
      <c r="AA638">
        <v>1.0833330000000001</v>
      </c>
      <c r="AB638">
        <v>6.5</v>
      </c>
      <c r="AC638" t="s">
        <v>70</v>
      </c>
      <c r="AD638" t="s">
        <v>281</v>
      </c>
      <c r="AE638">
        <v>0</v>
      </c>
      <c r="AF638">
        <v>0</v>
      </c>
      <c r="AG638">
        <v>1</v>
      </c>
      <c r="AH638">
        <v>0</v>
      </c>
      <c r="AI638">
        <v>0</v>
      </c>
      <c r="AJ638">
        <v>0</v>
      </c>
      <c r="AK638">
        <v>1</v>
      </c>
      <c r="AL638">
        <v>0</v>
      </c>
      <c r="AM638">
        <v>1</v>
      </c>
      <c r="AN638">
        <v>3</v>
      </c>
      <c r="AO638">
        <v>3</v>
      </c>
      <c r="AP638">
        <v>3</v>
      </c>
      <c r="AQ638">
        <v>50</v>
      </c>
      <c r="AR638" s="2">
        <v>45745.617638888885</v>
      </c>
      <c r="AS638" s="2">
        <v>46069.726203703707</v>
      </c>
      <c r="AT638" t="s">
        <v>61</v>
      </c>
      <c r="AU638" t="s">
        <v>1357</v>
      </c>
      <c r="AV638">
        <v>324</v>
      </c>
    </row>
    <row r="639" spans="1:48" x14ac:dyDescent="0.25">
      <c r="A639">
        <v>886</v>
      </c>
      <c r="B639" t="s">
        <v>2569</v>
      </c>
      <c r="C639" t="s">
        <v>741</v>
      </c>
      <c r="D639" t="s">
        <v>2570</v>
      </c>
      <c r="E639" t="s">
        <v>2571</v>
      </c>
      <c r="F639" t="s">
        <v>2572</v>
      </c>
      <c r="G639" t="s">
        <v>104</v>
      </c>
      <c r="H639" s="1">
        <v>35737</v>
      </c>
      <c r="I639">
        <v>29</v>
      </c>
      <c r="J639">
        <v>1997</v>
      </c>
      <c r="K639" s="1">
        <v>45608</v>
      </c>
      <c r="L639">
        <v>2024</v>
      </c>
      <c r="M639" t="s">
        <v>111</v>
      </c>
      <c r="N639">
        <v>13</v>
      </c>
      <c r="O639" t="s">
        <v>146</v>
      </c>
      <c r="P639" t="s">
        <v>119</v>
      </c>
      <c r="Q639">
        <v>120</v>
      </c>
      <c r="R639">
        <v>5</v>
      </c>
      <c r="S639" t="s">
        <v>92</v>
      </c>
      <c r="T639" t="s">
        <v>93</v>
      </c>
      <c r="U639">
        <v>7</v>
      </c>
      <c r="V639">
        <v>7</v>
      </c>
      <c r="W639">
        <v>7</v>
      </c>
      <c r="X639">
        <v>7</v>
      </c>
      <c r="Y639">
        <v>2</v>
      </c>
      <c r="Z639">
        <v>5</v>
      </c>
      <c r="AA639">
        <v>1.8</v>
      </c>
      <c r="AB639">
        <v>9</v>
      </c>
      <c r="AC639" t="s">
        <v>70</v>
      </c>
      <c r="AD639" t="s">
        <v>60</v>
      </c>
      <c r="AE639">
        <v>2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</v>
      </c>
      <c r="AN639">
        <v>2</v>
      </c>
      <c r="AO639">
        <v>3</v>
      </c>
      <c r="AP639">
        <v>2</v>
      </c>
      <c r="AQ639">
        <v>60</v>
      </c>
      <c r="AR639" s="2">
        <v>45730.913275462961</v>
      </c>
      <c r="AS639" s="2">
        <v>46008.005543981482</v>
      </c>
      <c r="AT639" t="s">
        <v>61</v>
      </c>
      <c r="AU639" t="s">
        <v>1357</v>
      </c>
      <c r="AV639">
        <v>278</v>
      </c>
    </row>
    <row r="640" spans="1:48" x14ac:dyDescent="0.25">
      <c r="A640">
        <v>209</v>
      </c>
      <c r="B640" t="s">
        <v>2573</v>
      </c>
      <c r="C640" t="s">
        <v>763</v>
      </c>
      <c r="D640" t="s">
        <v>1645</v>
      </c>
      <c r="E640" t="s">
        <v>2574</v>
      </c>
      <c r="F640" t="s">
        <v>2575</v>
      </c>
      <c r="G640" t="s">
        <v>104</v>
      </c>
      <c r="H640" s="1">
        <v>38425</v>
      </c>
      <c r="I640">
        <v>21</v>
      </c>
      <c r="J640">
        <v>2005</v>
      </c>
      <c r="K640" s="1">
        <v>45535</v>
      </c>
      <c r="L640">
        <v>2024</v>
      </c>
      <c r="M640" t="s">
        <v>225</v>
      </c>
      <c r="N640">
        <v>6</v>
      </c>
      <c r="O640" t="s">
        <v>133</v>
      </c>
      <c r="P640" t="s">
        <v>69</v>
      </c>
      <c r="Q640">
        <v>60</v>
      </c>
      <c r="R640">
        <v>2</v>
      </c>
      <c r="S640" t="s">
        <v>85</v>
      </c>
      <c r="T640" t="s">
        <v>86</v>
      </c>
      <c r="U640">
        <v>7</v>
      </c>
      <c r="V640">
        <v>7</v>
      </c>
      <c r="W640">
        <v>7</v>
      </c>
      <c r="X640">
        <v>5</v>
      </c>
      <c r="Y640">
        <v>2</v>
      </c>
      <c r="Z640">
        <v>7</v>
      </c>
      <c r="AA640">
        <v>1.928571</v>
      </c>
      <c r="AB640">
        <v>13.5</v>
      </c>
      <c r="AC640" t="s">
        <v>70</v>
      </c>
      <c r="AD640" t="s">
        <v>60</v>
      </c>
      <c r="AE640">
        <v>1</v>
      </c>
      <c r="AF640">
        <v>0</v>
      </c>
      <c r="AG640">
        <v>0</v>
      </c>
      <c r="AH640">
        <v>1</v>
      </c>
      <c r="AI640">
        <v>0</v>
      </c>
      <c r="AJ640">
        <v>1</v>
      </c>
      <c r="AK640">
        <v>1</v>
      </c>
      <c r="AL640">
        <v>0</v>
      </c>
      <c r="AM640">
        <v>2</v>
      </c>
      <c r="AN640">
        <v>1</v>
      </c>
      <c r="AO640">
        <v>6</v>
      </c>
      <c r="AP640">
        <v>1</v>
      </c>
      <c r="AQ640">
        <v>85.714285714284998</v>
      </c>
      <c r="AR640" s="2">
        <v>45744.892928240741</v>
      </c>
      <c r="AS640" s="2">
        <v>45999.06622685185</v>
      </c>
      <c r="AT640" t="s">
        <v>61</v>
      </c>
      <c r="AU640" t="s">
        <v>62</v>
      </c>
      <c r="AV640">
        <v>255</v>
      </c>
    </row>
    <row r="641" spans="1:48" x14ac:dyDescent="0.25">
      <c r="A641">
        <v>788</v>
      </c>
      <c r="B641" t="s">
        <v>2576</v>
      </c>
      <c r="C641" t="s">
        <v>1431</v>
      </c>
      <c r="D641" t="s">
        <v>1817</v>
      </c>
      <c r="E641" t="s">
        <v>2577</v>
      </c>
      <c r="F641" t="s">
        <v>2578</v>
      </c>
      <c r="G641" t="s">
        <v>53</v>
      </c>
      <c r="H641" s="1">
        <v>38742</v>
      </c>
      <c r="I641">
        <v>20</v>
      </c>
      <c r="J641">
        <v>2006</v>
      </c>
      <c r="K641" s="1">
        <v>45230</v>
      </c>
      <c r="L641">
        <v>2023</v>
      </c>
      <c r="M641" t="s">
        <v>54</v>
      </c>
      <c r="N641">
        <v>7</v>
      </c>
      <c r="O641" t="s">
        <v>231</v>
      </c>
      <c r="P641" t="s">
        <v>119</v>
      </c>
      <c r="Q641">
        <v>120</v>
      </c>
      <c r="R641">
        <v>3</v>
      </c>
      <c r="S641" t="s">
        <v>126</v>
      </c>
      <c r="T641" t="s">
        <v>127</v>
      </c>
      <c r="U641">
        <v>6</v>
      </c>
      <c r="V641">
        <v>7</v>
      </c>
      <c r="W641">
        <v>7</v>
      </c>
      <c r="X641">
        <v>7</v>
      </c>
      <c r="Y641">
        <v>2</v>
      </c>
      <c r="Z641">
        <v>6</v>
      </c>
      <c r="AA641">
        <v>2.75</v>
      </c>
      <c r="AB641">
        <v>16.5</v>
      </c>
      <c r="AC641" t="s">
        <v>59</v>
      </c>
      <c r="AD641" t="s">
        <v>60</v>
      </c>
      <c r="AE641">
        <v>1</v>
      </c>
      <c r="AF641">
        <v>0</v>
      </c>
      <c r="AG641">
        <v>2</v>
      </c>
      <c r="AH641">
        <v>0</v>
      </c>
      <c r="AI641">
        <v>0</v>
      </c>
      <c r="AJ641">
        <v>1</v>
      </c>
      <c r="AK641">
        <v>1</v>
      </c>
      <c r="AL641">
        <v>0</v>
      </c>
      <c r="AM641">
        <v>1</v>
      </c>
      <c r="AN641">
        <v>0</v>
      </c>
      <c r="AO641">
        <v>6</v>
      </c>
      <c r="AP641">
        <v>0</v>
      </c>
      <c r="AQ641">
        <v>100</v>
      </c>
      <c r="AR641" s="2">
        <v>45777.580740740741</v>
      </c>
      <c r="AS641" s="2">
        <v>46047.079594907409</v>
      </c>
      <c r="AT641" t="s">
        <v>1357</v>
      </c>
      <c r="AU641" t="s">
        <v>62</v>
      </c>
      <c r="AV641">
        <v>270</v>
      </c>
    </row>
    <row r="642" spans="1:48" x14ac:dyDescent="0.25">
      <c r="A642">
        <v>815</v>
      </c>
      <c r="B642" t="s">
        <v>2579</v>
      </c>
      <c r="C642" t="s">
        <v>271</v>
      </c>
      <c r="D642" t="s">
        <v>177</v>
      </c>
      <c r="E642" t="s">
        <v>2580</v>
      </c>
      <c r="F642" t="s">
        <v>2581</v>
      </c>
      <c r="G642" t="s">
        <v>53</v>
      </c>
      <c r="H642" s="1">
        <v>39285</v>
      </c>
      <c r="I642">
        <v>19</v>
      </c>
      <c r="J642">
        <v>2007</v>
      </c>
      <c r="K642" s="1">
        <v>45302</v>
      </c>
      <c r="L642">
        <v>2024</v>
      </c>
      <c r="M642" t="s">
        <v>54</v>
      </c>
      <c r="N642">
        <v>12</v>
      </c>
      <c r="O642" t="s">
        <v>76</v>
      </c>
      <c r="P642" t="s">
        <v>69</v>
      </c>
      <c r="Q642">
        <v>60</v>
      </c>
      <c r="R642">
        <v>4</v>
      </c>
      <c r="S642" t="s">
        <v>77</v>
      </c>
      <c r="T642" t="s">
        <v>78</v>
      </c>
      <c r="U642">
        <v>7</v>
      </c>
      <c r="V642">
        <v>7</v>
      </c>
      <c r="W642">
        <v>7</v>
      </c>
      <c r="X642">
        <v>6</v>
      </c>
      <c r="Y642">
        <v>2</v>
      </c>
      <c r="Z642">
        <v>6</v>
      </c>
      <c r="AA642">
        <v>1.916666</v>
      </c>
      <c r="AB642">
        <v>11.5</v>
      </c>
      <c r="AC642" t="s">
        <v>70</v>
      </c>
      <c r="AD642" t="s">
        <v>281</v>
      </c>
      <c r="AE642">
        <v>0</v>
      </c>
      <c r="AF642">
        <v>0</v>
      </c>
      <c r="AG642">
        <v>1</v>
      </c>
      <c r="AH642">
        <v>0</v>
      </c>
      <c r="AI642">
        <v>0</v>
      </c>
      <c r="AJ642">
        <v>2</v>
      </c>
      <c r="AK642">
        <v>1</v>
      </c>
      <c r="AL642">
        <v>0</v>
      </c>
      <c r="AM642">
        <v>1</v>
      </c>
      <c r="AN642">
        <v>1</v>
      </c>
      <c r="AO642">
        <v>5</v>
      </c>
      <c r="AP642">
        <v>1</v>
      </c>
      <c r="AQ642">
        <v>83.333333333333002</v>
      </c>
      <c r="AR642" s="2">
        <v>45877.841689814813</v>
      </c>
      <c r="AS642" s="2">
        <v>46040.193726851852</v>
      </c>
      <c r="AT642" t="s">
        <v>61</v>
      </c>
      <c r="AU642" t="s">
        <v>1357</v>
      </c>
      <c r="AV642">
        <v>163</v>
      </c>
    </row>
    <row r="643" spans="1:48" x14ac:dyDescent="0.25">
      <c r="A643">
        <v>514</v>
      </c>
      <c r="B643" t="s">
        <v>2582</v>
      </c>
      <c r="C643" t="s">
        <v>385</v>
      </c>
      <c r="D643" t="s">
        <v>1645</v>
      </c>
      <c r="E643" t="s">
        <v>2583</v>
      </c>
      <c r="F643" t="s">
        <v>2584</v>
      </c>
      <c r="G643" t="s">
        <v>53</v>
      </c>
      <c r="H643" s="1">
        <v>35963</v>
      </c>
      <c r="I643">
        <v>28</v>
      </c>
      <c r="J643">
        <v>1998</v>
      </c>
      <c r="K643" s="1">
        <v>45066</v>
      </c>
      <c r="L643">
        <v>2023</v>
      </c>
      <c r="M643" t="s">
        <v>54</v>
      </c>
      <c r="N643">
        <v>17</v>
      </c>
      <c r="O643" t="s">
        <v>350</v>
      </c>
      <c r="P643" t="s">
        <v>56</v>
      </c>
      <c r="Q643">
        <v>36</v>
      </c>
      <c r="R643">
        <v>6</v>
      </c>
      <c r="S643" t="s">
        <v>140</v>
      </c>
      <c r="T643" t="s">
        <v>141</v>
      </c>
      <c r="U643">
        <v>7</v>
      </c>
      <c r="V643">
        <v>7</v>
      </c>
      <c r="W643">
        <v>7</v>
      </c>
      <c r="X643">
        <v>7</v>
      </c>
      <c r="Y643">
        <v>2</v>
      </c>
      <c r="Z643">
        <v>5</v>
      </c>
      <c r="AA643">
        <v>1.3</v>
      </c>
      <c r="AB643">
        <v>6.5</v>
      </c>
      <c r="AC643" t="s">
        <v>70</v>
      </c>
      <c r="AD643" t="s">
        <v>1061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1</v>
      </c>
      <c r="AK643">
        <v>2</v>
      </c>
      <c r="AL643">
        <v>0</v>
      </c>
      <c r="AM643">
        <v>0</v>
      </c>
      <c r="AN643">
        <v>2</v>
      </c>
      <c r="AO643">
        <v>3</v>
      </c>
      <c r="AP643">
        <v>2</v>
      </c>
      <c r="AQ643">
        <v>60</v>
      </c>
      <c r="AR643" s="2">
        <v>45767.467743055553</v>
      </c>
      <c r="AS643" s="2">
        <v>46064.767129629632</v>
      </c>
      <c r="AT643" t="s">
        <v>61</v>
      </c>
      <c r="AU643" t="s">
        <v>1357</v>
      </c>
      <c r="AV643">
        <v>297</v>
      </c>
    </row>
    <row r="644" spans="1:48" x14ac:dyDescent="0.25">
      <c r="A644">
        <v>466</v>
      </c>
      <c r="B644" t="s">
        <v>2585</v>
      </c>
      <c r="C644" t="s">
        <v>148</v>
      </c>
      <c r="D644" t="s">
        <v>2439</v>
      </c>
      <c r="E644" t="s">
        <v>2586</v>
      </c>
      <c r="F644" t="s">
        <v>2587</v>
      </c>
      <c r="G644" t="s">
        <v>53</v>
      </c>
      <c r="H644" s="1">
        <v>35604</v>
      </c>
      <c r="I644">
        <v>29</v>
      </c>
      <c r="J644">
        <v>1997</v>
      </c>
      <c r="K644" s="1">
        <v>45746</v>
      </c>
      <c r="L644">
        <v>2025</v>
      </c>
      <c r="M644" t="s">
        <v>54</v>
      </c>
      <c r="N644">
        <v>5</v>
      </c>
      <c r="O644" t="s">
        <v>84</v>
      </c>
      <c r="P644" t="s">
        <v>56</v>
      </c>
      <c r="Q644">
        <v>36</v>
      </c>
      <c r="R644">
        <v>2</v>
      </c>
      <c r="S644" t="s">
        <v>85</v>
      </c>
      <c r="T644" t="s">
        <v>86</v>
      </c>
      <c r="U644">
        <v>7</v>
      </c>
      <c r="V644">
        <v>7</v>
      </c>
      <c r="W644">
        <v>7</v>
      </c>
      <c r="X644">
        <v>6</v>
      </c>
      <c r="Y644">
        <v>2</v>
      </c>
      <c r="Z644">
        <v>7</v>
      </c>
      <c r="AA644">
        <v>2.285714</v>
      </c>
      <c r="AB644">
        <v>16</v>
      </c>
      <c r="AC644" t="s">
        <v>70</v>
      </c>
      <c r="AD644" t="s">
        <v>60</v>
      </c>
      <c r="AE644">
        <v>2</v>
      </c>
      <c r="AF644">
        <v>0</v>
      </c>
      <c r="AG644">
        <v>1</v>
      </c>
      <c r="AH644">
        <v>0</v>
      </c>
      <c r="AI644">
        <v>0</v>
      </c>
      <c r="AJ644">
        <v>1</v>
      </c>
      <c r="AK644">
        <v>1</v>
      </c>
      <c r="AL644">
        <v>0</v>
      </c>
      <c r="AM644">
        <v>0</v>
      </c>
      <c r="AN644">
        <v>2</v>
      </c>
      <c r="AO644">
        <v>5</v>
      </c>
      <c r="AP644">
        <v>2</v>
      </c>
      <c r="AQ644">
        <v>71.428571428571004</v>
      </c>
      <c r="AR644" s="2">
        <v>45786.182071759256</v>
      </c>
      <c r="AS644" s="2">
        <v>46080.385636574072</v>
      </c>
      <c r="AT644" t="s">
        <v>61</v>
      </c>
      <c r="AU644" t="s">
        <v>62</v>
      </c>
      <c r="AV644">
        <v>294</v>
      </c>
    </row>
    <row r="645" spans="1:48" x14ac:dyDescent="0.25">
      <c r="A645">
        <v>891</v>
      </c>
      <c r="B645" t="s">
        <v>2588</v>
      </c>
      <c r="C645" t="s">
        <v>1458</v>
      </c>
      <c r="D645" t="s">
        <v>1081</v>
      </c>
      <c r="E645" t="s">
        <v>2589</v>
      </c>
      <c r="F645" t="s">
        <v>2590</v>
      </c>
      <c r="G645" t="s">
        <v>104</v>
      </c>
      <c r="H645" s="1">
        <v>35554</v>
      </c>
      <c r="I645">
        <v>29</v>
      </c>
      <c r="J645">
        <v>1997</v>
      </c>
      <c r="K645" s="1">
        <v>44722</v>
      </c>
      <c r="L645">
        <v>2022</v>
      </c>
      <c r="M645" t="s">
        <v>54</v>
      </c>
      <c r="N645">
        <v>21</v>
      </c>
      <c r="O645" t="s">
        <v>339</v>
      </c>
      <c r="P645" t="s">
        <v>69</v>
      </c>
      <c r="Q645">
        <v>60</v>
      </c>
      <c r="R645">
        <v>7</v>
      </c>
      <c r="S645" t="s">
        <v>163</v>
      </c>
      <c r="T645" t="s">
        <v>164</v>
      </c>
      <c r="U645">
        <v>7</v>
      </c>
      <c r="V645">
        <v>7</v>
      </c>
      <c r="W645">
        <v>7</v>
      </c>
      <c r="X645">
        <v>7</v>
      </c>
      <c r="Y645">
        <v>2</v>
      </c>
      <c r="Z645">
        <v>5</v>
      </c>
      <c r="AA645">
        <v>2.9</v>
      </c>
      <c r="AB645">
        <v>14.5</v>
      </c>
      <c r="AC645" t="s">
        <v>59</v>
      </c>
      <c r="AD645" t="s">
        <v>112</v>
      </c>
      <c r="AE645">
        <v>0</v>
      </c>
      <c r="AF645">
        <v>0</v>
      </c>
      <c r="AG645">
        <v>3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0</v>
      </c>
      <c r="AO645">
        <v>5</v>
      </c>
      <c r="AP645">
        <v>0</v>
      </c>
      <c r="AQ645">
        <v>100</v>
      </c>
      <c r="AR645" s="2">
        <v>45764.402291666665</v>
      </c>
      <c r="AS645" s="2">
        <v>46079.015474537038</v>
      </c>
      <c r="AT645" t="s">
        <v>1357</v>
      </c>
      <c r="AU645" t="s">
        <v>62</v>
      </c>
      <c r="AV645">
        <v>315</v>
      </c>
    </row>
    <row r="646" spans="1:48" x14ac:dyDescent="0.25">
      <c r="A646">
        <v>7</v>
      </c>
      <c r="B646" t="s">
        <v>2591</v>
      </c>
      <c r="C646" t="s">
        <v>2592</v>
      </c>
      <c r="D646" t="s">
        <v>1251</v>
      </c>
      <c r="E646" t="s">
        <v>2593</v>
      </c>
      <c r="F646" t="s">
        <v>2594</v>
      </c>
      <c r="G646" t="s">
        <v>104</v>
      </c>
      <c r="H646" s="1">
        <v>37635</v>
      </c>
      <c r="I646">
        <v>23</v>
      </c>
      <c r="J646">
        <v>2003</v>
      </c>
      <c r="K646" s="1">
        <v>45673</v>
      </c>
      <c r="L646">
        <v>2025</v>
      </c>
      <c r="M646" t="s">
        <v>54</v>
      </c>
      <c r="N646">
        <v>16</v>
      </c>
      <c r="O646" t="s">
        <v>280</v>
      </c>
      <c r="P646" t="s">
        <v>119</v>
      </c>
      <c r="Q646">
        <v>120</v>
      </c>
      <c r="R646">
        <v>6</v>
      </c>
      <c r="S646" t="s">
        <v>140</v>
      </c>
      <c r="T646" t="s">
        <v>141</v>
      </c>
      <c r="U646">
        <v>6</v>
      </c>
      <c r="V646">
        <v>7</v>
      </c>
      <c r="W646">
        <v>7</v>
      </c>
      <c r="X646">
        <v>7</v>
      </c>
      <c r="Y646">
        <v>2</v>
      </c>
      <c r="Z646">
        <v>6</v>
      </c>
      <c r="AA646">
        <v>1.3333330000000001</v>
      </c>
      <c r="AB646">
        <v>8</v>
      </c>
      <c r="AC646" t="s">
        <v>70</v>
      </c>
      <c r="AD646" t="s">
        <v>1061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4</v>
      </c>
      <c r="AL646">
        <v>0</v>
      </c>
      <c r="AM646">
        <v>0</v>
      </c>
      <c r="AN646">
        <v>2</v>
      </c>
      <c r="AO646">
        <v>4</v>
      </c>
      <c r="AP646">
        <v>2</v>
      </c>
      <c r="AQ646">
        <v>66.666666666666003</v>
      </c>
      <c r="AR646" s="2">
        <v>45735.362476851849</v>
      </c>
      <c r="AS646" s="2">
        <v>45997.331365740742</v>
      </c>
      <c r="AT646" t="s">
        <v>1357</v>
      </c>
      <c r="AU646" t="s">
        <v>62</v>
      </c>
      <c r="AV646">
        <v>262</v>
      </c>
    </row>
    <row r="647" spans="1:48" x14ac:dyDescent="0.25">
      <c r="A647">
        <v>477</v>
      </c>
      <c r="B647" t="s">
        <v>2595</v>
      </c>
      <c r="C647" t="s">
        <v>567</v>
      </c>
      <c r="D647" t="s">
        <v>2596</v>
      </c>
      <c r="E647" t="s">
        <v>2597</v>
      </c>
      <c r="F647">
        <v>8897203880</v>
      </c>
      <c r="G647" t="s">
        <v>104</v>
      </c>
      <c r="H647" s="1">
        <v>35690</v>
      </c>
      <c r="I647">
        <v>29</v>
      </c>
      <c r="J647">
        <v>1997</v>
      </c>
      <c r="K647" s="1">
        <v>44917</v>
      </c>
      <c r="L647">
        <v>2022</v>
      </c>
      <c r="M647" t="s">
        <v>54</v>
      </c>
      <c r="N647">
        <v>9</v>
      </c>
      <c r="O647" t="s">
        <v>151</v>
      </c>
      <c r="P647" t="s">
        <v>69</v>
      </c>
      <c r="Q647">
        <v>60</v>
      </c>
      <c r="R647">
        <v>3</v>
      </c>
      <c r="S647" t="s">
        <v>126</v>
      </c>
      <c r="T647" t="s">
        <v>127</v>
      </c>
      <c r="U647">
        <v>7</v>
      </c>
      <c r="V647">
        <v>7</v>
      </c>
      <c r="W647">
        <v>7</v>
      </c>
      <c r="X647">
        <v>7</v>
      </c>
      <c r="Y647">
        <v>2</v>
      </c>
      <c r="Z647">
        <v>4</v>
      </c>
      <c r="AA647">
        <v>1.5</v>
      </c>
      <c r="AB647">
        <v>6</v>
      </c>
      <c r="AC647" t="s">
        <v>59</v>
      </c>
      <c r="AD647" t="s">
        <v>1061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2</v>
      </c>
      <c r="AL647">
        <v>0</v>
      </c>
      <c r="AM647">
        <v>2</v>
      </c>
      <c r="AN647">
        <v>0</v>
      </c>
      <c r="AO647">
        <v>4</v>
      </c>
      <c r="AP647">
        <v>0</v>
      </c>
      <c r="AQ647">
        <v>100</v>
      </c>
      <c r="AR647" s="2">
        <v>45726.991527777776</v>
      </c>
      <c r="AS647" s="2">
        <v>46050.957476851851</v>
      </c>
      <c r="AT647" t="s">
        <v>1357</v>
      </c>
      <c r="AU647" t="s">
        <v>62</v>
      </c>
      <c r="AV647">
        <v>324</v>
      </c>
    </row>
    <row r="648" spans="1:48" x14ac:dyDescent="0.25">
      <c r="A648">
        <v>946</v>
      </c>
      <c r="B648" t="s">
        <v>2598</v>
      </c>
      <c r="C648" t="s">
        <v>355</v>
      </c>
      <c r="D648" t="s">
        <v>1488</v>
      </c>
      <c r="E648" t="s">
        <v>2599</v>
      </c>
      <c r="F648" t="s">
        <v>2600</v>
      </c>
      <c r="G648" t="s">
        <v>104</v>
      </c>
      <c r="H648" s="1">
        <v>34764</v>
      </c>
      <c r="I648">
        <v>31</v>
      </c>
      <c r="J648">
        <v>1995</v>
      </c>
      <c r="K648" s="1">
        <v>45642</v>
      </c>
      <c r="L648">
        <v>2024</v>
      </c>
      <c r="M648" t="s">
        <v>54</v>
      </c>
      <c r="N648">
        <v>6</v>
      </c>
      <c r="O648" t="s">
        <v>133</v>
      </c>
      <c r="P648" t="s">
        <v>69</v>
      </c>
      <c r="Q648">
        <v>60</v>
      </c>
      <c r="R648">
        <v>2</v>
      </c>
      <c r="S648" t="s">
        <v>85</v>
      </c>
      <c r="T648" t="s">
        <v>86</v>
      </c>
      <c r="U648">
        <v>6</v>
      </c>
      <c r="V648">
        <v>6</v>
      </c>
      <c r="W648">
        <v>6</v>
      </c>
      <c r="X648">
        <v>4</v>
      </c>
      <c r="Y648">
        <v>2</v>
      </c>
      <c r="Z648">
        <v>6</v>
      </c>
      <c r="AA648">
        <v>2.25</v>
      </c>
      <c r="AB648">
        <v>13.5</v>
      </c>
      <c r="AC648" t="s">
        <v>70</v>
      </c>
      <c r="AD648" t="s">
        <v>60</v>
      </c>
      <c r="AE648">
        <v>2</v>
      </c>
      <c r="AF648">
        <v>0</v>
      </c>
      <c r="AG648">
        <v>1</v>
      </c>
      <c r="AH648">
        <v>0</v>
      </c>
      <c r="AI648">
        <v>0</v>
      </c>
      <c r="AJ648">
        <v>0</v>
      </c>
      <c r="AK648">
        <v>1</v>
      </c>
      <c r="AL648">
        <v>0</v>
      </c>
      <c r="AM648">
        <v>0</v>
      </c>
      <c r="AN648">
        <v>2</v>
      </c>
      <c r="AO648">
        <v>4</v>
      </c>
      <c r="AP648">
        <v>2</v>
      </c>
      <c r="AQ648">
        <v>66.666666666666003</v>
      </c>
      <c r="AR648" s="2">
        <v>45723.109282407408</v>
      </c>
      <c r="AS648" s="2">
        <v>45984.394259259258</v>
      </c>
      <c r="AT648" t="s">
        <v>61</v>
      </c>
      <c r="AU648" t="s">
        <v>62</v>
      </c>
      <c r="AV648">
        <v>261</v>
      </c>
    </row>
    <row r="649" spans="1:48" x14ac:dyDescent="0.25">
      <c r="A649">
        <v>417</v>
      </c>
      <c r="B649" t="s">
        <v>2601</v>
      </c>
      <c r="C649" t="s">
        <v>575</v>
      </c>
      <c r="D649" t="s">
        <v>2602</v>
      </c>
      <c r="E649" t="s">
        <v>2603</v>
      </c>
      <c r="F649" t="s">
        <v>2604</v>
      </c>
      <c r="G649" t="s">
        <v>53</v>
      </c>
      <c r="H649" s="1">
        <v>39265</v>
      </c>
      <c r="I649">
        <v>19</v>
      </c>
      <c r="J649">
        <v>2007</v>
      </c>
      <c r="K649" s="1">
        <v>45973</v>
      </c>
      <c r="L649">
        <v>2025</v>
      </c>
      <c r="M649" t="s">
        <v>54</v>
      </c>
      <c r="N649">
        <v>4</v>
      </c>
      <c r="O649" t="s">
        <v>215</v>
      </c>
      <c r="P649" t="s">
        <v>119</v>
      </c>
      <c r="Q649">
        <v>120</v>
      </c>
      <c r="R649">
        <v>2</v>
      </c>
      <c r="S649" t="s">
        <v>85</v>
      </c>
      <c r="T649" t="s">
        <v>86</v>
      </c>
      <c r="U649">
        <v>6</v>
      </c>
      <c r="V649">
        <v>6</v>
      </c>
      <c r="W649">
        <v>6</v>
      </c>
      <c r="X649">
        <v>6</v>
      </c>
      <c r="Y649">
        <v>2</v>
      </c>
      <c r="Z649">
        <v>6</v>
      </c>
      <c r="AA649">
        <v>1.8333330000000001</v>
      </c>
      <c r="AB649">
        <v>11</v>
      </c>
      <c r="AC649" t="s">
        <v>70</v>
      </c>
      <c r="AD649" t="s">
        <v>281</v>
      </c>
      <c r="AE649">
        <v>0</v>
      </c>
      <c r="AF649">
        <v>0</v>
      </c>
      <c r="AG649">
        <v>2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2</v>
      </c>
      <c r="AN649">
        <v>1</v>
      </c>
      <c r="AO649">
        <v>5</v>
      </c>
      <c r="AP649">
        <v>1</v>
      </c>
      <c r="AQ649">
        <v>83.333333333333002</v>
      </c>
      <c r="AR649" s="2">
        <v>45762.324201388888</v>
      </c>
      <c r="AS649" s="2">
        <v>46009.714305555557</v>
      </c>
      <c r="AT649" t="s">
        <v>61</v>
      </c>
      <c r="AU649" t="s">
        <v>1357</v>
      </c>
      <c r="AV649">
        <v>247</v>
      </c>
    </row>
    <row r="650" spans="1:48" x14ac:dyDescent="0.25">
      <c r="A650">
        <v>472</v>
      </c>
      <c r="B650" t="s">
        <v>2605</v>
      </c>
      <c r="C650" t="s">
        <v>1480</v>
      </c>
      <c r="D650" t="s">
        <v>2606</v>
      </c>
      <c r="E650" t="s">
        <v>2607</v>
      </c>
      <c r="F650" t="s">
        <v>2608</v>
      </c>
      <c r="G650" t="s">
        <v>104</v>
      </c>
      <c r="H650" s="1">
        <v>37732</v>
      </c>
      <c r="I650">
        <v>23</v>
      </c>
      <c r="J650">
        <v>2003</v>
      </c>
      <c r="K650" s="1">
        <v>45470</v>
      </c>
      <c r="L650">
        <v>2024</v>
      </c>
      <c r="M650" t="s">
        <v>54</v>
      </c>
      <c r="N650">
        <v>6</v>
      </c>
      <c r="O650" t="s">
        <v>133</v>
      </c>
      <c r="P650" t="s">
        <v>69</v>
      </c>
      <c r="Q650">
        <v>60</v>
      </c>
      <c r="R650">
        <v>2</v>
      </c>
      <c r="S650" t="s">
        <v>85</v>
      </c>
      <c r="T650" t="s">
        <v>86</v>
      </c>
      <c r="U650">
        <v>6</v>
      </c>
      <c r="V650">
        <v>6</v>
      </c>
      <c r="W650">
        <v>6</v>
      </c>
      <c r="X650">
        <v>6</v>
      </c>
      <c r="Y650">
        <v>2</v>
      </c>
      <c r="Z650">
        <v>4</v>
      </c>
      <c r="AA650">
        <v>1.625</v>
      </c>
      <c r="AB650">
        <v>6.5</v>
      </c>
      <c r="AC650" t="s">
        <v>70</v>
      </c>
      <c r="AD650" t="s">
        <v>1061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</v>
      </c>
      <c r="AK650">
        <v>2</v>
      </c>
      <c r="AL650">
        <v>0</v>
      </c>
      <c r="AM650">
        <v>0</v>
      </c>
      <c r="AN650">
        <v>1</v>
      </c>
      <c r="AO650">
        <v>3</v>
      </c>
      <c r="AP650">
        <v>1</v>
      </c>
      <c r="AQ650">
        <v>75</v>
      </c>
      <c r="AR650" s="2">
        <v>45730.863113425927</v>
      </c>
      <c r="AS650" s="2">
        <v>46074.079143518517</v>
      </c>
      <c r="AT650" t="s">
        <v>1357</v>
      </c>
      <c r="AU650" t="s">
        <v>62</v>
      </c>
      <c r="AV650">
        <v>344</v>
      </c>
    </row>
    <row r="651" spans="1:48" x14ac:dyDescent="0.25">
      <c r="A651">
        <v>489</v>
      </c>
      <c r="B651" t="s">
        <v>2609</v>
      </c>
      <c r="C651" t="s">
        <v>700</v>
      </c>
      <c r="D651" t="s">
        <v>2610</v>
      </c>
      <c r="E651" t="s">
        <v>2611</v>
      </c>
      <c r="F651" t="s">
        <v>2612</v>
      </c>
      <c r="G651" t="s">
        <v>53</v>
      </c>
      <c r="H651" s="1">
        <v>38523</v>
      </c>
      <c r="I651">
        <v>21</v>
      </c>
      <c r="J651">
        <v>2005</v>
      </c>
      <c r="K651" s="1">
        <v>45082</v>
      </c>
      <c r="L651">
        <v>2023</v>
      </c>
      <c r="M651" t="s">
        <v>111</v>
      </c>
      <c r="N651">
        <v>18</v>
      </c>
      <c r="O651" t="s">
        <v>139</v>
      </c>
      <c r="P651" t="s">
        <v>69</v>
      </c>
      <c r="Q651">
        <v>60</v>
      </c>
      <c r="R651">
        <v>6</v>
      </c>
      <c r="S651" t="s">
        <v>140</v>
      </c>
      <c r="T651" t="s">
        <v>141</v>
      </c>
      <c r="U651">
        <v>6</v>
      </c>
      <c r="V651">
        <v>6</v>
      </c>
      <c r="W651">
        <v>6</v>
      </c>
      <c r="X651">
        <v>6</v>
      </c>
      <c r="Y651">
        <v>2</v>
      </c>
      <c r="Z651">
        <v>6</v>
      </c>
      <c r="AA651">
        <v>2.1666660000000002</v>
      </c>
      <c r="AB651">
        <v>13</v>
      </c>
      <c r="AC651" t="s">
        <v>59</v>
      </c>
      <c r="AD651" t="s">
        <v>281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1</v>
      </c>
      <c r="AK651">
        <v>3</v>
      </c>
      <c r="AL651">
        <v>0</v>
      </c>
      <c r="AM651">
        <v>1</v>
      </c>
      <c r="AN651">
        <v>0</v>
      </c>
      <c r="AO651">
        <v>6</v>
      </c>
      <c r="AP651">
        <v>0</v>
      </c>
      <c r="AQ651">
        <v>100</v>
      </c>
      <c r="AR651" s="2">
        <v>45728.005787037036</v>
      </c>
      <c r="AS651" s="2">
        <v>45910.926539351851</v>
      </c>
      <c r="AT651" t="s">
        <v>61</v>
      </c>
      <c r="AU651" t="s">
        <v>62</v>
      </c>
      <c r="AV651">
        <v>182</v>
      </c>
    </row>
    <row r="652" spans="1:48" x14ac:dyDescent="0.25">
      <c r="A652">
        <v>892</v>
      </c>
      <c r="B652" t="s">
        <v>2613</v>
      </c>
      <c r="C652" t="s">
        <v>1349</v>
      </c>
      <c r="D652" t="s">
        <v>2614</v>
      </c>
      <c r="E652" t="s">
        <v>2615</v>
      </c>
      <c r="F652" t="s">
        <v>2616</v>
      </c>
      <c r="G652" t="s">
        <v>53</v>
      </c>
      <c r="H652" s="1">
        <v>35082</v>
      </c>
      <c r="I652">
        <v>30</v>
      </c>
      <c r="J652">
        <v>1996</v>
      </c>
      <c r="K652" s="1">
        <v>44773</v>
      </c>
      <c r="L652">
        <v>2022</v>
      </c>
      <c r="M652" t="s">
        <v>54</v>
      </c>
      <c r="N652">
        <v>14</v>
      </c>
      <c r="O652" t="s">
        <v>105</v>
      </c>
      <c r="P652" t="s">
        <v>56</v>
      </c>
      <c r="Q652">
        <v>36</v>
      </c>
      <c r="R652">
        <v>5</v>
      </c>
      <c r="S652" t="s">
        <v>92</v>
      </c>
      <c r="T652" t="s">
        <v>93</v>
      </c>
      <c r="U652">
        <v>6</v>
      </c>
      <c r="V652">
        <v>6</v>
      </c>
      <c r="W652">
        <v>6</v>
      </c>
      <c r="X652">
        <v>6</v>
      </c>
      <c r="Y652">
        <v>2</v>
      </c>
      <c r="Z652">
        <v>5</v>
      </c>
      <c r="AA652">
        <v>2.7</v>
      </c>
      <c r="AB652">
        <v>13.5</v>
      </c>
      <c r="AC652" t="s">
        <v>59</v>
      </c>
      <c r="AD652" t="s">
        <v>60</v>
      </c>
      <c r="AE652">
        <v>2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</v>
      </c>
      <c r="AN652">
        <v>0</v>
      </c>
      <c r="AO652">
        <v>5</v>
      </c>
      <c r="AP652">
        <v>0</v>
      </c>
      <c r="AQ652">
        <v>100</v>
      </c>
      <c r="AR652" s="2">
        <v>45788.551562499997</v>
      </c>
      <c r="AS652" s="2">
        <v>46007.349930555552</v>
      </c>
      <c r="AT652" t="s">
        <v>1357</v>
      </c>
      <c r="AU652" t="s">
        <v>62</v>
      </c>
      <c r="AV652">
        <v>219</v>
      </c>
    </row>
    <row r="653" spans="1:48" x14ac:dyDescent="0.25">
      <c r="A653">
        <v>810</v>
      </c>
      <c r="B653" t="s">
        <v>2617</v>
      </c>
      <c r="C653" t="s">
        <v>837</v>
      </c>
      <c r="D653" t="s">
        <v>562</v>
      </c>
      <c r="E653" t="s">
        <v>2618</v>
      </c>
      <c r="F653" t="s">
        <v>2619</v>
      </c>
      <c r="G653" t="s">
        <v>104</v>
      </c>
      <c r="H653" s="1">
        <v>39259</v>
      </c>
      <c r="I653">
        <v>19</v>
      </c>
      <c r="J653">
        <v>2007</v>
      </c>
      <c r="K653" s="1">
        <v>45363</v>
      </c>
      <c r="L653">
        <v>2024</v>
      </c>
      <c r="M653" t="s">
        <v>54</v>
      </c>
      <c r="N653">
        <v>3</v>
      </c>
      <c r="O653" t="s">
        <v>68</v>
      </c>
      <c r="P653" t="s">
        <v>69</v>
      </c>
      <c r="Q653">
        <v>60</v>
      </c>
      <c r="R653">
        <v>1</v>
      </c>
      <c r="S653" t="s">
        <v>57</v>
      </c>
      <c r="T653" t="s">
        <v>58</v>
      </c>
      <c r="U653">
        <v>6</v>
      </c>
      <c r="V653">
        <v>6</v>
      </c>
      <c r="W653">
        <v>6</v>
      </c>
      <c r="X653">
        <v>5</v>
      </c>
      <c r="Y653">
        <v>2</v>
      </c>
      <c r="Z653">
        <v>6</v>
      </c>
      <c r="AA653">
        <v>2.5833330000000001</v>
      </c>
      <c r="AB653">
        <v>15.5</v>
      </c>
      <c r="AC653" t="s">
        <v>540</v>
      </c>
      <c r="AD653" t="s">
        <v>60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3</v>
      </c>
      <c r="AK653">
        <v>2</v>
      </c>
      <c r="AL653">
        <v>0</v>
      </c>
      <c r="AM653">
        <v>0</v>
      </c>
      <c r="AN653">
        <v>0</v>
      </c>
      <c r="AO653">
        <v>6</v>
      </c>
      <c r="AP653">
        <v>0</v>
      </c>
      <c r="AQ653">
        <v>100</v>
      </c>
      <c r="AR653" s="2">
        <v>45892.5702662037</v>
      </c>
      <c r="AS653" s="2">
        <v>46079.933634259258</v>
      </c>
      <c r="AT653" t="s">
        <v>61</v>
      </c>
      <c r="AU653" t="s">
        <v>62</v>
      </c>
      <c r="AV653">
        <v>187</v>
      </c>
    </row>
    <row r="654" spans="1:48" x14ac:dyDescent="0.25">
      <c r="A654">
        <v>95</v>
      </c>
      <c r="B654" t="s">
        <v>2620</v>
      </c>
      <c r="C654" t="s">
        <v>227</v>
      </c>
      <c r="D654" t="s">
        <v>2621</v>
      </c>
      <c r="E654" t="s">
        <v>2622</v>
      </c>
      <c r="F654" t="s">
        <v>2623</v>
      </c>
      <c r="G654" t="s">
        <v>53</v>
      </c>
      <c r="H654" s="1">
        <v>36247</v>
      </c>
      <c r="I654">
        <v>27</v>
      </c>
      <c r="J654">
        <v>1999</v>
      </c>
      <c r="K654" s="1">
        <v>45674</v>
      </c>
      <c r="L654">
        <v>2025</v>
      </c>
      <c r="M654" t="s">
        <v>54</v>
      </c>
      <c r="N654">
        <v>19</v>
      </c>
      <c r="O654" t="s">
        <v>162</v>
      </c>
      <c r="P654" t="s">
        <v>119</v>
      </c>
      <c r="Q654">
        <v>120</v>
      </c>
      <c r="R654">
        <v>7</v>
      </c>
      <c r="S654" t="s">
        <v>163</v>
      </c>
      <c r="T654" t="s">
        <v>164</v>
      </c>
      <c r="U654">
        <v>6</v>
      </c>
      <c r="V654">
        <v>6</v>
      </c>
      <c r="W654">
        <v>6</v>
      </c>
      <c r="X654">
        <v>6</v>
      </c>
      <c r="Y654">
        <v>2</v>
      </c>
      <c r="Z654">
        <v>6</v>
      </c>
      <c r="AA654">
        <v>3.0833330000000001</v>
      </c>
      <c r="AB654">
        <v>18.5</v>
      </c>
      <c r="AC654" t="s">
        <v>540</v>
      </c>
      <c r="AD654" t="s">
        <v>60</v>
      </c>
      <c r="AE654">
        <v>1</v>
      </c>
      <c r="AF654">
        <v>0</v>
      </c>
      <c r="AG654">
        <v>2</v>
      </c>
      <c r="AH654">
        <v>1</v>
      </c>
      <c r="AI654">
        <v>0</v>
      </c>
      <c r="AJ654">
        <v>1</v>
      </c>
      <c r="AK654">
        <v>1</v>
      </c>
      <c r="AL654">
        <v>0</v>
      </c>
      <c r="AM654">
        <v>0</v>
      </c>
      <c r="AN654">
        <v>0</v>
      </c>
      <c r="AO654">
        <v>6</v>
      </c>
      <c r="AP654">
        <v>0</v>
      </c>
      <c r="AQ654">
        <v>100</v>
      </c>
      <c r="AR654" s="2">
        <v>45725.580706018518</v>
      </c>
      <c r="AS654" s="2">
        <v>46017.895520833335</v>
      </c>
      <c r="AT654" t="s">
        <v>61</v>
      </c>
      <c r="AU654" t="s">
        <v>62</v>
      </c>
      <c r="AV654">
        <v>292</v>
      </c>
    </row>
    <row r="655" spans="1:48" x14ac:dyDescent="0.25">
      <c r="A655">
        <v>326</v>
      </c>
      <c r="B655" t="s">
        <v>2624</v>
      </c>
      <c r="C655" t="s">
        <v>315</v>
      </c>
      <c r="D655" t="s">
        <v>96</v>
      </c>
      <c r="E655" t="s">
        <v>2625</v>
      </c>
      <c r="F655" t="s">
        <v>2626</v>
      </c>
      <c r="G655" t="s">
        <v>104</v>
      </c>
      <c r="H655" s="1">
        <v>36057</v>
      </c>
      <c r="I655">
        <v>28</v>
      </c>
      <c r="J655">
        <v>1998</v>
      </c>
      <c r="K655" s="1">
        <v>44855</v>
      </c>
      <c r="L655">
        <v>2022</v>
      </c>
      <c r="M655" t="s">
        <v>225</v>
      </c>
      <c r="N655">
        <v>8</v>
      </c>
      <c r="O655" t="s">
        <v>125</v>
      </c>
      <c r="P655" t="s">
        <v>56</v>
      </c>
      <c r="Q655">
        <v>36</v>
      </c>
      <c r="R655">
        <v>3</v>
      </c>
      <c r="S655" t="s">
        <v>126</v>
      </c>
      <c r="T655" t="s">
        <v>127</v>
      </c>
      <c r="U655">
        <v>6</v>
      </c>
      <c r="V655">
        <v>6</v>
      </c>
      <c r="W655">
        <v>6</v>
      </c>
      <c r="X655">
        <v>6</v>
      </c>
      <c r="Y655">
        <v>2</v>
      </c>
      <c r="Z655">
        <v>6</v>
      </c>
      <c r="AA655">
        <v>1.75</v>
      </c>
      <c r="AB655">
        <v>10.5</v>
      </c>
      <c r="AC655" t="s">
        <v>70</v>
      </c>
      <c r="AD655" t="s">
        <v>60</v>
      </c>
      <c r="AE655">
        <v>1</v>
      </c>
      <c r="AF655">
        <v>0</v>
      </c>
      <c r="AG655">
        <v>1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1</v>
      </c>
      <c r="AN655">
        <v>2</v>
      </c>
      <c r="AO655">
        <v>4</v>
      </c>
      <c r="AP655">
        <v>2</v>
      </c>
      <c r="AQ655">
        <v>66.666666666666003</v>
      </c>
      <c r="AR655" s="2">
        <v>45728.204062500001</v>
      </c>
      <c r="AS655" s="2">
        <v>45960.973958333336</v>
      </c>
      <c r="AT655" t="s">
        <v>1357</v>
      </c>
      <c r="AU655" t="s">
        <v>62</v>
      </c>
      <c r="AV655">
        <v>232</v>
      </c>
    </row>
    <row r="656" spans="1:48" x14ac:dyDescent="0.25">
      <c r="A656">
        <v>876</v>
      </c>
      <c r="B656" t="s">
        <v>2627</v>
      </c>
      <c r="C656" t="s">
        <v>2628</v>
      </c>
      <c r="D656" t="s">
        <v>2165</v>
      </c>
      <c r="E656" t="s">
        <v>2629</v>
      </c>
      <c r="F656" t="s">
        <v>2630</v>
      </c>
      <c r="G656" t="s">
        <v>104</v>
      </c>
      <c r="H656" s="1">
        <v>38433</v>
      </c>
      <c r="I656">
        <v>21</v>
      </c>
      <c r="J656">
        <v>2005</v>
      </c>
      <c r="K656" s="1">
        <v>44683</v>
      </c>
      <c r="L656">
        <v>2022</v>
      </c>
      <c r="M656" t="s">
        <v>225</v>
      </c>
      <c r="N656">
        <v>2</v>
      </c>
      <c r="O656" t="s">
        <v>55</v>
      </c>
      <c r="P656" t="s">
        <v>56</v>
      </c>
      <c r="Q656">
        <v>36</v>
      </c>
      <c r="R656">
        <v>1</v>
      </c>
      <c r="S656" t="s">
        <v>57</v>
      </c>
      <c r="T656" t="s">
        <v>58</v>
      </c>
      <c r="U656">
        <v>6</v>
      </c>
      <c r="V656">
        <v>6</v>
      </c>
      <c r="W656">
        <v>6</v>
      </c>
      <c r="X656">
        <v>5</v>
      </c>
      <c r="Y656">
        <v>2</v>
      </c>
      <c r="Z656">
        <v>6</v>
      </c>
      <c r="AA656">
        <v>1.916666</v>
      </c>
      <c r="AB656">
        <v>11.5</v>
      </c>
      <c r="AC656" t="s">
        <v>70</v>
      </c>
      <c r="AD656" t="s">
        <v>60</v>
      </c>
      <c r="AE656">
        <v>1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2</v>
      </c>
      <c r="AL656">
        <v>0</v>
      </c>
      <c r="AM656">
        <v>0</v>
      </c>
      <c r="AN656">
        <v>2</v>
      </c>
      <c r="AO656">
        <v>4</v>
      </c>
      <c r="AP656">
        <v>2</v>
      </c>
      <c r="AQ656">
        <v>66.666666666666003</v>
      </c>
      <c r="AR656" s="2">
        <v>45723.185648148145</v>
      </c>
      <c r="AS656" s="2">
        <v>46015.078414351854</v>
      </c>
      <c r="AT656" t="s">
        <v>1357</v>
      </c>
      <c r="AU656" t="s">
        <v>62</v>
      </c>
      <c r="AV656">
        <v>292</v>
      </c>
    </row>
    <row r="657" spans="1:48" x14ac:dyDescent="0.25">
      <c r="A657">
        <v>873</v>
      </c>
      <c r="B657" t="s">
        <v>2631</v>
      </c>
      <c r="C657" t="s">
        <v>172</v>
      </c>
      <c r="D657" t="s">
        <v>2000</v>
      </c>
      <c r="E657" t="s">
        <v>2632</v>
      </c>
      <c r="F657" t="s">
        <v>2633</v>
      </c>
      <c r="G657" t="s">
        <v>104</v>
      </c>
      <c r="H657" s="1">
        <v>37034</v>
      </c>
      <c r="I657">
        <v>25</v>
      </c>
      <c r="J657">
        <v>2001</v>
      </c>
      <c r="K657" s="1">
        <v>44937</v>
      </c>
      <c r="L657">
        <v>2023</v>
      </c>
      <c r="M657" t="s">
        <v>54</v>
      </c>
      <c r="N657">
        <v>13</v>
      </c>
      <c r="O657" t="s">
        <v>146</v>
      </c>
      <c r="P657" t="s">
        <v>119</v>
      </c>
      <c r="Q657">
        <v>120</v>
      </c>
      <c r="R657">
        <v>5</v>
      </c>
      <c r="S657" t="s">
        <v>92</v>
      </c>
      <c r="T657" t="s">
        <v>93</v>
      </c>
      <c r="U657">
        <v>6</v>
      </c>
      <c r="V657">
        <v>6</v>
      </c>
      <c r="W657">
        <v>6</v>
      </c>
      <c r="X657">
        <v>6</v>
      </c>
      <c r="Y657">
        <v>2</v>
      </c>
      <c r="Z657">
        <v>6</v>
      </c>
      <c r="AA657">
        <v>3</v>
      </c>
      <c r="AB657">
        <v>18</v>
      </c>
      <c r="AC657" t="s">
        <v>540</v>
      </c>
      <c r="AD657" t="s">
        <v>60</v>
      </c>
      <c r="AE657">
        <v>1</v>
      </c>
      <c r="AF657">
        <v>0</v>
      </c>
      <c r="AG657">
        <v>1</v>
      </c>
      <c r="AH657">
        <v>2</v>
      </c>
      <c r="AI657">
        <v>0</v>
      </c>
      <c r="AJ657">
        <v>1</v>
      </c>
      <c r="AK657">
        <v>1</v>
      </c>
      <c r="AL657">
        <v>0</v>
      </c>
      <c r="AM657">
        <v>0</v>
      </c>
      <c r="AN657">
        <v>0</v>
      </c>
      <c r="AO657">
        <v>6</v>
      </c>
      <c r="AP657">
        <v>0</v>
      </c>
      <c r="AQ657">
        <v>100</v>
      </c>
      <c r="AR657" s="2">
        <v>45738.299479166664</v>
      </c>
      <c r="AS657" s="2">
        <v>45998.280092592591</v>
      </c>
      <c r="AT657" t="s">
        <v>61</v>
      </c>
      <c r="AU657" t="s">
        <v>62</v>
      </c>
      <c r="AV657">
        <v>260</v>
      </c>
    </row>
    <row r="658" spans="1:48" x14ac:dyDescent="0.25">
      <c r="A658">
        <v>770</v>
      </c>
      <c r="B658" t="s">
        <v>2634</v>
      </c>
      <c r="C658" t="s">
        <v>741</v>
      </c>
      <c r="D658" t="s">
        <v>1793</v>
      </c>
      <c r="E658" t="s">
        <v>2635</v>
      </c>
      <c r="F658" t="s">
        <v>2636</v>
      </c>
      <c r="G658" t="s">
        <v>104</v>
      </c>
      <c r="H658" s="1">
        <v>37776</v>
      </c>
      <c r="I658">
        <v>23</v>
      </c>
      <c r="J658">
        <v>2003</v>
      </c>
      <c r="K658" s="1">
        <v>45845</v>
      </c>
      <c r="L658">
        <v>2025</v>
      </c>
      <c r="M658" t="s">
        <v>54</v>
      </c>
      <c r="N658">
        <v>16</v>
      </c>
      <c r="O658" t="s">
        <v>280</v>
      </c>
      <c r="P658" t="s">
        <v>119</v>
      </c>
      <c r="Q658">
        <v>120</v>
      </c>
      <c r="R658">
        <v>6</v>
      </c>
      <c r="S658" t="s">
        <v>140</v>
      </c>
      <c r="T658" t="s">
        <v>141</v>
      </c>
      <c r="U658">
        <v>6</v>
      </c>
      <c r="V658">
        <v>6</v>
      </c>
      <c r="W658">
        <v>6</v>
      </c>
      <c r="X658">
        <v>5</v>
      </c>
      <c r="Y658">
        <v>2</v>
      </c>
      <c r="Z658">
        <v>3</v>
      </c>
      <c r="AA658">
        <v>1.3333330000000001</v>
      </c>
      <c r="AB658">
        <v>4</v>
      </c>
      <c r="AC658" t="s">
        <v>70</v>
      </c>
      <c r="AD658" t="s">
        <v>112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1</v>
      </c>
      <c r="AN658">
        <v>1</v>
      </c>
      <c r="AO658">
        <v>2</v>
      </c>
      <c r="AP658">
        <v>1</v>
      </c>
      <c r="AQ658">
        <v>66.666666666666003</v>
      </c>
      <c r="AR658" s="2">
        <v>45749.632777777777</v>
      </c>
      <c r="AS658" s="2">
        <v>46028.941574074073</v>
      </c>
      <c r="AT658" t="s">
        <v>1357</v>
      </c>
      <c r="AU658" t="s">
        <v>62</v>
      </c>
      <c r="AV658">
        <v>279</v>
      </c>
    </row>
    <row r="659" spans="1:48" x14ac:dyDescent="0.25">
      <c r="A659">
        <v>304</v>
      </c>
      <c r="B659" t="s">
        <v>2637</v>
      </c>
      <c r="C659" t="s">
        <v>2638</v>
      </c>
      <c r="D659" t="s">
        <v>1177</v>
      </c>
      <c r="E659" t="s">
        <v>2639</v>
      </c>
      <c r="F659" t="s">
        <v>2640</v>
      </c>
      <c r="G659" t="s">
        <v>53</v>
      </c>
      <c r="H659" s="1">
        <v>36230</v>
      </c>
      <c r="I659">
        <v>27</v>
      </c>
      <c r="J659">
        <v>1999</v>
      </c>
      <c r="K659" s="1">
        <v>45655</v>
      </c>
      <c r="L659">
        <v>2024</v>
      </c>
      <c r="M659" t="s">
        <v>225</v>
      </c>
      <c r="N659">
        <v>2</v>
      </c>
      <c r="O659" t="s">
        <v>55</v>
      </c>
      <c r="P659" t="s">
        <v>56</v>
      </c>
      <c r="Q659">
        <v>36</v>
      </c>
      <c r="R659">
        <v>1</v>
      </c>
      <c r="S659" t="s">
        <v>57</v>
      </c>
      <c r="T659" t="s">
        <v>58</v>
      </c>
      <c r="U659">
        <v>6</v>
      </c>
      <c r="V659">
        <v>6</v>
      </c>
      <c r="W659">
        <v>6</v>
      </c>
      <c r="X659">
        <v>6</v>
      </c>
      <c r="Y659">
        <v>2</v>
      </c>
      <c r="Z659">
        <v>4</v>
      </c>
      <c r="AA659">
        <v>3</v>
      </c>
      <c r="AB659">
        <v>12</v>
      </c>
      <c r="AC659" t="s">
        <v>540</v>
      </c>
      <c r="AD659" t="s">
        <v>281</v>
      </c>
      <c r="AE659">
        <v>0</v>
      </c>
      <c r="AF659">
        <v>0</v>
      </c>
      <c r="AG659">
        <v>2</v>
      </c>
      <c r="AH659">
        <v>0</v>
      </c>
      <c r="AI659">
        <v>0</v>
      </c>
      <c r="AJ659">
        <v>2</v>
      </c>
      <c r="AK659">
        <v>0</v>
      </c>
      <c r="AL659">
        <v>0</v>
      </c>
      <c r="AM659">
        <v>0</v>
      </c>
      <c r="AN659">
        <v>0</v>
      </c>
      <c r="AO659">
        <v>4</v>
      </c>
      <c r="AP659">
        <v>0</v>
      </c>
      <c r="AQ659">
        <v>100</v>
      </c>
      <c r="AR659" s="2">
        <v>45738.052430555559</v>
      </c>
      <c r="AS659" s="2">
        <v>45954.001863425925</v>
      </c>
      <c r="AT659" t="s">
        <v>1357</v>
      </c>
      <c r="AU659" t="s">
        <v>62</v>
      </c>
      <c r="AV659">
        <v>216</v>
      </c>
    </row>
    <row r="660" spans="1:48" x14ac:dyDescent="0.25">
      <c r="A660">
        <v>249</v>
      </c>
      <c r="B660" t="s">
        <v>2641</v>
      </c>
      <c r="C660" t="s">
        <v>355</v>
      </c>
      <c r="D660" t="s">
        <v>2642</v>
      </c>
      <c r="E660" t="s">
        <v>2643</v>
      </c>
      <c r="F660" t="s">
        <v>2644</v>
      </c>
      <c r="G660" t="s">
        <v>104</v>
      </c>
      <c r="H660" s="1">
        <v>34841</v>
      </c>
      <c r="I660">
        <v>31</v>
      </c>
      <c r="J660">
        <v>1995</v>
      </c>
      <c r="K660" s="1">
        <v>45388</v>
      </c>
      <c r="L660">
        <v>2024</v>
      </c>
      <c r="M660" t="s">
        <v>54</v>
      </c>
      <c r="N660">
        <v>6</v>
      </c>
      <c r="O660" t="s">
        <v>133</v>
      </c>
      <c r="P660" t="s">
        <v>69</v>
      </c>
      <c r="Q660">
        <v>60</v>
      </c>
      <c r="R660">
        <v>2</v>
      </c>
      <c r="S660" t="s">
        <v>85</v>
      </c>
      <c r="T660" t="s">
        <v>86</v>
      </c>
      <c r="U660">
        <v>5</v>
      </c>
      <c r="V660">
        <v>6</v>
      </c>
      <c r="W660">
        <v>6</v>
      </c>
      <c r="X660">
        <v>6</v>
      </c>
      <c r="Y660">
        <v>2</v>
      </c>
      <c r="Z660">
        <v>4</v>
      </c>
      <c r="AA660">
        <v>3.25</v>
      </c>
      <c r="AB660">
        <v>13</v>
      </c>
      <c r="AC660" t="s">
        <v>112</v>
      </c>
      <c r="AD660" t="s">
        <v>60</v>
      </c>
      <c r="AE660">
        <v>1</v>
      </c>
      <c r="AF660">
        <v>0</v>
      </c>
      <c r="AG660">
        <v>0</v>
      </c>
      <c r="AH660">
        <v>3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4</v>
      </c>
      <c r="AP660">
        <v>0</v>
      </c>
      <c r="AQ660">
        <v>100</v>
      </c>
      <c r="AR660" s="2">
        <v>45771.56858796296</v>
      </c>
      <c r="AS660" s="2">
        <v>46024.060173611113</v>
      </c>
      <c r="AT660" t="s">
        <v>1357</v>
      </c>
      <c r="AU660" t="s">
        <v>62</v>
      </c>
      <c r="AV660">
        <v>253</v>
      </c>
    </row>
    <row r="661" spans="1:48" x14ac:dyDescent="0.25">
      <c r="A661">
        <v>44</v>
      </c>
      <c r="B661" t="s">
        <v>2645</v>
      </c>
      <c r="C661" t="s">
        <v>2646</v>
      </c>
      <c r="D661" t="s">
        <v>2647</v>
      </c>
      <c r="E661" t="s">
        <v>2648</v>
      </c>
      <c r="F661" t="s">
        <v>2649</v>
      </c>
      <c r="G661" t="s">
        <v>104</v>
      </c>
      <c r="H661" s="1">
        <v>37760</v>
      </c>
      <c r="I661">
        <v>23</v>
      </c>
      <c r="J661">
        <v>2003</v>
      </c>
      <c r="K661" s="1">
        <v>45970</v>
      </c>
      <c r="L661">
        <v>2025</v>
      </c>
      <c r="M661" t="s">
        <v>54</v>
      </c>
      <c r="N661">
        <v>17</v>
      </c>
      <c r="O661" t="s">
        <v>350</v>
      </c>
      <c r="P661" t="s">
        <v>56</v>
      </c>
      <c r="Q661">
        <v>36</v>
      </c>
      <c r="R661">
        <v>6</v>
      </c>
      <c r="S661" t="s">
        <v>140</v>
      </c>
      <c r="T661" t="s">
        <v>141</v>
      </c>
      <c r="U661">
        <v>6</v>
      </c>
      <c r="V661">
        <v>6</v>
      </c>
      <c r="W661">
        <v>6</v>
      </c>
      <c r="X661">
        <v>6</v>
      </c>
      <c r="Y661">
        <v>2</v>
      </c>
      <c r="Z661">
        <v>6</v>
      </c>
      <c r="AA661">
        <v>2</v>
      </c>
      <c r="AB661">
        <v>12</v>
      </c>
      <c r="AC661" t="s">
        <v>70</v>
      </c>
      <c r="AD661" t="s">
        <v>112</v>
      </c>
      <c r="AE661">
        <v>0</v>
      </c>
      <c r="AF661">
        <v>0</v>
      </c>
      <c r="AG661">
        <v>1</v>
      </c>
      <c r="AH661">
        <v>1</v>
      </c>
      <c r="AI661">
        <v>0</v>
      </c>
      <c r="AJ661">
        <v>1</v>
      </c>
      <c r="AK661">
        <v>1</v>
      </c>
      <c r="AL661">
        <v>0</v>
      </c>
      <c r="AM661">
        <v>1</v>
      </c>
      <c r="AN661">
        <v>1</v>
      </c>
      <c r="AO661">
        <v>5</v>
      </c>
      <c r="AP661">
        <v>1</v>
      </c>
      <c r="AQ661">
        <v>83.333333333333002</v>
      </c>
      <c r="AR661" s="2">
        <v>45757.364768518521</v>
      </c>
      <c r="AS661" s="2">
        <v>46055.555590277778</v>
      </c>
      <c r="AT661" t="s">
        <v>61</v>
      </c>
      <c r="AU661" t="s">
        <v>62</v>
      </c>
      <c r="AV661">
        <v>298</v>
      </c>
    </row>
    <row r="662" spans="1:48" x14ac:dyDescent="0.25">
      <c r="A662">
        <v>759</v>
      </c>
      <c r="B662" t="s">
        <v>2650</v>
      </c>
      <c r="C662" t="s">
        <v>283</v>
      </c>
      <c r="D662" t="s">
        <v>316</v>
      </c>
      <c r="E662" t="s">
        <v>2651</v>
      </c>
      <c r="F662" t="s">
        <v>2652</v>
      </c>
      <c r="G662" t="s">
        <v>104</v>
      </c>
      <c r="H662" s="1">
        <v>36227</v>
      </c>
      <c r="I662">
        <v>27</v>
      </c>
      <c r="J662">
        <v>1999</v>
      </c>
      <c r="K662" s="1">
        <v>44772</v>
      </c>
      <c r="L662">
        <v>2022</v>
      </c>
      <c r="M662" t="s">
        <v>54</v>
      </c>
      <c r="N662">
        <v>21</v>
      </c>
      <c r="O662" t="s">
        <v>339</v>
      </c>
      <c r="P662" t="s">
        <v>69</v>
      </c>
      <c r="Q662">
        <v>60</v>
      </c>
      <c r="R662">
        <v>7</v>
      </c>
      <c r="S662" t="s">
        <v>163</v>
      </c>
      <c r="T662" t="s">
        <v>164</v>
      </c>
      <c r="U662">
        <v>6</v>
      </c>
      <c r="V662">
        <v>6</v>
      </c>
      <c r="W662">
        <v>6</v>
      </c>
      <c r="X662">
        <v>6</v>
      </c>
      <c r="Y662">
        <v>2</v>
      </c>
      <c r="Z662">
        <v>6</v>
      </c>
      <c r="AA662">
        <v>2.75</v>
      </c>
      <c r="AB662">
        <v>16.5</v>
      </c>
      <c r="AC662" t="s">
        <v>59</v>
      </c>
      <c r="AD662" t="s">
        <v>60</v>
      </c>
      <c r="AE662">
        <v>2</v>
      </c>
      <c r="AF662">
        <v>0</v>
      </c>
      <c r="AG662">
        <v>0</v>
      </c>
      <c r="AH662">
        <v>1</v>
      </c>
      <c r="AI662">
        <v>0</v>
      </c>
      <c r="AJ662">
        <v>1</v>
      </c>
      <c r="AK662">
        <v>1</v>
      </c>
      <c r="AL662">
        <v>0</v>
      </c>
      <c r="AM662">
        <v>1</v>
      </c>
      <c r="AN662">
        <v>0</v>
      </c>
      <c r="AO662">
        <v>6</v>
      </c>
      <c r="AP662">
        <v>0</v>
      </c>
      <c r="AQ662">
        <v>100</v>
      </c>
      <c r="AR662" s="2">
        <v>45798.951504629629</v>
      </c>
      <c r="AS662" s="2">
        <v>46012.966967592591</v>
      </c>
      <c r="AT662" t="s">
        <v>61</v>
      </c>
      <c r="AU662" t="s">
        <v>62</v>
      </c>
      <c r="AV662">
        <v>214</v>
      </c>
    </row>
    <row r="663" spans="1:48" x14ac:dyDescent="0.25">
      <c r="A663">
        <v>347</v>
      </c>
      <c r="B663" t="s">
        <v>2653</v>
      </c>
      <c r="C663" t="s">
        <v>1096</v>
      </c>
      <c r="D663" t="s">
        <v>2654</v>
      </c>
      <c r="E663" t="s">
        <v>2655</v>
      </c>
      <c r="F663" t="s">
        <v>2656</v>
      </c>
      <c r="G663" t="s">
        <v>104</v>
      </c>
      <c r="H663" s="1">
        <v>35226</v>
      </c>
      <c r="I663">
        <v>30</v>
      </c>
      <c r="J663">
        <v>1996</v>
      </c>
      <c r="K663" s="1">
        <v>44776</v>
      </c>
      <c r="L663">
        <v>2022</v>
      </c>
      <c r="M663" t="s">
        <v>54</v>
      </c>
      <c r="N663">
        <v>8</v>
      </c>
      <c r="O663" t="s">
        <v>125</v>
      </c>
      <c r="P663" t="s">
        <v>56</v>
      </c>
      <c r="Q663">
        <v>36</v>
      </c>
      <c r="R663">
        <v>3</v>
      </c>
      <c r="S663" t="s">
        <v>126</v>
      </c>
      <c r="T663" t="s">
        <v>127</v>
      </c>
      <c r="U663">
        <v>6</v>
      </c>
      <c r="V663">
        <v>6</v>
      </c>
      <c r="W663">
        <v>6</v>
      </c>
      <c r="X663">
        <v>5</v>
      </c>
      <c r="Y663">
        <v>2</v>
      </c>
      <c r="Z663">
        <v>6</v>
      </c>
      <c r="AA663">
        <v>2.3333330000000001</v>
      </c>
      <c r="AB663">
        <v>14</v>
      </c>
      <c r="AC663" t="s">
        <v>59</v>
      </c>
      <c r="AD663" t="s">
        <v>60</v>
      </c>
      <c r="AE663">
        <v>1</v>
      </c>
      <c r="AF663">
        <v>0</v>
      </c>
      <c r="AG663">
        <v>1</v>
      </c>
      <c r="AH663">
        <v>0</v>
      </c>
      <c r="AI663">
        <v>0</v>
      </c>
      <c r="AJ663">
        <v>1</v>
      </c>
      <c r="AK663">
        <v>1</v>
      </c>
      <c r="AL663">
        <v>0</v>
      </c>
      <c r="AM663">
        <v>2</v>
      </c>
      <c r="AN663">
        <v>0</v>
      </c>
      <c r="AO663">
        <v>6</v>
      </c>
      <c r="AP663">
        <v>0</v>
      </c>
      <c r="AQ663">
        <v>100</v>
      </c>
      <c r="AR663" s="2">
        <v>45761.322337962964</v>
      </c>
      <c r="AS663" s="2">
        <v>46049.134351851855</v>
      </c>
      <c r="AT663" t="s">
        <v>61</v>
      </c>
      <c r="AU663" t="s">
        <v>62</v>
      </c>
      <c r="AV663">
        <v>288</v>
      </c>
    </row>
    <row r="664" spans="1:48" x14ac:dyDescent="0.25">
      <c r="A664">
        <v>986</v>
      </c>
      <c r="B664" t="s">
        <v>2657</v>
      </c>
      <c r="C664" t="s">
        <v>1042</v>
      </c>
      <c r="D664" t="s">
        <v>2447</v>
      </c>
      <c r="E664" t="s">
        <v>2658</v>
      </c>
      <c r="F664">
        <v>3088696610</v>
      </c>
      <c r="G664" t="s">
        <v>104</v>
      </c>
      <c r="H664" s="1">
        <v>37156</v>
      </c>
      <c r="I664">
        <v>25</v>
      </c>
      <c r="J664">
        <v>2001</v>
      </c>
      <c r="K664" s="1">
        <v>44734</v>
      </c>
      <c r="L664">
        <v>2022</v>
      </c>
      <c r="M664" t="s">
        <v>54</v>
      </c>
      <c r="N664">
        <v>14</v>
      </c>
      <c r="O664" t="s">
        <v>105</v>
      </c>
      <c r="P664" t="s">
        <v>56</v>
      </c>
      <c r="Q664">
        <v>36</v>
      </c>
      <c r="R664">
        <v>5</v>
      </c>
      <c r="S664" t="s">
        <v>92</v>
      </c>
      <c r="T664" t="s">
        <v>93</v>
      </c>
      <c r="U664">
        <v>6</v>
      </c>
      <c r="V664">
        <v>6</v>
      </c>
      <c r="W664">
        <v>6</v>
      </c>
      <c r="X664">
        <v>6</v>
      </c>
      <c r="Y664">
        <v>2</v>
      </c>
      <c r="Z664">
        <v>4</v>
      </c>
      <c r="AA664">
        <v>3.125</v>
      </c>
      <c r="AB664">
        <v>12.5</v>
      </c>
      <c r="AC664" t="s">
        <v>1061</v>
      </c>
      <c r="AD664" t="s">
        <v>60</v>
      </c>
      <c r="AE664">
        <v>1</v>
      </c>
      <c r="AF664">
        <v>0</v>
      </c>
      <c r="AG664">
        <v>1</v>
      </c>
      <c r="AH664">
        <v>1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0</v>
      </c>
      <c r="AO664">
        <v>4</v>
      </c>
      <c r="AP664">
        <v>0</v>
      </c>
      <c r="AQ664">
        <v>100</v>
      </c>
      <c r="AR664" s="2">
        <v>45860.594085648147</v>
      </c>
      <c r="AS664" s="2">
        <v>46032.487256944441</v>
      </c>
      <c r="AT664" t="s">
        <v>61</v>
      </c>
      <c r="AU664" t="s">
        <v>1357</v>
      </c>
      <c r="AV664">
        <v>172</v>
      </c>
    </row>
    <row r="665" spans="1:48" x14ac:dyDescent="0.25">
      <c r="A665">
        <v>884</v>
      </c>
      <c r="B665" t="s">
        <v>2659</v>
      </c>
      <c r="C665" t="s">
        <v>561</v>
      </c>
      <c r="D665" t="s">
        <v>2660</v>
      </c>
      <c r="E665" t="s">
        <v>2661</v>
      </c>
      <c r="F665" t="s">
        <v>2662</v>
      </c>
      <c r="G665" t="s">
        <v>53</v>
      </c>
      <c r="H665" s="1">
        <v>35196</v>
      </c>
      <c r="I665">
        <v>30</v>
      </c>
      <c r="J665">
        <v>1996</v>
      </c>
      <c r="K665" s="1">
        <v>45706</v>
      </c>
      <c r="L665">
        <v>2025</v>
      </c>
      <c r="M665" t="s">
        <v>54</v>
      </c>
      <c r="N665">
        <v>2</v>
      </c>
      <c r="O665" t="s">
        <v>55</v>
      </c>
      <c r="P665" t="s">
        <v>56</v>
      </c>
      <c r="Q665">
        <v>36</v>
      </c>
      <c r="R665">
        <v>1</v>
      </c>
      <c r="S665" t="s">
        <v>57</v>
      </c>
      <c r="T665" t="s">
        <v>58</v>
      </c>
      <c r="U665">
        <v>6</v>
      </c>
      <c r="V665">
        <v>6</v>
      </c>
      <c r="W665">
        <v>6</v>
      </c>
      <c r="X665">
        <v>6</v>
      </c>
      <c r="Y665">
        <v>2</v>
      </c>
      <c r="Z665">
        <v>4</v>
      </c>
      <c r="AA665">
        <v>1.625</v>
      </c>
      <c r="AB665">
        <v>6.5</v>
      </c>
      <c r="AC665" t="s">
        <v>70</v>
      </c>
      <c r="AD665" t="s">
        <v>112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1</v>
      </c>
      <c r="AK665">
        <v>0</v>
      </c>
      <c r="AL665">
        <v>0</v>
      </c>
      <c r="AM665">
        <v>1</v>
      </c>
      <c r="AN665">
        <v>1</v>
      </c>
      <c r="AO665">
        <v>3</v>
      </c>
      <c r="AP665">
        <v>1</v>
      </c>
      <c r="AQ665">
        <v>75</v>
      </c>
      <c r="AR665" s="2">
        <v>45759.081886574073</v>
      </c>
      <c r="AS665" s="2">
        <v>46058.76903935185</v>
      </c>
      <c r="AT665" t="s">
        <v>1357</v>
      </c>
      <c r="AU665" t="s">
        <v>62</v>
      </c>
      <c r="AV665">
        <v>299</v>
      </c>
    </row>
    <row r="666" spans="1:48" x14ac:dyDescent="0.25">
      <c r="A666">
        <v>771</v>
      </c>
      <c r="B666" t="s">
        <v>2663</v>
      </c>
      <c r="C666" t="s">
        <v>153</v>
      </c>
      <c r="D666" t="s">
        <v>2647</v>
      </c>
      <c r="E666" t="s">
        <v>2664</v>
      </c>
      <c r="F666">
        <v>5979753967</v>
      </c>
      <c r="G666" t="s">
        <v>104</v>
      </c>
      <c r="H666" s="1">
        <v>37713</v>
      </c>
      <c r="I666">
        <v>23</v>
      </c>
      <c r="J666">
        <v>2003</v>
      </c>
      <c r="K666" s="1">
        <v>45422</v>
      </c>
      <c r="L666">
        <v>2024</v>
      </c>
      <c r="M666" t="s">
        <v>54</v>
      </c>
      <c r="N666">
        <v>13</v>
      </c>
      <c r="O666" t="s">
        <v>146</v>
      </c>
      <c r="P666" t="s">
        <v>119</v>
      </c>
      <c r="Q666">
        <v>120</v>
      </c>
      <c r="R666">
        <v>5</v>
      </c>
      <c r="S666" t="s">
        <v>92</v>
      </c>
      <c r="T666" t="s">
        <v>93</v>
      </c>
      <c r="U666">
        <v>6</v>
      </c>
      <c r="V666">
        <v>6</v>
      </c>
      <c r="W666">
        <v>6</v>
      </c>
      <c r="X666">
        <v>6</v>
      </c>
      <c r="Y666">
        <v>2</v>
      </c>
      <c r="Z666">
        <v>6</v>
      </c>
      <c r="AA666">
        <v>2.6666660000000002</v>
      </c>
      <c r="AB666">
        <v>16</v>
      </c>
      <c r="AC666" t="s">
        <v>540</v>
      </c>
      <c r="AD666" t="s">
        <v>281</v>
      </c>
      <c r="AE666">
        <v>0</v>
      </c>
      <c r="AF666">
        <v>0</v>
      </c>
      <c r="AG666">
        <v>2</v>
      </c>
      <c r="AH666">
        <v>0</v>
      </c>
      <c r="AI666">
        <v>0</v>
      </c>
      <c r="AJ666">
        <v>2</v>
      </c>
      <c r="AK666">
        <v>2</v>
      </c>
      <c r="AL666">
        <v>0</v>
      </c>
      <c r="AM666">
        <v>0</v>
      </c>
      <c r="AN666">
        <v>0</v>
      </c>
      <c r="AO666">
        <v>6</v>
      </c>
      <c r="AP666">
        <v>0</v>
      </c>
      <c r="AQ666">
        <v>100</v>
      </c>
      <c r="AR666" s="2">
        <v>45835.900960648149</v>
      </c>
      <c r="AS666" s="2">
        <v>46037.949074074073</v>
      </c>
      <c r="AT666" t="s">
        <v>61</v>
      </c>
      <c r="AU666" t="s">
        <v>1357</v>
      </c>
      <c r="AV666">
        <v>202</v>
      </c>
    </row>
    <row r="667" spans="1:48" x14ac:dyDescent="0.25">
      <c r="A667">
        <v>341</v>
      </c>
      <c r="B667" t="s">
        <v>2665</v>
      </c>
      <c r="C667" t="s">
        <v>404</v>
      </c>
      <c r="D667" t="s">
        <v>2666</v>
      </c>
      <c r="E667" t="s">
        <v>2667</v>
      </c>
      <c r="F667" t="s">
        <v>2668</v>
      </c>
      <c r="G667" t="s">
        <v>53</v>
      </c>
      <c r="H667" s="1">
        <v>35054</v>
      </c>
      <c r="I667">
        <v>31</v>
      </c>
      <c r="J667">
        <v>1995</v>
      </c>
      <c r="K667" s="1">
        <v>45316</v>
      </c>
      <c r="L667">
        <v>2024</v>
      </c>
      <c r="M667" t="s">
        <v>111</v>
      </c>
      <c r="N667">
        <v>3</v>
      </c>
      <c r="O667" t="s">
        <v>68</v>
      </c>
      <c r="P667" t="s">
        <v>69</v>
      </c>
      <c r="Q667">
        <v>60</v>
      </c>
      <c r="R667">
        <v>1</v>
      </c>
      <c r="S667" t="s">
        <v>57</v>
      </c>
      <c r="T667" t="s">
        <v>58</v>
      </c>
      <c r="U667">
        <v>6</v>
      </c>
      <c r="V667">
        <v>6</v>
      </c>
      <c r="W667">
        <v>6</v>
      </c>
      <c r="X667">
        <v>6</v>
      </c>
      <c r="Y667">
        <v>2</v>
      </c>
      <c r="Z667">
        <v>4</v>
      </c>
      <c r="AA667">
        <v>3</v>
      </c>
      <c r="AB667">
        <v>12</v>
      </c>
      <c r="AC667" t="s">
        <v>540</v>
      </c>
      <c r="AD667" t="s">
        <v>281</v>
      </c>
      <c r="AE667">
        <v>0</v>
      </c>
      <c r="AF667">
        <v>0</v>
      </c>
      <c r="AG667">
        <v>2</v>
      </c>
      <c r="AH667">
        <v>0</v>
      </c>
      <c r="AI667">
        <v>0</v>
      </c>
      <c r="AJ667">
        <v>2</v>
      </c>
      <c r="AK667">
        <v>0</v>
      </c>
      <c r="AL667">
        <v>0</v>
      </c>
      <c r="AM667">
        <v>0</v>
      </c>
      <c r="AN667">
        <v>0</v>
      </c>
      <c r="AO667">
        <v>4</v>
      </c>
      <c r="AP667">
        <v>0</v>
      </c>
      <c r="AQ667">
        <v>100</v>
      </c>
      <c r="AR667" s="2">
        <v>45760.03628472222</v>
      </c>
      <c r="AS667" s="2">
        <v>46008.687627314815</v>
      </c>
      <c r="AT667" t="s">
        <v>1357</v>
      </c>
      <c r="AU667" t="s">
        <v>62</v>
      </c>
      <c r="AV667">
        <v>248</v>
      </c>
    </row>
    <row r="668" spans="1:48" x14ac:dyDescent="0.25">
      <c r="A668">
        <v>889</v>
      </c>
      <c r="B668" t="s">
        <v>2669</v>
      </c>
      <c r="C668" t="s">
        <v>201</v>
      </c>
      <c r="D668" t="s">
        <v>291</v>
      </c>
      <c r="E668" t="s">
        <v>2670</v>
      </c>
      <c r="F668">
        <v>5766761645</v>
      </c>
      <c r="G668" t="s">
        <v>53</v>
      </c>
      <c r="H668" s="1">
        <v>36503</v>
      </c>
      <c r="I668">
        <v>27</v>
      </c>
      <c r="J668">
        <v>1999</v>
      </c>
      <c r="K668" s="1">
        <v>46081</v>
      </c>
      <c r="L668">
        <v>2026</v>
      </c>
      <c r="M668" t="s">
        <v>54</v>
      </c>
      <c r="N668">
        <v>15</v>
      </c>
      <c r="O668" t="s">
        <v>91</v>
      </c>
      <c r="P668" t="s">
        <v>69</v>
      </c>
      <c r="Q668">
        <v>60</v>
      </c>
      <c r="R668">
        <v>5</v>
      </c>
      <c r="S668" t="s">
        <v>92</v>
      </c>
      <c r="T668" t="s">
        <v>93</v>
      </c>
      <c r="U668">
        <v>6</v>
      </c>
      <c r="V668">
        <v>6</v>
      </c>
      <c r="W668">
        <v>6</v>
      </c>
      <c r="X668">
        <v>5</v>
      </c>
      <c r="Y668">
        <v>2</v>
      </c>
      <c r="Z668">
        <v>6</v>
      </c>
      <c r="AA668">
        <v>2</v>
      </c>
      <c r="AB668">
        <v>12</v>
      </c>
      <c r="AC668" t="s">
        <v>70</v>
      </c>
      <c r="AD668" t="s">
        <v>60</v>
      </c>
      <c r="AE668">
        <v>2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2</v>
      </c>
      <c r="AN668">
        <v>1</v>
      </c>
      <c r="AO668">
        <v>5</v>
      </c>
      <c r="AP668">
        <v>1</v>
      </c>
      <c r="AQ668">
        <v>83.333333333333002</v>
      </c>
      <c r="AR668" s="2">
        <v>45729.812893518516</v>
      </c>
      <c r="AS668" s="2">
        <v>46015.898668981485</v>
      </c>
      <c r="AT668" t="s">
        <v>61</v>
      </c>
      <c r="AU668" t="s">
        <v>1357</v>
      </c>
      <c r="AV668">
        <v>286</v>
      </c>
    </row>
    <row r="669" spans="1:48" x14ac:dyDescent="0.25">
      <c r="A669">
        <v>875</v>
      </c>
      <c r="B669" t="s">
        <v>2671</v>
      </c>
      <c r="C669" t="s">
        <v>2672</v>
      </c>
      <c r="D669" t="s">
        <v>1379</v>
      </c>
      <c r="E669" t="s">
        <v>2673</v>
      </c>
      <c r="F669">
        <v>9605560356</v>
      </c>
      <c r="G669" t="s">
        <v>104</v>
      </c>
      <c r="H669" s="1">
        <v>38318</v>
      </c>
      <c r="I669">
        <v>22</v>
      </c>
      <c r="J669">
        <v>2004</v>
      </c>
      <c r="K669" s="1">
        <v>44811</v>
      </c>
      <c r="L669">
        <v>2022</v>
      </c>
      <c r="M669" t="s">
        <v>54</v>
      </c>
      <c r="N669">
        <v>5</v>
      </c>
      <c r="O669" t="s">
        <v>84</v>
      </c>
      <c r="P669" t="s">
        <v>56</v>
      </c>
      <c r="Q669">
        <v>36</v>
      </c>
      <c r="R669">
        <v>2</v>
      </c>
      <c r="S669" t="s">
        <v>85</v>
      </c>
      <c r="T669" t="s">
        <v>86</v>
      </c>
      <c r="U669">
        <v>6</v>
      </c>
      <c r="V669">
        <v>6</v>
      </c>
      <c r="W669">
        <v>6</v>
      </c>
      <c r="X669">
        <v>6</v>
      </c>
      <c r="Y669">
        <v>2</v>
      </c>
      <c r="Z669">
        <v>4</v>
      </c>
      <c r="AA669">
        <v>2.375</v>
      </c>
      <c r="AB669">
        <v>9.5</v>
      </c>
      <c r="AC669" t="s">
        <v>70</v>
      </c>
      <c r="AD669" t="s">
        <v>60</v>
      </c>
      <c r="AE669">
        <v>1</v>
      </c>
      <c r="AF669">
        <v>0</v>
      </c>
      <c r="AG669">
        <v>1</v>
      </c>
      <c r="AH669">
        <v>0</v>
      </c>
      <c r="AI669">
        <v>0</v>
      </c>
      <c r="AJ669">
        <v>0</v>
      </c>
      <c r="AK669">
        <v>1</v>
      </c>
      <c r="AL669">
        <v>0</v>
      </c>
      <c r="AM669">
        <v>0</v>
      </c>
      <c r="AN669">
        <v>1</v>
      </c>
      <c r="AO669">
        <v>3</v>
      </c>
      <c r="AP669">
        <v>1</v>
      </c>
      <c r="AQ669">
        <v>75</v>
      </c>
      <c r="AR669" s="2">
        <v>45767.476076388892</v>
      </c>
      <c r="AS669" s="2">
        <v>46025.395196759258</v>
      </c>
      <c r="AT669" t="s">
        <v>61</v>
      </c>
      <c r="AU669" t="s">
        <v>1357</v>
      </c>
      <c r="AV669">
        <v>258</v>
      </c>
    </row>
    <row r="670" spans="1:48" x14ac:dyDescent="0.25">
      <c r="A670">
        <v>484</v>
      </c>
      <c r="B670" t="s">
        <v>2674</v>
      </c>
      <c r="C670" t="s">
        <v>95</v>
      </c>
      <c r="D670" t="s">
        <v>2675</v>
      </c>
      <c r="E670" t="s">
        <v>2676</v>
      </c>
      <c r="F670" t="s">
        <v>2677</v>
      </c>
      <c r="G670" t="s">
        <v>53</v>
      </c>
      <c r="H670" s="1">
        <v>35805</v>
      </c>
      <c r="I670">
        <v>28</v>
      </c>
      <c r="J670">
        <v>1998</v>
      </c>
      <c r="K670" s="1">
        <v>44921</v>
      </c>
      <c r="L670">
        <v>2022</v>
      </c>
      <c r="M670" t="s">
        <v>111</v>
      </c>
      <c r="N670">
        <v>4</v>
      </c>
      <c r="O670" t="s">
        <v>215</v>
      </c>
      <c r="P670" t="s">
        <v>119</v>
      </c>
      <c r="Q670">
        <v>120</v>
      </c>
      <c r="R670">
        <v>2</v>
      </c>
      <c r="S670" t="s">
        <v>85</v>
      </c>
      <c r="T670" t="s">
        <v>86</v>
      </c>
      <c r="U670">
        <v>5</v>
      </c>
      <c r="V670">
        <v>6</v>
      </c>
      <c r="W670">
        <v>6</v>
      </c>
      <c r="X670">
        <v>6</v>
      </c>
      <c r="Y670">
        <v>2</v>
      </c>
      <c r="Z670">
        <v>6</v>
      </c>
      <c r="AA670">
        <v>2.6666660000000002</v>
      </c>
      <c r="AB670">
        <v>16</v>
      </c>
      <c r="AC670" t="s">
        <v>59</v>
      </c>
      <c r="AD670" t="s">
        <v>112</v>
      </c>
      <c r="AE670">
        <v>0</v>
      </c>
      <c r="AF670">
        <v>0</v>
      </c>
      <c r="AG670">
        <v>2</v>
      </c>
      <c r="AH670">
        <v>2</v>
      </c>
      <c r="AI670">
        <v>0</v>
      </c>
      <c r="AJ670">
        <v>0</v>
      </c>
      <c r="AK670">
        <v>1</v>
      </c>
      <c r="AL670">
        <v>0</v>
      </c>
      <c r="AM670">
        <v>1</v>
      </c>
      <c r="AN670">
        <v>0</v>
      </c>
      <c r="AO670">
        <v>6</v>
      </c>
      <c r="AP670">
        <v>0</v>
      </c>
      <c r="AQ670">
        <v>100</v>
      </c>
      <c r="AR670" s="2">
        <v>45730.000694444447</v>
      </c>
      <c r="AS670" s="2">
        <v>45995.006354166668</v>
      </c>
      <c r="AT670" t="s">
        <v>61</v>
      </c>
      <c r="AU670" t="s">
        <v>62</v>
      </c>
      <c r="AV670">
        <v>265</v>
      </c>
    </row>
    <row r="671" spans="1:48" x14ac:dyDescent="0.25">
      <c r="A671">
        <v>244</v>
      </c>
      <c r="B671" t="s">
        <v>2678</v>
      </c>
      <c r="C671" t="s">
        <v>491</v>
      </c>
      <c r="D671" t="s">
        <v>1379</v>
      </c>
      <c r="E671" t="s">
        <v>2679</v>
      </c>
      <c r="F671" t="s">
        <v>2680</v>
      </c>
      <c r="G671" t="s">
        <v>53</v>
      </c>
      <c r="H671" s="1">
        <v>35253</v>
      </c>
      <c r="I671">
        <v>30</v>
      </c>
      <c r="J671">
        <v>1996</v>
      </c>
      <c r="K671" s="1">
        <v>46039</v>
      </c>
      <c r="L671">
        <v>2026</v>
      </c>
      <c r="M671" t="s">
        <v>54</v>
      </c>
      <c r="N671">
        <v>7</v>
      </c>
      <c r="O671" t="s">
        <v>231</v>
      </c>
      <c r="P671" t="s">
        <v>119</v>
      </c>
      <c r="Q671">
        <v>120</v>
      </c>
      <c r="R671">
        <v>3</v>
      </c>
      <c r="S671" t="s">
        <v>126</v>
      </c>
      <c r="T671" t="s">
        <v>127</v>
      </c>
      <c r="U671">
        <v>6</v>
      </c>
      <c r="V671">
        <v>6</v>
      </c>
      <c r="W671">
        <v>6</v>
      </c>
      <c r="X671">
        <v>5</v>
      </c>
      <c r="Y671">
        <v>2</v>
      </c>
      <c r="Z671">
        <v>5</v>
      </c>
      <c r="AA671">
        <v>2.2000000000000002</v>
      </c>
      <c r="AB671">
        <v>11</v>
      </c>
      <c r="AC671" t="s">
        <v>59</v>
      </c>
      <c r="AD671" t="s">
        <v>112</v>
      </c>
      <c r="AE671">
        <v>0</v>
      </c>
      <c r="AF671">
        <v>0</v>
      </c>
      <c r="AG671">
        <v>0</v>
      </c>
      <c r="AH671">
        <v>2</v>
      </c>
      <c r="AI671">
        <v>0</v>
      </c>
      <c r="AJ671">
        <v>0</v>
      </c>
      <c r="AK671">
        <v>2</v>
      </c>
      <c r="AL671">
        <v>0</v>
      </c>
      <c r="AM671">
        <v>1</v>
      </c>
      <c r="AN671">
        <v>0</v>
      </c>
      <c r="AO671">
        <v>5</v>
      </c>
      <c r="AP671">
        <v>0</v>
      </c>
      <c r="AQ671">
        <v>100</v>
      </c>
      <c r="AR671" s="2">
        <v>45855.371828703705</v>
      </c>
      <c r="AS671" s="2">
        <v>46028.693599537037</v>
      </c>
      <c r="AT671" t="s">
        <v>61</v>
      </c>
      <c r="AU671" t="s">
        <v>1357</v>
      </c>
      <c r="AV671">
        <v>173</v>
      </c>
    </row>
    <row r="672" spans="1:48" x14ac:dyDescent="0.25">
      <c r="A672">
        <v>357</v>
      </c>
      <c r="B672" t="s">
        <v>2681</v>
      </c>
      <c r="C672" t="s">
        <v>797</v>
      </c>
      <c r="D672" t="s">
        <v>391</v>
      </c>
      <c r="E672" t="s">
        <v>2682</v>
      </c>
      <c r="F672" t="s">
        <v>2683</v>
      </c>
      <c r="G672" t="s">
        <v>104</v>
      </c>
      <c r="H672" s="1">
        <v>38646</v>
      </c>
      <c r="I672">
        <v>21</v>
      </c>
      <c r="J672">
        <v>2005</v>
      </c>
      <c r="K672" s="1">
        <v>44780</v>
      </c>
      <c r="L672">
        <v>2022</v>
      </c>
      <c r="M672" t="s">
        <v>54</v>
      </c>
      <c r="N672">
        <v>5</v>
      </c>
      <c r="O672" t="s">
        <v>84</v>
      </c>
      <c r="P672" t="s">
        <v>56</v>
      </c>
      <c r="Q672">
        <v>36</v>
      </c>
      <c r="R672">
        <v>2</v>
      </c>
      <c r="S672" t="s">
        <v>85</v>
      </c>
      <c r="T672" t="s">
        <v>86</v>
      </c>
      <c r="U672">
        <v>6</v>
      </c>
      <c r="V672">
        <v>6</v>
      </c>
      <c r="W672">
        <v>6</v>
      </c>
      <c r="X672">
        <v>6</v>
      </c>
      <c r="Y672">
        <v>2</v>
      </c>
      <c r="Z672">
        <v>6</v>
      </c>
      <c r="AA672">
        <v>2.5833330000000001</v>
      </c>
      <c r="AB672">
        <v>15.5</v>
      </c>
      <c r="AC672" t="s">
        <v>59</v>
      </c>
      <c r="AD672" t="s">
        <v>60</v>
      </c>
      <c r="AE672">
        <v>1</v>
      </c>
      <c r="AF672">
        <v>0</v>
      </c>
      <c r="AG672">
        <v>1</v>
      </c>
      <c r="AH672">
        <v>0</v>
      </c>
      <c r="AI672">
        <v>0</v>
      </c>
      <c r="AJ672">
        <v>2</v>
      </c>
      <c r="AK672">
        <v>1</v>
      </c>
      <c r="AL672">
        <v>0</v>
      </c>
      <c r="AM672">
        <v>1</v>
      </c>
      <c r="AN672">
        <v>0</v>
      </c>
      <c r="AO672">
        <v>6</v>
      </c>
      <c r="AP672">
        <v>0</v>
      </c>
      <c r="AQ672">
        <v>100</v>
      </c>
      <c r="AR672" s="2">
        <v>45751.944074074076</v>
      </c>
      <c r="AS672" s="2">
        <v>46044.905740740738</v>
      </c>
      <c r="AT672" t="s">
        <v>61</v>
      </c>
      <c r="AU672" t="s">
        <v>62</v>
      </c>
      <c r="AV672">
        <v>293</v>
      </c>
    </row>
    <row r="673" spans="1:48" x14ac:dyDescent="0.25">
      <c r="A673">
        <v>918</v>
      </c>
      <c r="B673" t="s">
        <v>2684</v>
      </c>
      <c r="C673" t="s">
        <v>690</v>
      </c>
      <c r="D673" t="s">
        <v>122</v>
      </c>
      <c r="E673" t="s">
        <v>2685</v>
      </c>
      <c r="F673" t="s">
        <v>2686</v>
      </c>
      <c r="G673" t="s">
        <v>104</v>
      </c>
      <c r="H673" s="1">
        <v>38727</v>
      </c>
      <c r="I673">
        <v>20</v>
      </c>
      <c r="J673">
        <v>2006</v>
      </c>
      <c r="K673" s="1">
        <v>44950</v>
      </c>
      <c r="L673">
        <v>2023</v>
      </c>
      <c r="M673" t="s">
        <v>54</v>
      </c>
      <c r="N673">
        <v>5</v>
      </c>
      <c r="O673" t="s">
        <v>84</v>
      </c>
      <c r="P673" t="s">
        <v>56</v>
      </c>
      <c r="Q673">
        <v>36</v>
      </c>
      <c r="R673">
        <v>2</v>
      </c>
      <c r="S673" t="s">
        <v>85</v>
      </c>
      <c r="T673" t="s">
        <v>86</v>
      </c>
      <c r="U673">
        <v>6</v>
      </c>
      <c r="V673">
        <v>6</v>
      </c>
      <c r="W673">
        <v>6</v>
      </c>
      <c r="X673">
        <v>6</v>
      </c>
      <c r="Y673">
        <v>2</v>
      </c>
      <c r="Z673">
        <v>5</v>
      </c>
      <c r="AA673">
        <v>1.5</v>
      </c>
      <c r="AB673">
        <v>7.5</v>
      </c>
      <c r="AC673" t="s">
        <v>70</v>
      </c>
      <c r="AD673" t="s">
        <v>112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1</v>
      </c>
      <c r="AK673">
        <v>0</v>
      </c>
      <c r="AL673">
        <v>0</v>
      </c>
      <c r="AM673">
        <v>2</v>
      </c>
      <c r="AN673">
        <v>1</v>
      </c>
      <c r="AO673">
        <v>4</v>
      </c>
      <c r="AP673">
        <v>1</v>
      </c>
      <c r="AQ673">
        <v>80</v>
      </c>
      <c r="AR673" s="2">
        <v>45732.553680555553</v>
      </c>
      <c r="AS673" s="2">
        <v>46080.024502314816</v>
      </c>
      <c r="AT673" t="s">
        <v>1357</v>
      </c>
      <c r="AU673" t="s">
        <v>62</v>
      </c>
      <c r="AV673">
        <v>348</v>
      </c>
    </row>
    <row r="674" spans="1:48" x14ac:dyDescent="0.25">
      <c r="A674">
        <v>956</v>
      </c>
      <c r="B674" t="s">
        <v>2687</v>
      </c>
      <c r="C674" t="s">
        <v>107</v>
      </c>
      <c r="D674" t="s">
        <v>144</v>
      </c>
      <c r="E674" t="s">
        <v>2688</v>
      </c>
      <c r="F674" t="s">
        <v>2689</v>
      </c>
      <c r="G674" t="s">
        <v>53</v>
      </c>
      <c r="H674" s="1">
        <v>37354</v>
      </c>
      <c r="I674">
        <v>24</v>
      </c>
      <c r="J674">
        <v>2002</v>
      </c>
      <c r="K674" s="1">
        <v>44841</v>
      </c>
      <c r="L674">
        <v>2022</v>
      </c>
      <c r="M674" t="s">
        <v>54</v>
      </c>
      <c r="N674">
        <v>7</v>
      </c>
      <c r="O674" t="s">
        <v>231</v>
      </c>
      <c r="P674" t="s">
        <v>119</v>
      </c>
      <c r="Q674">
        <v>120</v>
      </c>
      <c r="R674">
        <v>3</v>
      </c>
      <c r="S674" t="s">
        <v>126</v>
      </c>
      <c r="T674" t="s">
        <v>127</v>
      </c>
      <c r="U674">
        <v>6</v>
      </c>
      <c r="V674">
        <v>6</v>
      </c>
      <c r="W674">
        <v>6</v>
      </c>
      <c r="X674">
        <v>6</v>
      </c>
      <c r="Y674">
        <v>2</v>
      </c>
      <c r="Z674">
        <v>5</v>
      </c>
      <c r="AA674">
        <v>1.9</v>
      </c>
      <c r="AB674">
        <v>9.5</v>
      </c>
      <c r="AC674" t="s">
        <v>70</v>
      </c>
      <c r="AD674" t="s">
        <v>60</v>
      </c>
      <c r="AE674">
        <v>1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2</v>
      </c>
      <c r="AO674">
        <v>3</v>
      </c>
      <c r="AP674">
        <v>2</v>
      </c>
      <c r="AQ674">
        <v>60</v>
      </c>
      <c r="AR674" s="2">
        <v>45739.173090277778</v>
      </c>
      <c r="AS674" s="2">
        <v>45966.599085648151</v>
      </c>
      <c r="AT674" t="s">
        <v>61</v>
      </c>
      <c r="AU674" t="s">
        <v>1357</v>
      </c>
      <c r="AV674">
        <v>227</v>
      </c>
    </row>
    <row r="675" spans="1:48" x14ac:dyDescent="0.25">
      <c r="A675">
        <v>636</v>
      </c>
      <c r="B675" t="s">
        <v>2690</v>
      </c>
      <c r="C675" t="s">
        <v>2691</v>
      </c>
      <c r="D675" t="s">
        <v>420</v>
      </c>
      <c r="E675" t="s">
        <v>2692</v>
      </c>
      <c r="F675" t="s">
        <v>2693</v>
      </c>
      <c r="G675" t="s">
        <v>104</v>
      </c>
      <c r="H675" s="1">
        <v>36187</v>
      </c>
      <c r="I675">
        <v>27</v>
      </c>
      <c r="J675">
        <v>1999</v>
      </c>
      <c r="K675" s="1">
        <v>45331</v>
      </c>
      <c r="L675">
        <v>2024</v>
      </c>
      <c r="M675" t="s">
        <v>54</v>
      </c>
      <c r="N675">
        <v>6</v>
      </c>
      <c r="O675" t="s">
        <v>133</v>
      </c>
      <c r="P675" t="s">
        <v>69</v>
      </c>
      <c r="Q675">
        <v>60</v>
      </c>
      <c r="R675">
        <v>2</v>
      </c>
      <c r="S675" t="s">
        <v>85</v>
      </c>
      <c r="T675" t="s">
        <v>86</v>
      </c>
      <c r="U675">
        <v>6</v>
      </c>
      <c r="V675">
        <v>6</v>
      </c>
      <c r="W675">
        <v>6</v>
      </c>
      <c r="X675">
        <v>6</v>
      </c>
      <c r="Y675">
        <v>2</v>
      </c>
      <c r="Z675">
        <v>6</v>
      </c>
      <c r="AA675">
        <v>2.6666660000000002</v>
      </c>
      <c r="AB675">
        <v>16</v>
      </c>
      <c r="AC675" t="s">
        <v>59</v>
      </c>
      <c r="AD675" t="s">
        <v>60</v>
      </c>
      <c r="AE675">
        <v>1</v>
      </c>
      <c r="AF675">
        <v>0</v>
      </c>
      <c r="AG675">
        <v>2</v>
      </c>
      <c r="AH675">
        <v>0</v>
      </c>
      <c r="AI675">
        <v>0</v>
      </c>
      <c r="AJ675">
        <v>0</v>
      </c>
      <c r="AK675">
        <v>2</v>
      </c>
      <c r="AL675">
        <v>0</v>
      </c>
      <c r="AM675">
        <v>1</v>
      </c>
      <c r="AN675">
        <v>0</v>
      </c>
      <c r="AO675">
        <v>6</v>
      </c>
      <c r="AP675">
        <v>0</v>
      </c>
      <c r="AQ675">
        <v>100</v>
      </c>
      <c r="AR675" s="2">
        <v>45822.103900462964</v>
      </c>
      <c r="AS675" s="2">
        <v>46070.605046296296</v>
      </c>
      <c r="AT675" t="s">
        <v>61</v>
      </c>
      <c r="AU675" t="s">
        <v>62</v>
      </c>
      <c r="AV675">
        <v>248</v>
      </c>
    </row>
    <row r="676" spans="1:48" x14ac:dyDescent="0.25">
      <c r="A676">
        <v>366</v>
      </c>
      <c r="B676" t="s">
        <v>2694</v>
      </c>
      <c r="C676" t="s">
        <v>1514</v>
      </c>
      <c r="D676" t="s">
        <v>2695</v>
      </c>
      <c r="E676" t="s">
        <v>2696</v>
      </c>
      <c r="F676" t="s">
        <v>2697</v>
      </c>
      <c r="G676" t="s">
        <v>104</v>
      </c>
      <c r="H676" s="1">
        <v>38832</v>
      </c>
      <c r="I676">
        <v>20</v>
      </c>
      <c r="J676">
        <v>2006</v>
      </c>
      <c r="K676" s="1">
        <v>45339</v>
      </c>
      <c r="L676">
        <v>2024</v>
      </c>
      <c r="M676" t="s">
        <v>111</v>
      </c>
      <c r="N676">
        <v>17</v>
      </c>
      <c r="O676" t="s">
        <v>350</v>
      </c>
      <c r="P676" t="s">
        <v>56</v>
      </c>
      <c r="Q676">
        <v>36</v>
      </c>
      <c r="R676">
        <v>6</v>
      </c>
      <c r="S676" t="s">
        <v>140</v>
      </c>
      <c r="T676" t="s">
        <v>141</v>
      </c>
      <c r="U676">
        <v>6</v>
      </c>
      <c r="V676">
        <v>6</v>
      </c>
      <c r="W676">
        <v>6</v>
      </c>
      <c r="X676">
        <v>6</v>
      </c>
      <c r="Y676">
        <v>2</v>
      </c>
      <c r="Z676">
        <v>4</v>
      </c>
      <c r="AA676">
        <v>2.875</v>
      </c>
      <c r="AB676">
        <v>11.5</v>
      </c>
      <c r="AC676" t="s">
        <v>540</v>
      </c>
      <c r="AD676" t="s">
        <v>112</v>
      </c>
      <c r="AE676">
        <v>0</v>
      </c>
      <c r="AF676">
        <v>0</v>
      </c>
      <c r="AG676">
        <v>0</v>
      </c>
      <c r="AH676">
        <v>3</v>
      </c>
      <c r="AI676">
        <v>0</v>
      </c>
      <c r="AJ676">
        <v>1</v>
      </c>
      <c r="AK676">
        <v>0</v>
      </c>
      <c r="AL676">
        <v>0</v>
      </c>
      <c r="AM676">
        <v>0</v>
      </c>
      <c r="AN676">
        <v>0</v>
      </c>
      <c r="AO676">
        <v>4</v>
      </c>
      <c r="AP676">
        <v>0</v>
      </c>
      <c r="AQ676">
        <v>100</v>
      </c>
      <c r="AR676" s="2">
        <v>45751.941516203704</v>
      </c>
      <c r="AS676" s="2">
        <v>46032.006006944444</v>
      </c>
      <c r="AT676" t="s">
        <v>1357</v>
      </c>
      <c r="AU676" t="s">
        <v>62</v>
      </c>
      <c r="AV676">
        <v>281</v>
      </c>
    </row>
    <row r="677" spans="1:48" x14ac:dyDescent="0.25">
      <c r="A677">
        <v>796</v>
      </c>
      <c r="B677" t="s">
        <v>2698</v>
      </c>
      <c r="C677" t="s">
        <v>2699</v>
      </c>
      <c r="D677" t="s">
        <v>2700</v>
      </c>
      <c r="E677" t="s">
        <v>2701</v>
      </c>
      <c r="F677" t="s">
        <v>2702</v>
      </c>
      <c r="G677" t="s">
        <v>53</v>
      </c>
      <c r="H677" s="1">
        <v>34771</v>
      </c>
      <c r="I677">
        <v>31</v>
      </c>
      <c r="J677">
        <v>1995</v>
      </c>
      <c r="K677" s="1">
        <v>46064</v>
      </c>
      <c r="L677">
        <v>2026</v>
      </c>
      <c r="M677" t="s">
        <v>111</v>
      </c>
      <c r="N677">
        <v>18</v>
      </c>
      <c r="O677" t="s">
        <v>139</v>
      </c>
      <c r="P677" t="s">
        <v>69</v>
      </c>
      <c r="Q677">
        <v>60</v>
      </c>
      <c r="R677">
        <v>6</v>
      </c>
      <c r="S677" t="s">
        <v>140</v>
      </c>
      <c r="T677" t="s">
        <v>141</v>
      </c>
      <c r="U677">
        <v>6</v>
      </c>
      <c r="V677">
        <v>6</v>
      </c>
      <c r="W677">
        <v>6</v>
      </c>
      <c r="X677">
        <v>5</v>
      </c>
      <c r="Y677">
        <v>2</v>
      </c>
      <c r="Z677">
        <v>6</v>
      </c>
      <c r="AA677">
        <v>1.75</v>
      </c>
      <c r="AB677">
        <v>10.5</v>
      </c>
      <c r="AC677" t="s">
        <v>70</v>
      </c>
      <c r="AD677" t="s">
        <v>60</v>
      </c>
      <c r="AE677">
        <v>1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1</v>
      </c>
      <c r="AL677">
        <v>0</v>
      </c>
      <c r="AM677">
        <v>1</v>
      </c>
      <c r="AN677">
        <v>2</v>
      </c>
      <c r="AO677">
        <v>4</v>
      </c>
      <c r="AP677">
        <v>2</v>
      </c>
      <c r="AQ677">
        <v>66.666666666666003</v>
      </c>
      <c r="AR677" s="2">
        <v>45726.182800925926</v>
      </c>
      <c r="AS677" s="2">
        <v>45996.580381944441</v>
      </c>
      <c r="AT677" t="s">
        <v>61</v>
      </c>
      <c r="AU677" t="s">
        <v>62</v>
      </c>
      <c r="AV677">
        <v>270</v>
      </c>
    </row>
    <row r="678" spans="1:48" x14ac:dyDescent="0.25">
      <c r="A678">
        <v>571</v>
      </c>
      <c r="B678" t="s">
        <v>2703</v>
      </c>
      <c r="C678" t="s">
        <v>1714</v>
      </c>
      <c r="D678" t="s">
        <v>2704</v>
      </c>
      <c r="E678" t="s">
        <v>2705</v>
      </c>
      <c r="F678" t="s">
        <v>2706</v>
      </c>
      <c r="G678" t="s">
        <v>53</v>
      </c>
      <c r="H678" s="1">
        <v>35450</v>
      </c>
      <c r="I678">
        <v>29</v>
      </c>
      <c r="J678">
        <v>1997</v>
      </c>
      <c r="K678" s="1">
        <v>45096</v>
      </c>
      <c r="L678">
        <v>2023</v>
      </c>
      <c r="M678" t="s">
        <v>111</v>
      </c>
      <c r="N678">
        <v>21</v>
      </c>
      <c r="O678" t="s">
        <v>339</v>
      </c>
      <c r="P678" t="s">
        <v>69</v>
      </c>
      <c r="Q678">
        <v>60</v>
      </c>
      <c r="R678">
        <v>7</v>
      </c>
      <c r="S678" t="s">
        <v>163</v>
      </c>
      <c r="T678" t="s">
        <v>164</v>
      </c>
      <c r="U678">
        <v>6</v>
      </c>
      <c r="V678">
        <v>6</v>
      </c>
      <c r="W678">
        <v>6</v>
      </c>
      <c r="X678">
        <v>6</v>
      </c>
      <c r="Y678">
        <v>2</v>
      </c>
      <c r="Z678">
        <v>6</v>
      </c>
      <c r="AA678">
        <v>2.3333330000000001</v>
      </c>
      <c r="AB678">
        <v>14</v>
      </c>
      <c r="AC678" t="s">
        <v>70</v>
      </c>
      <c r="AD678" t="s">
        <v>281</v>
      </c>
      <c r="AE678">
        <v>0</v>
      </c>
      <c r="AF678">
        <v>0</v>
      </c>
      <c r="AG678">
        <v>2</v>
      </c>
      <c r="AH678">
        <v>0</v>
      </c>
      <c r="AI678">
        <v>0</v>
      </c>
      <c r="AJ678">
        <v>2</v>
      </c>
      <c r="AK678">
        <v>1</v>
      </c>
      <c r="AL678">
        <v>0</v>
      </c>
      <c r="AM678">
        <v>0</v>
      </c>
      <c r="AN678">
        <v>1</v>
      </c>
      <c r="AO678">
        <v>5</v>
      </c>
      <c r="AP678">
        <v>1</v>
      </c>
      <c r="AQ678">
        <v>83.333333333333002</v>
      </c>
      <c r="AR678" s="2">
        <v>45785.783541666664</v>
      </c>
      <c r="AS678" s="2">
        <v>46006.318078703705</v>
      </c>
      <c r="AT678" t="s">
        <v>61</v>
      </c>
      <c r="AU678" t="s">
        <v>1357</v>
      </c>
      <c r="AV678">
        <v>221</v>
      </c>
    </row>
    <row r="679" spans="1:48" x14ac:dyDescent="0.25">
      <c r="A679">
        <v>604</v>
      </c>
      <c r="B679" t="s">
        <v>2707</v>
      </c>
      <c r="C679" t="s">
        <v>1480</v>
      </c>
      <c r="D679" t="s">
        <v>1100</v>
      </c>
      <c r="E679" t="s">
        <v>2708</v>
      </c>
      <c r="F679" t="s">
        <v>2709</v>
      </c>
      <c r="G679" t="s">
        <v>104</v>
      </c>
      <c r="H679" s="1">
        <v>36033</v>
      </c>
      <c r="I679">
        <v>28</v>
      </c>
      <c r="J679">
        <v>1998</v>
      </c>
      <c r="K679" s="1">
        <v>45328</v>
      </c>
      <c r="L679">
        <v>2024</v>
      </c>
      <c r="M679" t="s">
        <v>54</v>
      </c>
      <c r="N679">
        <v>7</v>
      </c>
      <c r="O679" t="s">
        <v>231</v>
      </c>
      <c r="P679" t="s">
        <v>119</v>
      </c>
      <c r="Q679">
        <v>120</v>
      </c>
      <c r="R679">
        <v>3</v>
      </c>
      <c r="S679" t="s">
        <v>126</v>
      </c>
      <c r="T679" t="s">
        <v>127</v>
      </c>
      <c r="U679">
        <v>6</v>
      </c>
      <c r="V679">
        <v>6</v>
      </c>
      <c r="W679">
        <v>6</v>
      </c>
      <c r="X679">
        <v>6</v>
      </c>
      <c r="Y679">
        <v>2</v>
      </c>
      <c r="Z679">
        <v>6</v>
      </c>
      <c r="AA679">
        <v>2.5833330000000001</v>
      </c>
      <c r="AB679">
        <v>15.5</v>
      </c>
      <c r="AC679" t="s">
        <v>59</v>
      </c>
      <c r="AD679" t="s">
        <v>60</v>
      </c>
      <c r="AE679">
        <v>1</v>
      </c>
      <c r="AF679">
        <v>0</v>
      </c>
      <c r="AG679">
        <v>1</v>
      </c>
      <c r="AH679">
        <v>1</v>
      </c>
      <c r="AI679">
        <v>0</v>
      </c>
      <c r="AJ679">
        <v>0</v>
      </c>
      <c r="AK679">
        <v>2</v>
      </c>
      <c r="AL679">
        <v>0</v>
      </c>
      <c r="AM679">
        <v>1</v>
      </c>
      <c r="AN679">
        <v>0</v>
      </c>
      <c r="AO679">
        <v>6</v>
      </c>
      <c r="AP679">
        <v>0</v>
      </c>
      <c r="AQ679">
        <v>100</v>
      </c>
      <c r="AR679" s="2">
        <v>45731.028506944444</v>
      </c>
      <c r="AS679" s="2">
        <v>46046.561736111114</v>
      </c>
      <c r="AT679" t="s">
        <v>61</v>
      </c>
      <c r="AU679" t="s">
        <v>62</v>
      </c>
      <c r="AV679">
        <v>315</v>
      </c>
    </row>
    <row r="680" spans="1:48" x14ac:dyDescent="0.25">
      <c r="A680">
        <v>830</v>
      </c>
      <c r="B680" t="s">
        <v>2710</v>
      </c>
      <c r="C680" t="s">
        <v>227</v>
      </c>
      <c r="D680" t="s">
        <v>1215</v>
      </c>
      <c r="E680" t="s">
        <v>2711</v>
      </c>
      <c r="F680">
        <v>4725801234</v>
      </c>
      <c r="G680" t="s">
        <v>53</v>
      </c>
      <c r="H680" s="1">
        <v>38087</v>
      </c>
      <c r="I680">
        <v>22</v>
      </c>
      <c r="J680">
        <v>2004</v>
      </c>
      <c r="K680" s="1">
        <v>45651</v>
      </c>
      <c r="L680">
        <v>2024</v>
      </c>
      <c r="M680" t="s">
        <v>54</v>
      </c>
      <c r="N680">
        <v>8</v>
      </c>
      <c r="O680" t="s">
        <v>125</v>
      </c>
      <c r="P680" t="s">
        <v>56</v>
      </c>
      <c r="Q680">
        <v>36</v>
      </c>
      <c r="R680">
        <v>3</v>
      </c>
      <c r="S680" t="s">
        <v>126</v>
      </c>
      <c r="T680" t="s">
        <v>127</v>
      </c>
      <c r="U680">
        <v>6</v>
      </c>
      <c r="V680">
        <v>6</v>
      </c>
      <c r="W680">
        <v>6</v>
      </c>
      <c r="X680">
        <v>6</v>
      </c>
      <c r="Y680">
        <v>2</v>
      </c>
      <c r="Z680">
        <v>5</v>
      </c>
      <c r="AA680">
        <v>0.6</v>
      </c>
      <c r="AB680">
        <v>3</v>
      </c>
      <c r="AC680" t="s">
        <v>70</v>
      </c>
      <c r="AD680" t="s">
        <v>59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3</v>
      </c>
      <c r="AN680">
        <v>2</v>
      </c>
      <c r="AO680">
        <v>3</v>
      </c>
      <c r="AP680">
        <v>2</v>
      </c>
      <c r="AQ680">
        <v>60</v>
      </c>
      <c r="AR680" s="2">
        <v>45797.789583333331</v>
      </c>
      <c r="AS680" s="2">
        <v>46076.329652777778</v>
      </c>
      <c r="AT680" t="s">
        <v>61</v>
      </c>
      <c r="AU680" t="s">
        <v>1357</v>
      </c>
      <c r="AV680">
        <v>279</v>
      </c>
    </row>
    <row r="681" spans="1:48" x14ac:dyDescent="0.25">
      <c r="A681">
        <v>119</v>
      </c>
      <c r="B681" t="s">
        <v>2712</v>
      </c>
      <c r="C681" t="s">
        <v>153</v>
      </c>
      <c r="D681" t="s">
        <v>820</v>
      </c>
      <c r="E681" t="s">
        <v>2713</v>
      </c>
      <c r="F681" t="s">
        <v>2714</v>
      </c>
      <c r="G681" t="s">
        <v>104</v>
      </c>
      <c r="H681" s="1">
        <v>36190</v>
      </c>
      <c r="I681">
        <v>27</v>
      </c>
      <c r="J681">
        <v>1999</v>
      </c>
      <c r="K681" s="1">
        <v>44714</v>
      </c>
      <c r="L681">
        <v>2022</v>
      </c>
      <c r="M681" t="s">
        <v>54</v>
      </c>
      <c r="N681">
        <v>19</v>
      </c>
      <c r="O681" t="s">
        <v>162</v>
      </c>
      <c r="P681" t="s">
        <v>119</v>
      </c>
      <c r="Q681">
        <v>120</v>
      </c>
      <c r="R681">
        <v>7</v>
      </c>
      <c r="S681" t="s">
        <v>163</v>
      </c>
      <c r="T681" t="s">
        <v>164</v>
      </c>
      <c r="U681">
        <v>6</v>
      </c>
      <c r="V681">
        <v>6</v>
      </c>
      <c r="W681">
        <v>6</v>
      </c>
      <c r="X681">
        <v>6</v>
      </c>
      <c r="Y681">
        <v>2</v>
      </c>
      <c r="Z681">
        <v>6</v>
      </c>
      <c r="AA681">
        <v>2</v>
      </c>
      <c r="AB681">
        <v>12</v>
      </c>
      <c r="AC681" t="s">
        <v>70</v>
      </c>
      <c r="AD681" t="s">
        <v>281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3</v>
      </c>
      <c r="AK681">
        <v>0</v>
      </c>
      <c r="AL681">
        <v>0</v>
      </c>
      <c r="AM681">
        <v>1</v>
      </c>
      <c r="AN681">
        <v>1</v>
      </c>
      <c r="AO681">
        <v>5</v>
      </c>
      <c r="AP681">
        <v>1</v>
      </c>
      <c r="AQ681">
        <v>83.333333333333002</v>
      </c>
      <c r="AR681" s="2">
        <v>45747.074942129628</v>
      </c>
      <c r="AS681" s="2">
        <v>45975.124594907407</v>
      </c>
      <c r="AT681" t="s">
        <v>61</v>
      </c>
      <c r="AU681" t="s">
        <v>62</v>
      </c>
      <c r="AV681">
        <v>228</v>
      </c>
    </row>
    <row r="682" spans="1:48" x14ac:dyDescent="0.25">
      <c r="A682">
        <v>746</v>
      </c>
      <c r="B682" t="s">
        <v>1263</v>
      </c>
      <c r="C682" t="s">
        <v>575</v>
      </c>
      <c r="D682" t="s">
        <v>636</v>
      </c>
      <c r="E682" t="s">
        <v>2715</v>
      </c>
      <c r="F682" t="s">
        <v>2716</v>
      </c>
      <c r="G682" t="s">
        <v>53</v>
      </c>
      <c r="H682" s="1">
        <v>38454</v>
      </c>
      <c r="I682">
        <v>21</v>
      </c>
      <c r="J682">
        <v>2005</v>
      </c>
      <c r="K682" s="1">
        <v>44909</v>
      </c>
      <c r="L682">
        <v>2022</v>
      </c>
      <c r="M682" t="s">
        <v>54</v>
      </c>
      <c r="N682">
        <v>11</v>
      </c>
      <c r="O682" t="s">
        <v>378</v>
      </c>
      <c r="P682" t="s">
        <v>56</v>
      </c>
      <c r="Q682">
        <v>36</v>
      </c>
      <c r="R682">
        <v>4</v>
      </c>
      <c r="S682" t="s">
        <v>77</v>
      </c>
      <c r="T682" t="s">
        <v>78</v>
      </c>
      <c r="U682">
        <v>6</v>
      </c>
      <c r="V682">
        <v>6</v>
      </c>
      <c r="W682">
        <v>6</v>
      </c>
      <c r="X682">
        <v>6</v>
      </c>
      <c r="Y682">
        <v>2</v>
      </c>
      <c r="Z682">
        <v>5</v>
      </c>
      <c r="AA682">
        <v>1.8</v>
      </c>
      <c r="AB682">
        <v>9</v>
      </c>
      <c r="AC682" t="s">
        <v>70</v>
      </c>
      <c r="AD682" t="s">
        <v>112</v>
      </c>
      <c r="AE682">
        <v>0</v>
      </c>
      <c r="AF682">
        <v>0</v>
      </c>
      <c r="AG682">
        <v>0</v>
      </c>
      <c r="AH682">
        <v>3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2</v>
      </c>
      <c r="AO682">
        <v>3</v>
      </c>
      <c r="AP682">
        <v>2</v>
      </c>
      <c r="AQ682">
        <v>60</v>
      </c>
      <c r="AR682" s="2">
        <v>45777.711168981485</v>
      </c>
      <c r="AS682" s="2">
        <v>46057.938715277778</v>
      </c>
      <c r="AT682" t="s">
        <v>1357</v>
      </c>
      <c r="AU682" t="s">
        <v>62</v>
      </c>
      <c r="AV682">
        <v>280</v>
      </c>
    </row>
    <row r="683" spans="1:48" x14ac:dyDescent="0.25">
      <c r="A683">
        <v>338</v>
      </c>
      <c r="B683" t="s">
        <v>2717</v>
      </c>
      <c r="C683" t="s">
        <v>88</v>
      </c>
      <c r="D683" t="s">
        <v>2718</v>
      </c>
      <c r="E683" t="s">
        <v>2719</v>
      </c>
      <c r="F683" t="s">
        <v>2720</v>
      </c>
      <c r="G683" t="s">
        <v>53</v>
      </c>
      <c r="H683" s="1">
        <v>36780</v>
      </c>
      <c r="I683">
        <v>26</v>
      </c>
      <c r="J683">
        <v>2000</v>
      </c>
      <c r="K683" s="1">
        <v>44635</v>
      </c>
      <c r="L683">
        <v>2022</v>
      </c>
      <c r="M683" t="s">
        <v>54</v>
      </c>
      <c r="N683">
        <v>16</v>
      </c>
      <c r="O683" t="s">
        <v>280</v>
      </c>
      <c r="P683" t="s">
        <v>119</v>
      </c>
      <c r="Q683">
        <v>120</v>
      </c>
      <c r="R683">
        <v>6</v>
      </c>
      <c r="S683" t="s">
        <v>140</v>
      </c>
      <c r="T683" t="s">
        <v>141</v>
      </c>
      <c r="U683">
        <v>5</v>
      </c>
      <c r="V683">
        <v>6</v>
      </c>
      <c r="W683">
        <v>6</v>
      </c>
      <c r="X683">
        <v>6</v>
      </c>
      <c r="Y683">
        <v>2</v>
      </c>
      <c r="Z683">
        <v>6</v>
      </c>
      <c r="AA683">
        <v>2.9166660000000002</v>
      </c>
      <c r="AB683">
        <v>17.5</v>
      </c>
      <c r="AC683" t="s">
        <v>540</v>
      </c>
      <c r="AD683" t="s">
        <v>60</v>
      </c>
      <c r="AE683">
        <v>2</v>
      </c>
      <c r="AF683">
        <v>0</v>
      </c>
      <c r="AG683">
        <v>0</v>
      </c>
      <c r="AH683">
        <v>1</v>
      </c>
      <c r="AI683">
        <v>0</v>
      </c>
      <c r="AJ683">
        <v>1</v>
      </c>
      <c r="AK683">
        <v>2</v>
      </c>
      <c r="AL683">
        <v>0</v>
      </c>
      <c r="AM683">
        <v>0</v>
      </c>
      <c r="AN683">
        <v>0</v>
      </c>
      <c r="AO683">
        <v>6</v>
      </c>
      <c r="AP683">
        <v>0</v>
      </c>
      <c r="AQ683">
        <v>100</v>
      </c>
      <c r="AR683" s="2">
        <v>45742.730798611112</v>
      </c>
      <c r="AS683" s="2">
        <v>46056.034444444442</v>
      </c>
      <c r="AT683" t="s">
        <v>61</v>
      </c>
      <c r="AU683" t="s">
        <v>62</v>
      </c>
      <c r="AV683">
        <v>314</v>
      </c>
    </row>
    <row r="684" spans="1:48" x14ac:dyDescent="0.25">
      <c r="A684">
        <v>776</v>
      </c>
      <c r="B684" t="s">
        <v>2721</v>
      </c>
      <c r="C684" t="s">
        <v>793</v>
      </c>
      <c r="D684" t="s">
        <v>562</v>
      </c>
      <c r="E684" t="s">
        <v>2722</v>
      </c>
      <c r="F684" t="s">
        <v>2723</v>
      </c>
      <c r="G684" t="s">
        <v>104</v>
      </c>
      <c r="H684" s="1">
        <v>36620</v>
      </c>
      <c r="I684">
        <v>26</v>
      </c>
      <c r="J684">
        <v>2000</v>
      </c>
      <c r="K684" s="1">
        <v>44857</v>
      </c>
      <c r="L684">
        <v>2022</v>
      </c>
      <c r="M684" t="s">
        <v>111</v>
      </c>
      <c r="N684">
        <v>20</v>
      </c>
      <c r="O684" t="s">
        <v>180</v>
      </c>
      <c r="P684" t="s">
        <v>56</v>
      </c>
      <c r="Q684">
        <v>36</v>
      </c>
      <c r="R684">
        <v>7</v>
      </c>
      <c r="S684" t="s">
        <v>163</v>
      </c>
      <c r="T684" t="s">
        <v>164</v>
      </c>
      <c r="U684">
        <v>6</v>
      </c>
      <c r="V684">
        <v>6</v>
      </c>
      <c r="W684">
        <v>6</v>
      </c>
      <c r="X684">
        <v>6</v>
      </c>
      <c r="Y684">
        <v>2</v>
      </c>
      <c r="Z684">
        <v>6</v>
      </c>
      <c r="AA684">
        <v>2.8333330000000001</v>
      </c>
      <c r="AB684">
        <v>17</v>
      </c>
      <c r="AC684" t="s">
        <v>59</v>
      </c>
      <c r="AD684" t="s">
        <v>60</v>
      </c>
      <c r="AE684">
        <v>2</v>
      </c>
      <c r="AF684">
        <v>0</v>
      </c>
      <c r="AG684">
        <v>1</v>
      </c>
      <c r="AH684">
        <v>0</v>
      </c>
      <c r="AI684">
        <v>0</v>
      </c>
      <c r="AJ684">
        <v>1</v>
      </c>
      <c r="AK684">
        <v>1</v>
      </c>
      <c r="AL684">
        <v>0</v>
      </c>
      <c r="AM684">
        <v>1</v>
      </c>
      <c r="AN684">
        <v>0</v>
      </c>
      <c r="AO684">
        <v>6</v>
      </c>
      <c r="AP684">
        <v>0</v>
      </c>
      <c r="AQ684">
        <v>100</v>
      </c>
      <c r="AR684" s="2">
        <v>45771.5778125</v>
      </c>
      <c r="AS684" s="2">
        <v>46082.119305555556</v>
      </c>
      <c r="AT684" t="s">
        <v>1357</v>
      </c>
      <c r="AU684" t="s">
        <v>62</v>
      </c>
      <c r="AV684">
        <v>311</v>
      </c>
    </row>
    <row r="685" spans="1:48" x14ac:dyDescent="0.25">
      <c r="A685">
        <v>649</v>
      </c>
      <c r="B685" t="s">
        <v>2724</v>
      </c>
      <c r="C685" t="s">
        <v>64</v>
      </c>
      <c r="D685" t="s">
        <v>2725</v>
      </c>
      <c r="E685" t="s">
        <v>2726</v>
      </c>
      <c r="F685" t="s">
        <v>2727</v>
      </c>
      <c r="G685" t="s">
        <v>53</v>
      </c>
      <c r="H685" s="1">
        <v>35881</v>
      </c>
      <c r="I685">
        <v>28</v>
      </c>
      <c r="J685">
        <v>1998</v>
      </c>
      <c r="K685" s="1">
        <v>44731</v>
      </c>
      <c r="L685">
        <v>2022</v>
      </c>
      <c r="M685" t="s">
        <v>54</v>
      </c>
      <c r="N685">
        <v>21</v>
      </c>
      <c r="O685" t="s">
        <v>339</v>
      </c>
      <c r="P685" t="s">
        <v>69</v>
      </c>
      <c r="Q685">
        <v>60</v>
      </c>
      <c r="R685">
        <v>7</v>
      </c>
      <c r="S685" t="s">
        <v>163</v>
      </c>
      <c r="T685" t="s">
        <v>164</v>
      </c>
      <c r="U685">
        <v>6</v>
      </c>
      <c r="V685">
        <v>6</v>
      </c>
      <c r="W685">
        <v>6</v>
      </c>
      <c r="X685">
        <v>5</v>
      </c>
      <c r="Y685">
        <v>2</v>
      </c>
      <c r="Z685">
        <v>5</v>
      </c>
      <c r="AA685">
        <v>2.1</v>
      </c>
      <c r="AB685">
        <v>10.5</v>
      </c>
      <c r="AC685" t="s">
        <v>70</v>
      </c>
      <c r="AD685" t="s">
        <v>60</v>
      </c>
      <c r="AE685">
        <v>1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1</v>
      </c>
      <c r="AL685">
        <v>0</v>
      </c>
      <c r="AM685">
        <v>1</v>
      </c>
      <c r="AN685">
        <v>1</v>
      </c>
      <c r="AO685">
        <v>4</v>
      </c>
      <c r="AP685">
        <v>1</v>
      </c>
      <c r="AQ685">
        <v>80</v>
      </c>
      <c r="AR685" s="2">
        <v>45732.230092592596</v>
      </c>
      <c r="AS685" s="2">
        <v>45985.541909722226</v>
      </c>
      <c r="AT685" t="s">
        <v>61</v>
      </c>
      <c r="AU685" t="s">
        <v>1357</v>
      </c>
      <c r="AV685">
        <v>253</v>
      </c>
    </row>
    <row r="686" spans="1:48" x14ac:dyDescent="0.25">
      <c r="A686">
        <v>798</v>
      </c>
      <c r="B686" t="s">
        <v>2728</v>
      </c>
      <c r="C686" t="s">
        <v>355</v>
      </c>
      <c r="D686" t="s">
        <v>2729</v>
      </c>
      <c r="E686" t="s">
        <v>2730</v>
      </c>
      <c r="F686" t="s">
        <v>2731</v>
      </c>
      <c r="G686" t="s">
        <v>104</v>
      </c>
      <c r="H686" s="1">
        <v>38006</v>
      </c>
      <c r="I686">
        <v>22</v>
      </c>
      <c r="J686">
        <v>2004</v>
      </c>
      <c r="K686" s="1">
        <v>45487</v>
      </c>
      <c r="L686">
        <v>2024</v>
      </c>
      <c r="M686" t="s">
        <v>54</v>
      </c>
      <c r="N686">
        <v>1</v>
      </c>
      <c r="O686" t="s">
        <v>157</v>
      </c>
      <c r="P686" t="s">
        <v>119</v>
      </c>
      <c r="Q686">
        <v>120</v>
      </c>
      <c r="R686">
        <v>1</v>
      </c>
      <c r="S686" t="s">
        <v>57</v>
      </c>
      <c r="T686" t="s">
        <v>58</v>
      </c>
      <c r="U686">
        <v>5</v>
      </c>
      <c r="V686">
        <v>5</v>
      </c>
      <c r="W686">
        <v>5</v>
      </c>
      <c r="X686">
        <v>5</v>
      </c>
      <c r="Y686">
        <v>1</v>
      </c>
      <c r="Z686">
        <v>5</v>
      </c>
      <c r="AA686">
        <v>2.4</v>
      </c>
      <c r="AB686">
        <v>12</v>
      </c>
      <c r="AC686" t="s">
        <v>59</v>
      </c>
      <c r="AD686" t="s">
        <v>112</v>
      </c>
      <c r="AE686">
        <v>0</v>
      </c>
      <c r="AF686">
        <v>0</v>
      </c>
      <c r="AG686">
        <v>1</v>
      </c>
      <c r="AH686">
        <v>1</v>
      </c>
      <c r="AI686">
        <v>0</v>
      </c>
      <c r="AJ686">
        <v>1</v>
      </c>
      <c r="AK686">
        <v>1</v>
      </c>
      <c r="AL686">
        <v>0</v>
      </c>
      <c r="AM686">
        <v>1</v>
      </c>
      <c r="AN686">
        <v>0</v>
      </c>
      <c r="AO686">
        <v>5</v>
      </c>
      <c r="AP686">
        <v>0</v>
      </c>
      <c r="AQ686">
        <v>100</v>
      </c>
      <c r="AR686" s="2">
        <v>45903.354456018518</v>
      </c>
      <c r="AS686" s="2">
        <v>46080.643553240741</v>
      </c>
      <c r="AT686" t="s">
        <v>61</v>
      </c>
      <c r="AU686" t="s">
        <v>61</v>
      </c>
      <c r="AV686">
        <v>177</v>
      </c>
    </row>
    <row r="687" spans="1:48" x14ac:dyDescent="0.25">
      <c r="A687">
        <v>794</v>
      </c>
      <c r="B687" t="s">
        <v>2732</v>
      </c>
      <c r="C687" t="s">
        <v>561</v>
      </c>
      <c r="D687" t="s">
        <v>89</v>
      </c>
      <c r="E687" t="s">
        <v>2733</v>
      </c>
      <c r="F687" t="s">
        <v>2734</v>
      </c>
      <c r="G687" t="s">
        <v>53</v>
      </c>
      <c r="H687" s="1">
        <v>35186</v>
      </c>
      <c r="I687">
        <v>30</v>
      </c>
      <c r="J687">
        <v>1996</v>
      </c>
      <c r="K687" s="1">
        <v>46007</v>
      </c>
      <c r="L687">
        <v>2025</v>
      </c>
      <c r="M687" t="s">
        <v>54</v>
      </c>
      <c r="N687">
        <v>11</v>
      </c>
      <c r="O687" t="s">
        <v>378</v>
      </c>
      <c r="P687" t="s">
        <v>56</v>
      </c>
      <c r="Q687">
        <v>36</v>
      </c>
      <c r="R687">
        <v>4</v>
      </c>
      <c r="S687" t="s">
        <v>77</v>
      </c>
      <c r="T687" t="s">
        <v>78</v>
      </c>
      <c r="U687">
        <v>5</v>
      </c>
      <c r="V687">
        <v>5</v>
      </c>
      <c r="W687">
        <v>5</v>
      </c>
      <c r="X687">
        <v>5</v>
      </c>
      <c r="Y687">
        <v>1</v>
      </c>
      <c r="Z687">
        <v>3</v>
      </c>
      <c r="AA687">
        <v>1.8333330000000001</v>
      </c>
      <c r="AB687">
        <v>5.5</v>
      </c>
      <c r="AC687" t="s">
        <v>59</v>
      </c>
      <c r="AD687" t="s">
        <v>1061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1</v>
      </c>
      <c r="AL687">
        <v>0</v>
      </c>
      <c r="AM687">
        <v>1</v>
      </c>
      <c r="AN687">
        <v>0</v>
      </c>
      <c r="AO687">
        <v>3</v>
      </c>
      <c r="AP687">
        <v>0</v>
      </c>
      <c r="AQ687">
        <v>100</v>
      </c>
      <c r="AR687" s="2">
        <v>45895.087268518517</v>
      </c>
      <c r="AS687" s="2">
        <v>46029.86204861111</v>
      </c>
      <c r="AT687" t="s">
        <v>1357</v>
      </c>
      <c r="AU687" t="s">
        <v>1357</v>
      </c>
      <c r="AV687">
        <v>134</v>
      </c>
    </row>
    <row r="688" spans="1:48" x14ac:dyDescent="0.25">
      <c r="A688">
        <v>66</v>
      </c>
      <c r="B688" t="s">
        <v>2735</v>
      </c>
      <c r="C688" t="s">
        <v>1049</v>
      </c>
      <c r="D688" t="s">
        <v>73</v>
      </c>
      <c r="E688" t="s">
        <v>2736</v>
      </c>
      <c r="F688" t="s">
        <v>2737</v>
      </c>
      <c r="G688" t="s">
        <v>104</v>
      </c>
      <c r="H688" s="1">
        <v>38857</v>
      </c>
      <c r="I688">
        <v>20</v>
      </c>
      <c r="J688">
        <v>2006</v>
      </c>
      <c r="K688" s="1">
        <v>45466</v>
      </c>
      <c r="L688">
        <v>2024</v>
      </c>
      <c r="M688" t="s">
        <v>54</v>
      </c>
      <c r="N688">
        <v>15</v>
      </c>
      <c r="O688" t="s">
        <v>91</v>
      </c>
      <c r="P688" t="s">
        <v>69</v>
      </c>
      <c r="Q688">
        <v>60</v>
      </c>
      <c r="R688">
        <v>5</v>
      </c>
      <c r="S688" t="s">
        <v>92</v>
      </c>
      <c r="T688" t="s">
        <v>93</v>
      </c>
      <c r="U688">
        <v>5</v>
      </c>
      <c r="V688">
        <v>5</v>
      </c>
      <c r="W688">
        <v>5</v>
      </c>
      <c r="X688">
        <v>5</v>
      </c>
      <c r="Y688">
        <v>1</v>
      </c>
      <c r="Z688">
        <v>5</v>
      </c>
      <c r="AA688">
        <v>2.2999999999999998</v>
      </c>
      <c r="AB688">
        <v>11.5</v>
      </c>
      <c r="AC688" t="s">
        <v>70</v>
      </c>
      <c r="AD688" t="s">
        <v>281</v>
      </c>
      <c r="AE688">
        <v>0</v>
      </c>
      <c r="AF688">
        <v>0</v>
      </c>
      <c r="AG688">
        <v>3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1</v>
      </c>
      <c r="AO688">
        <v>4</v>
      </c>
      <c r="AP688">
        <v>1</v>
      </c>
      <c r="AQ688">
        <v>80</v>
      </c>
      <c r="AR688" s="2">
        <v>45766.911504629628</v>
      </c>
      <c r="AS688" s="2">
        <v>45980.809583333335</v>
      </c>
      <c r="AT688" t="s">
        <v>61</v>
      </c>
      <c r="AU688" t="s">
        <v>61</v>
      </c>
      <c r="AV688">
        <v>214</v>
      </c>
    </row>
    <row r="689" spans="1:48" x14ac:dyDescent="0.25">
      <c r="A689">
        <v>43</v>
      </c>
      <c r="B689" t="s">
        <v>2738</v>
      </c>
      <c r="C689" t="s">
        <v>1302</v>
      </c>
      <c r="D689" t="s">
        <v>1035</v>
      </c>
      <c r="E689" t="s">
        <v>2739</v>
      </c>
      <c r="F689" t="s">
        <v>2740</v>
      </c>
      <c r="G689" t="s">
        <v>53</v>
      </c>
      <c r="H689" s="1">
        <v>38474</v>
      </c>
      <c r="I689">
        <v>21</v>
      </c>
      <c r="J689">
        <v>2005</v>
      </c>
      <c r="K689" s="1">
        <v>45012</v>
      </c>
      <c r="L689">
        <v>2023</v>
      </c>
      <c r="M689" t="s">
        <v>54</v>
      </c>
      <c r="N689">
        <v>4</v>
      </c>
      <c r="O689" t="s">
        <v>215</v>
      </c>
      <c r="P689" t="s">
        <v>119</v>
      </c>
      <c r="Q689">
        <v>120</v>
      </c>
      <c r="R689">
        <v>2</v>
      </c>
      <c r="S689" t="s">
        <v>85</v>
      </c>
      <c r="T689" t="s">
        <v>86</v>
      </c>
      <c r="U689">
        <v>5</v>
      </c>
      <c r="V689">
        <v>5</v>
      </c>
      <c r="W689">
        <v>5</v>
      </c>
      <c r="X689">
        <v>4</v>
      </c>
      <c r="Y689">
        <v>1</v>
      </c>
      <c r="Z689">
        <v>3</v>
      </c>
      <c r="AA689">
        <v>2.3333330000000001</v>
      </c>
      <c r="AB689">
        <v>7</v>
      </c>
      <c r="AC689" t="s">
        <v>1061</v>
      </c>
      <c r="AD689" t="s">
        <v>112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2</v>
      </c>
      <c r="AL689">
        <v>0</v>
      </c>
      <c r="AM689">
        <v>0</v>
      </c>
      <c r="AN689">
        <v>0</v>
      </c>
      <c r="AO689">
        <v>3</v>
      </c>
      <c r="AP689">
        <v>0</v>
      </c>
      <c r="AQ689">
        <v>100</v>
      </c>
      <c r="AR689" s="2">
        <v>45840.756493055553</v>
      </c>
      <c r="AS689" s="2">
        <v>46048.397604166668</v>
      </c>
      <c r="AT689" t="s">
        <v>1357</v>
      </c>
      <c r="AU689" t="s">
        <v>1357</v>
      </c>
      <c r="AV689">
        <v>208</v>
      </c>
    </row>
    <row r="690" spans="1:48" x14ac:dyDescent="0.25">
      <c r="A690">
        <v>676</v>
      </c>
      <c r="B690" t="s">
        <v>2741</v>
      </c>
      <c r="C690" t="s">
        <v>310</v>
      </c>
      <c r="D690" t="s">
        <v>2742</v>
      </c>
      <c r="E690" t="s">
        <v>2743</v>
      </c>
      <c r="F690" t="s">
        <v>2744</v>
      </c>
      <c r="G690" t="s">
        <v>53</v>
      </c>
      <c r="H690" s="1">
        <v>34794</v>
      </c>
      <c r="I690">
        <v>31</v>
      </c>
      <c r="J690">
        <v>1995</v>
      </c>
      <c r="K690" s="1">
        <v>45841</v>
      </c>
      <c r="L690">
        <v>2025</v>
      </c>
      <c r="M690" t="s">
        <v>54</v>
      </c>
      <c r="N690">
        <v>12</v>
      </c>
      <c r="O690" t="s">
        <v>76</v>
      </c>
      <c r="P690" t="s">
        <v>69</v>
      </c>
      <c r="Q690">
        <v>60</v>
      </c>
      <c r="R690">
        <v>4</v>
      </c>
      <c r="S690" t="s">
        <v>77</v>
      </c>
      <c r="T690" t="s">
        <v>78</v>
      </c>
      <c r="U690">
        <v>5</v>
      </c>
      <c r="V690">
        <v>5</v>
      </c>
      <c r="W690">
        <v>5</v>
      </c>
      <c r="X690">
        <v>5</v>
      </c>
      <c r="Y690">
        <v>1</v>
      </c>
      <c r="Z690">
        <v>5</v>
      </c>
      <c r="AA690">
        <v>2.2999999999999998</v>
      </c>
      <c r="AB690">
        <v>11.5</v>
      </c>
      <c r="AC690" t="s">
        <v>59</v>
      </c>
      <c r="AD690" t="s">
        <v>112</v>
      </c>
      <c r="AE690">
        <v>0</v>
      </c>
      <c r="AF690">
        <v>0</v>
      </c>
      <c r="AG690">
        <v>1</v>
      </c>
      <c r="AH690">
        <v>1</v>
      </c>
      <c r="AI690">
        <v>0</v>
      </c>
      <c r="AJ690">
        <v>0</v>
      </c>
      <c r="AK690">
        <v>2</v>
      </c>
      <c r="AL690">
        <v>0</v>
      </c>
      <c r="AM690">
        <v>1</v>
      </c>
      <c r="AN690">
        <v>0</v>
      </c>
      <c r="AO690">
        <v>5</v>
      </c>
      <c r="AP690">
        <v>0</v>
      </c>
      <c r="AQ690">
        <v>100</v>
      </c>
      <c r="AR690" s="2">
        <v>45769.929456018515</v>
      </c>
      <c r="AS690" s="2">
        <v>46056.764560185184</v>
      </c>
      <c r="AT690" t="s">
        <v>61</v>
      </c>
      <c r="AU690" t="s">
        <v>61</v>
      </c>
      <c r="AV690">
        <v>287</v>
      </c>
    </row>
    <row r="691" spans="1:48" x14ac:dyDescent="0.25">
      <c r="A691">
        <v>354</v>
      </c>
      <c r="B691" t="s">
        <v>2745</v>
      </c>
      <c r="C691" t="s">
        <v>842</v>
      </c>
      <c r="D691" t="s">
        <v>510</v>
      </c>
      <c r="E691" t="s">
        <v>2746</v>
      </c>
      <c r="F691">
        <f>1-306-934-6157</f>
        <v>-7396</v>
      </c>
      <c r="G691" t="s">
        <v>104</v>
      </c>
      <c r="H691" s="1">
        <v>38255</v>
      </c>
      <c r="I691">
        <v>22</v>
      </c>
      <c r="J691">
        <v>2004</v>
      </c>
      <c r="K691" s="1">
        <v>44829</v>
      </c>
      <c r="L691">
        <v>2022</v>
      </c>
      <c r="M691" t="s">
        <v>111</v>
      </c>
      <c r="N691">
        <v>11</v>
      </c>
      <c r="O691" t="s">
        <v>378</v>
      </c>
      <c r="P691" t="s">
        <v>56</v>
      </c>
      <c r="Q691">
        <v>36</v>
      </c>
      <c r="R691">
        <v>4</v>
      </c>
      <c r="S691" t="s">
        <v>77</v>
      </c>
      <c r="T691" t="s">
        <v>78</v>
      </c>
      <c r="U691">
        <v>5</v>
      </c>
      <c r="V691">
        <v>5</v>
      </c>
      <c r="W691">
        <v>5</v>
      </c>
      <c r="X691">
        <v>5</v>
      </c>
      <c r="Y691">
        <v>1</v>
      </c>
      <c r="Z691">
        <v>5</v>
      </c>
      <c r="AA691">
        <v>2.1</v>
      </c>
      <c r="AB691">
        <v>10.5</v>
      </c>
      <c r="AC691" t="s">
        <v>70</v>
      </c>
      <c r="AD691" t="s">
        <v>112</v>
      </c>
      <c r="AE691">
        <v>0</v>
      </c>
      <c r="AF691">
        <v>0</v>
      </c>
      <c r="AG691">
        <v>1</v>
      </c>
      <c r="AH691">
        <v>2</v>
      </c>
      <c r="AI691">
        <v>0</v>
      </c>
      <c r="AJ691">
        <v>0</v>
      </c>
      <c r="AK691">
        <v>0</v>
      </c>
      <c r="AL691">
        <v>0</v>
      </c>
      <c r="AM691">
        <v>1</v>
      </c>
      <c r="AN691">
        <v>1</v>
      </c>
      <c r="AO691">
        <v>4</v>
      </c>
      <c r="AP691">
        <v>1</v>
      </c>
      <c r="AQ691">
        <v>80</v>
      </c>
      <c r="AR691" s="2">
        <v>45790.568761574075</v>
      </c>
      <c r="AS691" s="2">
        <v>46040.936944444446</v>
      </c>
      <c r="AT691" t="s">
        <v>62</v>
      </c>
      <c r="AU691" t="s">
        <v>62</v>
      </c>
      <c r="AV691">
        <v>250</v>
      </c>
    </row>
    <row r="692" spans="1:48" x14ac:dyDescent="0.25">
      <c r="A692">
        <v>422</v>
      </c>
      <c r="B692" t="s">
        <v>2747</v>
      </c>
      <c r="C692" t="s">
        <v>107</v>
      </c>
      <c r="D692" t="s">
        <v>832</v>
      </c>
      <c r="E692" t="s">
        <v>2748</v>
      </c>
      <c r="F692" t="s">
        <v>2749</v>
      </c>
      <c r="G692" t="s">
        <v>53</v>
      </c>
      <c r="H692" s="1">
        <v>35569</v>
      </c>
      <c r="I692">
        <v>29</v>
      </c>
      <c r="J692">
        <v>1997</v>
      </c>
      <c r="K692" s="1">
        <v>45345</v>
      </c>
      <c r="L692">
        <v>2024</v>
      </c>
      <c r="M692" t="s">
        <v>111</v>
      </c>
      <c r="N692">
        <v>5</v>
      </c>
      <c r="O692" t="s">
        <v>84</v>
      </c>
      <c r="P692" t="s">
        <v>56</v>
      </c>
      <c r="Q692">
        <v>36</v>
      </c>
      <c r="R692">
        <v>2</v>
      </c>
      <c r="S692" t="s">
        <v>85</v>
      </c>
      <c r="T692" t="s">
        <v>86</v>
      </c>
      <c r="U692">
        <v>5</v>
      </c>
      <c r="V692">
        <v>5</v>
      </c>
      <c r="W692">
        <v>5</v>
      </c>
      <c r="X692">
        <v>5</v>
      </c>
      <c r="Y692">
        <v>1</v>
      </c>
      <c r="Z692">
        <v>5</v>
      </c>
      <c r="AA692">
        <v>2.8</v>
      </c>
      <c r="AB692">
        <v>14</v>
      </c>
      <c r="AC692" t="s">
        <v>59</v>
      </c>
      <c r="AD692" t="s">
        <v>60</v>
      </c>
      <c r="AE692">
        <v>2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1</v>
      </c>
      <c r="AL692">
        <v>0</v>
      </c>
      <c r="AM692">
        <v>1</v>
      </c>
      <c r="AN692">
        <v>0</v>
      </c>
      <c r="AO692">
        <v>5</v>
      </c>
      <c r="AP692">
        <v>0</v>
      </c>
      <c r="AQ692">
        <v>100</v>
      </c>
      <c r="AR692" s="2">
        <v>45833.032685185186</v>
      </c>
      <c r="AS692" s="2">
        <v>46059.792893518519</v>
      </c>
      <c r="AT692" t="s">
        <v>1357</v>
      </c>
      <c r="AU692" t="s">
        <v>1357</v>
      </c>
      <c r="AV692">
        <v>226</v>
      </c>
    </row>
    <row r="693" spans="1:48" x14ac:dyDescent="0.25">
      <c r="A693">
        <v>471</v>
      </c>
      <c r="B693" t="s">
        <v>2750</v>
      </c>
      <c r="C693" t="s">
        <v>1554</v>
      </c>
      <c r="D693" t="s">
        <v>506</v>
      </c>
      <c r="E693" t="s">
        <v>2751</v>
      </c>
      <c r="F693">
        <v>3363133254</v>
      </c>
      <c r="G693" t="s">
        <v>53</v>
      </c>
      <c r="H693" s="1">
        <v>34895</v>
      </c>
      <c r="I693">
        <v>31</v>
      </c>
      <c r="J693">
        <v>1995</v>
      </c>
      <c r="K693" s="1">
        <v>45256</v>
      </c>
      <c r="L693">
        <v>2023</v>
      </c>
      <c r="M693" t="s">
        <v>54</v>
      </c>
      <c r="N693">
        <v>10</v>
      </c>
      <c r="O693" t="s">
        <v>118</v>
      </c>
      <c r="P693" t="s">
        <v>119</v>
      </c>
      <c r="Q693">
        <v>120</v>
      </c>
      <c r="R693">
        <v>4</v>
      </c>
      <c r="S693" t="s">
        <v>77</v>
      </c>
      <c r="T693" t="s">
        <v>78</v>
      </c>
      <c r="U693">
        <v>5</v>
      </c>
      <c r="V693">
        <v>5</v>
      </c>
      <c r="W693">
        <v>5</v>
      </c>
      <c r="X693">
        <v>5</v>
      </c>
      <c r="Y693">
        <v>1</v>
      </c>
      <c r="Z693">
        <v>5</v>
      </c>
      <c r="AA693">
        <v>2.6</v>
      </c>
      <c r="AB693">
        <v>13</v>
      </c>
      <c r="AC693" t="s">
        <v>70</v>
      </c>
      <c r="AD693" t="s">
        <v>60</v>
      </c>
      <c r="AE693">
        <v>1</v>
      </c>
      <c r="AF693">
        <v>0</v>
      </c>
      <c r="AG693">
        <v>1</v>
      </c>
      <c r="AH693">
        <v>1</v>
      </c>
      <c r="AI693">
        <v>0</v>
      </c>
      <c r="AJ693">
        <v>1</v>
      </c>
      <c r="AK693">
        <v>0</v>
      </c>
      <c r="AL693">
        <v>0</v>
      </c>
      <c r="AM693">
        <v>0</v>
      </c>
      <c r="AN693">
        <v>1</v>
      </c>
      <c r="AO693">
        <v>4</v>
      </c>
      <c r="AP693">
        <v>1</v>
      </c>
      <c r="AQ693">
        <v>80</v>
      </c>
      <c r="AR693" s="2">
        <v>45725.011805555558</v>
      </c>
      <c r="AS693" s="2">
        <v>45942.307245370372</v>
      </c>
      <c r="AT693" t="s">
        <v>62</v>
      </c>
      <c r="AU693" t="s">
        <v>62</v>
      </c>
      <c r="AV693">
        <v>217</v>
      </c>
    </row>
    <row r="694" spans="1:48" x14ac:dyDescent="0.25">
      <c r="A694">
        <v>689</v>
      </c>
      <c r="B694" t="s">
        <v>2752</v>
      </c>
      <c r="C694" t="s">
        <v>2753</v>
      </c>
      <c r="D694" t="s">
        <v>2754</v>
      </c>
      <c r="E694" t="s">
        <v>2755</v>
      </c>
      <c r="F694" t="s">
        <v>2756</v>
      </c>
      <c r="G694" t="s">
        <v>53</v>
      </c>
      <c r="H694" s="1">
        <v>36113</v>
      </c>
      <c r="I694">
        <v>28</v>
      </c>
      <c r="J694">
        <v>1998</v>
      </c>
      <c r="K694" s="1">
        <v>45651</v>
      </c>
      <c r="L694">
        <v>2024</v>
      </c>
      <c r="M694" t="s">
        <v>54</v>
      </c>
      <c r="N694">
        <v>13</v>
      </c>
      <c r="O694" t="s">
        <v>146</v>
      </c>
      <c r="P694" t="s">
        <v>119</v>
      </c>
      <c r="Q694">
        <v>120</v>
      </c>
      <c r="R694">
        <v>5</v>
      </c>
      <c r="S694" t="s">
        <v>92</v>
      </c>
      <c r="T694" t="s">
        <v>93</v>
      </c>
      <c r="U694">
        <v>5</v>
      </c>
      <c r="V694">
        <v>5</v>
      </c>
      <c r="W694">
        <v>5</v>
      </c>
      <c r="X694">
        <v>4</v>
      </c>
      <c r="Y694">
        <v>1</v>
      </c>
      <c r="Z694">
        <v>5</v>
      </c>
      <c r="AA694">
        <v>2.2999999999999998</v>
      </c>
      <c r="AB694">
        <v>11.5</v>
      </c>
      <c r="AC694" t="s">
        <v>70</v>
      </c>
      <c r="AD694" t="s">
        <v>60</v>
      </c>
      <c r="AE694">
        <v>1</v>
      </c>
      <c r="AF694">
        <v>0</v>
      </c>
      <c r="AG694">
        <v>0</v>
      </c>
      <c r="AH694">
        <v>1</v>
      </c>
      <c r="AI694">
        <v>0</v>
      </c>
      <c r="AJ694">
        <v>1</v>
      </c>
      <c r="AK694">
        <v>1</v>
      </c>
      <c r="AL694">
        <v>0</v>
      </c>
      <c r="AM694">
        <v>0</v>
      </c>
      <c r="AN694">
        <v>1</v>
      </c>
      <c r="AO694">
        <v>4</v>
      </c>
      <c r="AP694">
        <v>1</v>
      </c>
      <c r="AQ694">
        <v>80</v>
      </c>
      <c r="AR694" s="2">
        <v>45811.603865740741</v>
      </c>
      <c r="AS694" s="2">
        <v>46056.061006944445</v>
      </c>
      <c r="AT694" t="s">
        <v>62</v>
      </c>
      <c r="AU694" t="s">
        <v>62</v>
      </c>
      <c r="AV694">
        <v>245</v>
      </c>
    </row>
    <row r="695" spans="1:48" x14ac:dyDescent="0.25">
      <c r="A695">
        <v>990</v>
      </c>
      <c r="B695" t="s">
        <v>2757</v>
      </c>
      <c r="C695" t="s">
        <v>2758</v>
      </c>
      <c r="D695" t="s">
        <v>2759</v>
      </c>
      <c r="E695" t="s">
        <v>2760</v>
      </c>
      <c r="F695" t="s">
        <v>2761</v>
      </c>
      <c r="G695" t="s">
        <v>53</v>
      </c>
      <c r="H695" s="1">
        <v>36918</v>
      </c>
      <c r="I695">
        <v>25</v>
      </c>
      <c r="J695">
        <v>2001</v>
      </c>
      <c r="K695" s="1">
        <v>44755</v>
      </c>
      <c r="L695">
        <v>2022</v>
      </c>
      <c r="M695" t="s">
        <v>54</v>
      </c>
      <c r="N695">
        <v>18</v>
      </c>
      <c r="O695" t="s">
        <v>139</v>
      </c>
      <c r="P695" t="s">
        <v>69</v>
      </c>
      <c r="Q695">
        <v>60</v>
      </c>
      <c r="R695">
        <v>6</v>
      </c>
      <c r="S695" t="s">
        <v>140</v>
      </c>
      <c r="T695" t="s">
        <v>141</v>
      </c>
      <c r="U695">
        <v>5</v>
      </c>
      <c r="V695">
        <v>5</v>
      </c>
      <c r="W695">
        <v>5</v>
      </c>
      <c r="X695">
        <v>4</v>
      </c>
      <c r="Y695">
        <v>1</v>
      </c>
      <c r="Z695">
        <v>5</v>
      </c>
      <c r="AA695">
        <v>2.9</v>
      </c>
      <c r="AB695">
        <v>14.5</v>
      </c>
      <c r="AC695" t="s">
        <v>59</v>
      </c>
      <c r="AD695" t="s">
        <v>60</v>
      </c>
      <c r="AE695">
        <v>1</v>
      </c>
      <c r="AF695">
        <v>0</v>
      </c>
      <c r="AG695">
        <v>2</v>
      </c>
      <c r="AH695">
        <v>0</v>
      </c>
      <c r="AI695">
        <v>0</v>
      </c>
      <c r="AJ695">
        <v>1</v>
      </c>
      <c r="AK695">
        <v>0</v>
      </c>
      <c r="AL695">
        <v>0</v>
      </c>
      <c r="AM695">
        <v>1</v>
      </c>
      <c r="AN695">
        <v>0</v>
      </c>
      <c r="AO695">
        <v>5</v>
      </c>
      <c r="AP695">
        <v>0</v>
      </c>
      <c r="AQ695">
        <v>100</v>
      </c>
      <c r="AR695" s="2">
        <v>45894.927685185183</v>
      </c>
      <c r="AS695" s="2">
        <v>46008.842291666668</v>
      </c>
      <c r="AT695" t="s">
        <v>61</v>
      </c>
      <c r="AU695" t="s">
        <v>61</v>
      </c>
      <c r="AV695">
        <v>114</v>
      </c>
    </row>
    <row r="696" spans="1:48" x14ac:dyDescent="0.25">
      <c r="A696">
        <v>559</v>
      </c>
      <c r="B696" t="s">
        <v>2762</v>
      </c>
      <c r="C696" t="s">
        <v>472</v>
      </c>
      <c r="D696" t="s">
        <v>2763</v>
      </c>
      <c r="E696" t="s">
        <v>2764</v>
      </c>
      <c r="F696" t="s">
        <v>2765</v>
      </c>
      <c r="G696" t="s">
        <v>53</v>
      </c>
      <c r="H696" s="1">
        <v>36841</v>
      </c>
      <c r="I696">
        <v>26</v>
      </c>
      <c r="J696">
        <v>2000</v>
      </c>
      <c r="K696" s="1">
        <v>45369</v>
      </c>
      <c r="L696">
        <v>2024</v>
      </c>
      <c r="M696" t="s">
        <v>54</v>
      </c>
      <c r="N696">
        <v>10</v>
      </c>
      <c r="O696" t="s">
        <v>118</v>
      </c>
      <c r="P696" t="s">
        <v>119</v>
      </c>
      <c r="Q696">
        <v>120</v>
      </c>
      <c r="R696">
        <v>4</v>
      </c>
      <c r="S696" t="s">
        <v>77</v>
      </c>
      <c r="T696" t="s">
        <v>78</v>
      </c>
      <c r="U696">
        <v>5</v>
      </c>
      <c r="V696">
        <v>5</v>
      </c>
      <c r="W696">
        <v>5</v>
      </c>
      <c r="X696">
        <v>4</v>
      </c>
      <c r="Y696">
        <v>1</v>
      </c>
      <c r="Z696">
        <v>3</v>
      </c>
      <c r="AA696">
        <v>1</v>
      </c>
      <c r="AB696">
        <v>3</v>
      </c>
      <c r="AC696" t="s">
        <v>70</v>
      </c>
      <c r="AD696" t="s">
        <v>1061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0</v>
      </c>
      <c r="AM696">
        <v>1</v>
      </c>
      <c r="AN696">
        <v>1</v>
      </c>
      <c r="AO696">
        <v>2</v>
      </c>
      <c r="AP696">
        <v>1</v>
      </c>
      <c r="AQ696">
        <v>66.666666666666003</v>
      </c>
      <c r="AR696" s="2">
        <v>45875.810300925928</v>
      </c>
      <c r="AS696" s="2">
        <v>46083.23877314815</v>
      </c>
      <c r="AT696" t="s">
        <v>1357</v>
      </c>
      <c r="AU696" t="s">
        <v>1357</v>
      </c>
      <c r="AV696">
        <v>208</v>
      </c>
    </row>
    <row r="697" spans="1:48" x14ac:dyDescent="0.25">
      <c r="A697">
        <v>995</v>
      </c>
      <c r="B697" t="s">
        <v>2766</v>
      </c>
      <c r="C697" t="s">
        <v>807</v>
      </c>
      <c r="D697" t="s">
        <v>2470</v>
      </c>
      <c r="E697" t="s">
        <v>2767</v>
      </c>
      <c r="F697" t="s">
        <v>2768</v>
      </c>
      <c r="G697" t="s">
        <v>104</v>
      </c>
      <c r="H697" s="1">
        <v>38926</v>
      </c>
      <c r="I697">
        <v>20</v>
      </c>
      <c r="J697">
        <v>2006</v>
      </c>
      <c r="K697" s="1">
        <v>45864</v>
      </c>
      <c r="L697">
        <v>2025</v>
      </c>
      <c r="M697" t="s">
        <v>54</v>
      </c>
      <c r="N697">
        <v>4</v>
      </c>
      <c r="O697" t="s">
        <v>215</v>
      </c>
      <c r="P697" t="s">
        <v>119</v>
      </c>
      <c r="Q697">
        <v>120</v>
      </c>
      <c r="R697">
        <v>2</v>
      </c>
      <c r="S697" t="s">
        <v>85</v>
      </c>
      <c r="T697" t="s">
        <v>86</v>
      </c>
      <c r="U697">
        <v>5</v>
      </c>
      <c r="V697">
        <v>5</v>
      </c>
      <c r="W697">
        <v>5</v>
      </c>
      <c r="X697">
        <v>5</v>
      </c>
      <c r="Y697">
        <v>1</v>
      </c>
      <c r="Z697">
        <v>5</v>
      </c>
      <c r="AA697">
        <v>2.4</v>
      </c>
      <c r="AB697">
        <v>12</v>
      </c>
      <c r="AC697" t="s">
        <v>540</v>
      </c>
      <c r="AD697" t="s">
        <v>281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1</v>
      </c>
      <c r="AK697">
        <v>3</v>
      </c>
      <c r="AL697">
        <v>0</v>
      </c>
      <c r="AM697">
        <v>0</v>
      </c>
      <c r="AN697">
        <v>0</v>
      </c>
      <c r="AO697">
        <v>5</v>
      </c>
      <c r="AP697">
        <v>0</v>
      </c>
      <c r="AQ697">
        <v>100</v>
      </c>
      <c r="AR697" s="2">
        <v>45734.955601851849</v>
      </c>
      <c r="AS697" s="2">
        <v>46059.997152777774</v>
      </c>
      <c r="AT697" t="s">
        <v>61</v>
      </c>
      <c r="AU697" t="s">
        <v>61</v>
      </c>
      <c r="AV697">
        <v>325</v>
      </c>
    </row>
    <row r="698" spans="1:48" x14ac:dyDescent="0.25">
      <c r="A698">
        <v>586</v>
      </c>
      <c r="B698" t="s">
        <v>2769</v>
      </c>
      <c r="C698" t="s">
        <v>700</v>
      </c>
      <c r="D698" t="s">
        <v>375</v>
      </c>
      <c r="E698" t="s">
        <v>2770</v>
      </c>
      <c r="F698" t="s">
        <v>2771</v>
      </c>
      <c r="G698" t="s">
        <v>53</v>
      </c>
      <c r="H698" s="1">
        <v>37470</v>
      </c>
      <c r="I698">
        <v>24</v>
      </c>
      <c r="J698">
        <v>2002</v>
      </c>
      <c r="K698" s="1">
        <v>45872</v>
      </c>
      <c r="L698">
        <v>2025</v>
      </c>
      <c r="M698" t="s">
        <v>54</v>
      </c>
      <c r="N698">
        <v>6</v>
      </c>
      <c r="O698" t="s">
        <v>133</v>
      </c>
      <c r="P698" t="s">
        <v>69</v>
      </c>
      <c r="Q698">
        <v>60</v>
      </c>
      <c r="R698">
        <v>2</v>
      </c>
      <c r="S698" t="s">
        <v>85</v>
      </c>
      <c r="T698" t="s">
        <v>86</v>
      </c>
      <c r="U698">
        <v>5</v>
      </c>
      <c r="V698">
        <v>5</v>
      </c>
      <c r="W698">
        <v>5</v>
      </c>
      <c r="X698">
        <v>5</v>
      </c>
      <c r="Y698">
        <v>1</v>
      </c>
      <c r="Z698">
        <v>4</v>
      </c>
      <c r="AA698">
        <v>2.25</v>
      </c>
      <c r="AB698">
        <v>9</v>
      </c>
      <c r="AC698" t="s">
        <v>70</v>
      </c>
      <c r="AD698" t="s">
        <v>60</v>
      </c>
      <c r="AE698">
        <v>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1</v>
      </c>
      <c r="AO698">
        <v>3</v>
      </c>
      <c r="AP698">
        <v>1</v>
      </c>
      <c r="AQ698">
        <v>75</v>
      </c>
      <c r="AR698" s="2">
        <v>45767.834062499998</v>
      </c>
      <c r="AS698" s="2">
        <v>46083.432800925926</v>
      </c>
      <c r="AT698" t="s">
        <v>1357</v>
      </c>
      <c r="AU698" t="s">
        <v>1357</v>
      </c>
      <c r="AV698">
        <v>316</v>
      </c>
    </row>
    <row r="699" spans="1:48" x14ac:dyDescent="0.25">
      <c r="A699">
        <v>83</v>
      </c>
      <c r="B699" t="s">
        <v>2772</v>
      </c>
      <c r="C699" t="s">
        <v>315</v>
      </c>
      <c r="D699" t="s">
        <v>1696</v>
      </c>
      <c r="E699" t="s">
        <v>2773</v>
      </c>
      <c r="F699" t="s">
        <v>2774</v>
      </c>
      <c r="G699" t="s">
        <v>104</v>
      </c>
      <c r="H699" s="1">
        <v>35720</v>
      </c>
      <c r="I699">
        <v>29</v>
      </c>
      <c r="J699">
        <v>1997</v>
      </c>
      <c r="K699" s="1">
        <v>45780</v>
      </c>
      <c r="L699">
        <v>2025</v>
      </c>
      <c r="M699" t="s">
        <v>54</v>
      </c>
      <c r="N699">
        <v>3</v>
      </c>
      <c r="O699" t="s">
        <v>68</v>
      </c>
      <c r="P699" t="s">
        <v>69</v>
      </c>
      <c r="Q699">
        <v>60</v>
      </c>
      <c r="R699">
        <v>1</v>
      </c>
      <c r="S699" t="s">
        <v>57</v>
      </c>
      <c r="T699" t="s">
        <v>58</v>
      </c>
      <c r="U699">
        <v>5</v>
      </c>
      <c r="V699">
        <v>5</v>
      </c>
      <c r="W699">
        <v>5</v>
      </c>
      <c r="X699">
        <v>5</v>
      </c>
      <c r="Y699">
        <v>1</v>
      </c>
      <c r="Z699">
        <v>3</v>
      </c>
      <c r="AA699">
        <v>1.666666</v>
      </c>
      <c r="AB699">
        <v>5</v>
      </c>
      <c r="AC699" t="s">
        <v>70</v>
      </c>
      <c r="AD699" t="s">
        <v>60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</v>
      </c>
      <c r="AN699">
        <v>1</v>
      </c>
      <c r="AO699">
        <v>2</v>
      </c>
      <c r="AP699">
        <v>1</v>
      </c>
      <c r="AQ699">
        <v>66.666666666666003</v>
      </c>
      <c r="AR699" s="2">
        <v>45736.816550925927</v>
      </c>
      <c r="AS699" s="2">
        <v>46085.689444444448</v>
      </c>
      <c r="AT699" t="s">
        <v>1357</v>
      </c>
      <c r="AU699" t="s">
        <v>1357</v>
      </c>
      <c r="AV699">
        <v>349</v>
      </c>
    </row>
    <row r="700" spans="1:48" x14ac:dyDescent="0.25">
      <c r="A700">
        <v>430</v>
      </c>
      <c r="B700" t="s">
        <v>2775</v>
      </c>
      <c r="C700" t="s">
        <v>1023</v>
      </c>
      <c r="D700" t="s">
        <v>1730</v>
      </c>
      <c r="E700" t="s">
        <v>2776</v>
      </c>
      <c r="F700" t="s">
        <v>2777</v>
      </c>
      <c r="G700" t="s">
        <v>53</v>
      </c>
      <c r="H700" s="1">
        <v>38355</v>
      </c>
      <c r="I700">
        <v>21</v>
      </c>
      <c r="J700">
        <v>2005</v>
      </c>
      <c r="K700" s="1">
        <v>45809</v>
      </c>
      <c r="L700">
        <v>2025</v>
      </c>
      <c r="M700" t="s">
        <v>54</v>
      </c>
      <c r="N700">
        <v>16</v>
      </c>
      <c r="O700" t="s">
        <v>280</v>
      </c>
      <c r="P700" t="s">
        <v>119</v>
      </c>
      <c r="Q700">
        <v>120</v>
      </c>
      <c r="R700">
        <v>6</v>
      </c>
      <c r="S700" t="s">
        <v>140</v>
      </c>
      <c r="T700" t="s">
        <v>141</v>
      </c>
      <c r="U700">
        <v>5</v>
      </c>
      <c r="V700">
        <v>5</v>
      </c>
      <c r="W700">
        <v>5</v>
      </c>
      <c r="X700">
        <v>5</v>
      </c>
      <c r="Y700">
        <v>1</v>
      </c>
      <c r="Z700">
        <v>5</v>
      </c>
      <c r="AA700">
        <v>1.7</v>
      </c>
      <c r="AB700">
        <v>8.5</v>
      </c>
      <c r="AC700" t="s">
        <v>70</v>
      </c>
      <c r="AD700" t="s">
        <v>112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1</v>
      </c>
      <c r="AK700">
        <v>1</v>
      </c>
      <c r="AL700">
        <v>0</v>
      </c>
      <c r="AM700">
        <v>1</v>
      </c>
      <c r="AN700">
        <v>1</v>
      </c>
      <c r="AO700">
        <v>4</v>
      </c>
      <c r="AP700">
        <v>1</v>
      </c>
      <c r="AQ700">
        <v>80</v>
      </c>
      <c r="AR700" s="2">
        <v>45934.244108796294</v>
      </c>
      <c r="AS700" s="2">
        <v>46050.428807870368</v>
      </c>
      <c r="AT700" t="s">
        <v>61</v>
      </c>
      <c r="AU700" t="s">
        <v>61</v>
      </c>
      <c r="AV700">
        <v>116</v>
      </c>
    </row>
    <row r="701" spans="1:48" x14ac:dyDescent="0.25">
      <c r="A701">
        <v>902</v>
      </c>
      <c r="B701" t="s">
        <v>2778</v>
      </c>
      <c r="C701" t="s">
        <v>429</v>
      </c>
      <c r="D701" t="s">
        <v>1068</v>
      </c>
      <c r="E701" t="s">
        <v>2779</v>
      </c>
      <c r="F701" t="s">
        <v>2780</v>
      </c>
      <c r="G701" t="s">
        <v>104</v>
      </c>
      <c r="H701" s="1">
        <v>39291</v>
      </c>
      <c r="I701">
        <v>19</v>
      </c>
      <c r="J701">
        <v>2007</v>
      </c>
      <c r="K701" s="1">
        <v>44909</v>
      </c>
      <c r="L701">
        <v>2022</v>
      </c>
      <c r="M701" t="s">
        <v>225</v>
      </c>
      <c r="N701">
        <v>1</v>
      </c>
      <c r="O701" t="s">
        <v>157</v>
      </c>
      <c r="P701" t="s">
        <v>119</v>
      </c>
      <c r="Q701">
        <v>120</v>
      </c>
      <c r="R701">
        <v>1</v>
      </c>
      <c r="S701" t="s">
        <v>57</v>
      </c>
      <c r="T701" t="s">
        <v>58</v>
      </c>
      <c r="U701">
        <v>5</v>
      </c>
      <c r="V701">
        <v>5</v>
      </c>
      <c r="W701">
        <v>5</v>
      </c>
      <c r="X701">
        <v>5</v>
      </c>
      <c r="Y701">
        <v>1</v>
      </c>
      <c r="Z701">
        <v>5</v>
      </c>
      <c r="AA701">
        <v>1.1000000000000001</v>
      </c>
      <c r="AB701">
        <v>5.5</v>
      </c>
      <c r="AC701" t="s">
        <v>70</v>
      </c>
      <c r="AD701" t="s">
        <v>540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</v>
      </c>
      <c r="AK701">
        <v>0</v>
      </c>
      <c r="AL701">
        <v>0</v>
      </c>
      <c r="AM701">
        <v>3</v>
      </c>
      <c r="AN701">
        <v>1</v>
      </c>
      <c r="AO701">
        <v>4</v>
      </c>
      <c r="AP701">
        <v>1</v>
      </c>
      <c r="AQ701">
        <v>80</v>
      </c>
      <c r="AR701" s="2">
        <v>45868.997418981482</v>
      </c>
      <c r="AS701" s="2">
        <v>46059.51803240741</v>
      </c>
      <c r="AT701" t="s">
        <v>61</v>
      </c>
      <c r="AU701" t="s">
        <v>61</v>
      </c>
      <c r="AV701">
        <v>191</v>
      </c>
    </row>
    <row r="702" spans="1:48" x14ac:dyDescent="0.25">
      <c r="A702">
        <v>947</v>
      </c>
      <c r="B702" t="s">
        <v>2781</v>
      </c>
      <c r="C702" t="s">
        <v>331</v>
      </c>
      <c r="D702" t="s">
        <v>2782</v>
      </c>
      <c r="E702" t="s">
        <v>2783</v>
      </c>
      <c r="F702">
        <f>1-420-519-432</f>
        <v>-1370</v>
      </c>
      <c r="G702" t="s">
        <v>104</v>
      </c>
      <c r="H702" s="1">
        <v>38265</v>
      </c>
      <c r="I702">
        <v>22</v>
      </c>
      <c r="J702">
        <v>2004</v>
      </c>
      <c r="K702" s="1">
        <v>45695</v>
      </c>
      <c r="L702">
        <v>2025</v>
      </c>
      <c r="M702" t="s">
        <v>54</v>
      </c>
      <c r="N702">
        <v>2</v>
      </c>
      <c r="O702" t="s">
        <v>55</v>
      </c>
      <c r="P702" t="s">
        <v>56</v>
      </c>
      <c r="Q702">
        <v>36</v>
      </c>
      <c r="R702">
        <v>1</v>
      </c>
      <c r="S702" t="s">
        <v>57</v>
      </c>
      <c r="T702" t="s">
        <v>58</v>
      </c>
      <c r="U702">
        <v>5</v>
      </c>
      <c r="V702">
        <v>5</v>
      </c>
      <c r="W702">
        <v>5</v>
      </c>
      <c r="X702">
        <v>5</v>
      </c>
      <c r="Y702">
        <v>1</v>
      </c>
      <c r="Z702">
        <v>5</v>
      </c>
      <c r="AA702">
        <v>2.4</v>
      </c>
      <c r="AB702">
        <v>12</v>
      </c>
      <c r="AC702" t="s">
        <v>59</v>
      </c>
      <c r="AD702" t="s">
        <v>112</v>
      </c>
      <c r="AE702">
        <v>0</v>
      </c>
      <c r="AF702">
        <v>0</v>
      </c>
      <c r="AG702">
        <v>1</v>
      </c>
      <c r="AH702">
        <v>1</v>
      </c>
      <c r="AI702">
        <v>0</v>
      </c>
      <c r="AJ702">
        <v>1</v>
      </c>
      <c r="AK702">
        <v>1</v>
      </c>
      <c r="AL702">
        <v>0</v>
      </c>
      <c r="AM702">
        <v>1</v>
      </c>
      <c r="AN702">
        <v>0</v>
      </c>
      <c r="AO702">
        <v>5</v>
      </c>
      <c r="AP702">
        <v>0</v>
      </c>
      <c r="AQ702">
        <v>100</v>
      </c>
      <c r="AR702" s="2">
        <v>45760.818472222221</v>
      </c>
      <c r="AS702" s="2">
        <v>46065.532534722224</v>
      </c>
      <c r="AT702" t="s">
        <v>61</v>
      </c>
      <c r="AU702" t="s">
        <v>61</v>
      </c>
      <c r="AV702">
        <v>305</v>
      </c>
    </row>
    <row r="703" spans="1:48" x14ac:dyDescent="0.25">
      <c r="A703">
        <v>14</v>
      </c>
      <c r="B703" t="s">
        <v>2784</v>
      </c>
      <c r="C703" t="s">
        <v>2785</v>
      </c>
      <c r="D703" t="s">
        <v>2786</v>
      </c>
      <c r="E703" t="s">
        <v>2787</v>
      </c>
      <c r="F703" t="s">
        <v>2788</v>
      </c>
      <c r="G703" t="s">
        <v>53</v>
      </c>
      <c r="H703" s="1">
        <v>36691</v>
      </c>
      <c r="I703">
        <v>26</v>
      </c>
      <c r="J703">
        <v>2000</v>
      </c>
      <c r="K703" s="1">
        <v>45843</v>
      </c>
      <c r="L703">
        <v>2025</v>
      </c>
      <c r="M703" t="s">
        <v>54</v>
      </c>
      <c r="N703">
        <v>17</v>
      </c>
      <c r="O703" t="s">
        <v>350</v>
      </c>
      <c r="P703" t="s">
        <v>56</v>
      </c>
      <c r="Q703">
        <v>36</v>
      </c>
      <c r="R703">
        <v>6</v>
      </c>
      <c r="S703" t="s">
        <v>140</v>
      </c>
      <c r="T703" t="s">
        <v>141</v>
      </c>
      <c r="U703">
        <v>5</v>
      </c>
      <c r="V703">
        <v>5</v>
      </c>
      <c r="W703">
        <v>5</v>
      </c>
      <c r="X703">
        <v>5</v>
      </c>
      <c r="Y703">
        <v>1</v>
      </c>
      <c r="Z703">
        <v>5</v>
      </c>
      <c r="AA703">
        <v>1.9</v>
      </c>
      <c r="AB703">
        <v>9.5</v>
      </c>
      <c r="AC703" t="s">
        <v>70</v>
      </c>
      <c r="AD703" t="s">
        <v>60</v>
      </c>
      <c r="AE703">
        <v>1</v>
      </c>
      <c r="AF703">
        <v>0</v>
      </c>
      <c r="AG703">
        <v>1</v>
      </c>
      <c r="AH703">
        <v>0</v>
      </c>
      <c r="AI703">
        <v>0</v>
      </c>
      <c r="AJ703">
        <v>0</v>
      </c>
      <c r="AK703">
        <v>1</v>
      </c>
      <c r="AL703">
        <v>0</v>
      </c>
      <c r="AM703">
        <v>0</v>
      </c>
      <c r="AN703">
        <v>2</v>
      </c>
      <c r="AO703">
        <v>3</v>
      </c>
      <c r="AP703">
        <v>2</v>
      </c>
      <c r="AQ703">
        <v>60</v>
      </c>
      <c r="AR703" s="2">
        <v>45760.160393518519</v>
      </c>
      <c r="AS703" s="2">
        <v>46064.540011574078</v>
      </c>
      <c r="AT703" t="s">
        <v>61</v>
      </c>
      <c r="AU703" t="s">
        <v>61</v>
      </c>
      <c r="AV703">
        <v>304</v>
      </c>
    </row>
    <row r="704" spans="1:48" x14ac:dyDescent="0.25">
      <c r="A704">
        <v>320</v>
      </c>
      <c r="B704" t="s">
        <v>2789</v>
      </c>
      <c r="C704" t="s">
        <v>1514</v>
      </c>
      <c r="D704" t="s">
        <v>2790</v>
      </c>
      <c r="E704" t="s">
        <v>2791</v>
      </c>
      <c r="F704">
        <f>1-730-234-4144</f>
        <v>-5107</v>
      </c>
      <c r="G704" t="s">
        <v>104</v>
      </c>
      <c r="H704" s="1">
        <v>35303</v>
      </c>
      <c r="I704">
        <v>30</v>
      </c>
      <c r="J704">
        <v>1996</v>
      </c>
      <c r="K704" s="1">
        <v>45111</v>
      </c>
      <c r="L704">
        <v>2023</v>
      </c>
      <c r="M704" t="s">
        <v>54</v>
      </c>
      <c r="N704">
        <v>12</v>
      </c>
      <c r="O704" t="s">
        <v>76</v>
      </c>
      <c r="P704" t="s">
        <v>69</v>
      </c>
      <c r="Q704">
        <v>60</v>
      </c>
      <c r="R704">
        <v>4</v>
      </c>
      <c r="S704" t="s">
        <v>77</v>
      </c>
      <c r="T704" t="s">
        <v>78</v>
      </c>
      <c r="U704">
        <v>5</v>
      </c>
      <c r="V704">
        <v>5</v>
      </c>
      <c r="W704">
        <v>5</v>
      </c>
      <c r="X704">
        <v>4</v>
      </c>
      <c r="Y704">
        <v>1</v>
      </c>
      <c r="Z704">
        <v>5</v>
      </c>
      <c r="AA704">
        <v>2.4</v>
      </c>
      <c r="AB704">
        <v>12</v>
      </c>
      <c r="AC704" t="s">
        <v>70</v>
      </c>
      <c r="AD704" t="s">
        <v>60</v>
      </c>
      <c r="AE704">
        <v>1</v>
      </c>
      <c r="AF704">
        <v>0</v>
      </c>
      <c r="AG704">
        <v>0</v>
      </c>
      <c r="AH704">
        <v>1</v>
      </c>
      <c r="AI704">
        <v>0</v>
      </c>
      <c r="AJ704">
        <v>2</v>
      </c>
      <c r="AK704">
        <v>0</v>
      </c>
      <c r="AL704">
        <v>0</v>
      </c>
      <c r="AM704">
        <v>0</v>
      </c>
      <c r="AN704">
        <v>1</v>
      </c>
      <c r="AO704">
        <v>4</v>
      </c>
      <c r="AP704">
        <v>1</v>
      </c>
      <c r="AQ704">
        <v>80</v>
      </c>
      <c r="AR704" s="2">
        <v>45775.562951388885</v>
      </c>
      <c r="AS704" s="2">
        <v>46060.639594907407</v>
      </c>
      <c r="AT704" t="s">
        <v>61</v>
      </c>
      <c r="AU704" t="s">
        <v>61</v>
      </c>
      <c r="AV704">
        <v>285</v>
      </c>
    </row>
    <row r="705" spans="1:48" x14ac:dyDescent="0.25">
      <c r="A705">
        <v>337</v>
      </c>
      <c r="B705" t="s">
        <v>2792</v>
      </c>
      <c r="C705" t="s">
        <v>1484</v>
      </c>
      <c r="D705" t="s">
        <v>2793</v>
      </c>
      <c r="E705" t="s">
        <v>2794</v>
      </c>
      <c r="F705" t="s">
        <v>2795</v>
      </c>
      <c r="G705" t="s">
        <v>53</v>
      </c>
      <c r="H705" s="1">
        <v>35414</v>
      </c>
      <c r="I705">
        <v>30</v>
      </c>
      <c r="J705">
        <v>1996</v>
      </c>
      <c r="K705" s="1">
        <v>45802</v>
      </c>
      <c r="L705">
        <v>2025</v>
      </c>
      <c r="M705" t="s">
        <v>54</v>
      </c>
      <c r="N705">
        <v>7</v>
      </c>
      <c r="O705" t="s">
        <v>231</v>
      </c>
      <c r="P705" t="s">
        <v>119</v>
      </c>
      <c r="Q705">
        <v>120</v>
      </c>
      <c r="R705">
        <v>3</v>
      </c>
      <c r="S705" t="s">
        <v>126</v>
      </c>
      <c r="T705" t="s">
        <v>127</v>
      </c>
      <c r="U705">
        <v>5</v>
      </c>
      <c r="V705">
        <v>5</v>
      </c>
      <c r="W705">
        <v>5</v>
      </c>
      <c r="X705">
        <v>5</v>
      </c>
      <c r="Y705">
        <v>1</v>
      </c>
      <c r="Z705">
        <v>4</v>
      </c>
      <c r="AA705">
        <v>3.25</v>
      </c>
      <c r="AB705">
        <v>13</v>
      </c>
      <c r="AC705" t="s">
        <v>1061</v>
      </c>
      <c r="AD705" t="s">
        <v>60</v>
      </c>
      <c r="AE705">
        <v>2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1</v>
      </c>
      <c r="AL705">
        <v>0</v>
      </c>
      <c r="AM705">
        <v>0</v>
      </c>
      <c r="AN705">
        <v>0</v>
      </c>
      <c r="AO705">
        <v>4</v>
      </c>
      <c r="AP705">
        <v>0</v>
      </c>
      <c r="AQ705">
        <v>100</v>
      </c>
      <c r="AR705" s="2">
        <v>45727.352662037039</v>
      </c>
      <c r="AS705" s="2">
        <v>46012.489386574074</v>
      </c>
      <c r="AT705" t="s">
        <v>1357</v>
      </c>
      <c r="AU705" t="s">
        <v>1357</v>
      </c>
      <c r="AV705">
        <v>285</v>
      </c>
    </row>
    <row r="706" spans="1:48" x14ac:dyDescent="0.25">
      <c r="A706">
        <v>777</v>
      </c>
      <c r="B706" t="s">
        <v>2796</v>
      </c>
      <c r="C706" t="s">
        <v>1514</v>
      </c>
      <c r="D706" t="s">
        <v>1000</v>
      </c>
      <c r="E706" t="s">
        <v>2797</v>
      </c>
      <c r="F706" t="s">
        <v>2798</v>
      </c>
      <c r="G706" t="s">
        <v>104</v>
      </c>
      <c r="H706" s="1">
        <v>36868</v>
      </c>
      <c r="I706">
        <v>26</v>
      </c>
      <c r="J706">
        <v>2000</v>
      </c>
      <c r="K706" s="1">
        <v>45607</v>
      </c>
      <c r="L706">
        <v>2024</v>
      </c>
      <c r="M706" t="s">
        <v>54</v>
      </c>
      <c r="N706">
        <v>15</v>
      </c>
      <c r="O706" t="s">
        <v>91</v>
      </c>
      <c r="P706" t="s">
        <v>69</v>
      </c>
      <c r="Q706">
        <v>60</v>
      </c>
      <c r="R706">
        <v>5</v>
      </c>
      <c r="S706" t="s">
        <v>92</v>
      </c>
      <c r="T706" t="s">
        <v>93</v>
      </c>
      <c r="U706">
        <v>5</v>
      </c>
      <c r="V706">
        <v>5</v>
      </c>
      <c r="W706">
        <v>5</v>
      </c>
      <c r="X706">
        <v>4</v>
      </c>
      <c r="Y706">
        <v>1</v>
      </c>
      <c r="Z706">
        <v>5</v>
      </c>
      <c r="AA706">
        <v>1.4</v>
      </c>
      <c r="AB706">
        <v>7</v>
      </c>
      <c r="AC706" t="s">
        <v>70</v>
      </c>
      <c r="AD706" t="s">
        <v>1061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3</v>
      </c>
      <c r="AL706">
        <v>0</v>
      </c>
      <c r="AM706">
        <v>1</v>
      </c>
      <c r="AN706">
        <v>1</v>
      </c>
      <c r="AO706">
        <v>4</v>
      </c>
      <c r="AP706">
        <v>1</v>
      </c>
      <c r="AQ706">
        <v>80</v>
      </c>
      <c r="AR706" s="2">
        <v>45791.898993055554</v>
      </c>
      <c r="AS706" s="2">
        <v>46064.345486111109</v>
      </c>
      <c r="AT706" t="s">
        <v>62</v>
      </c>
      <c r="AU706" t="s">
        <v>62</v>
      </c>
      <c r="AV706">
        <v>273</v>
      </c>
    </row>
    <row r="707" spans="1:48" x14ac:dyDescent="0.25">
      <c r="A707">
        <v>150</v>
      </c>
      <c r="B707" t="s">
        <v>2799</v>
      </c>
      <c r="C707" t="s">
        <v>248</v>
      </c>
      <c r="D707" t="s">
        <v>2800</v>
      </c>
      <c r="E707" t="s">
        <v>2801</v>
      </c>
      <c r="F707" t="s">
        <v>2802</v>
      </c>
      <c r="G707" t="s">
        <v>104</v>
      </c>
      <c r="H707" s="1">
        <v>35551</v>
      </c>
      <c r="I707">
        <v>29</v>
      </c>
      <c r="J707">
        <v>1997</v>
      </c>
      <c r="K707" s="1">
        <v>44828</v>
      </c>
      <c r="L707">
        <v>2022</v>
      </c>
      <c r="M707" t="s">
        <v>54</v>
      </c>
      <c r="N707">
        <v>3</v>
      </c>
      <c r="O707" t="s">
        <v>68</v>
      </c>
      <c r="P707" t="s">
        <v>69</v>
      </c>
      <c r="Q707">
        <v>60</v>
      </c>
      <c r="R707">
        <v>1</v>
      </c>
      <c r="S707" t="s">
        <v>57</v>
      </c>
      <c r="T707" t="s">
        <v>58</v>
      </c>
      <c r="U707">
        <v>5</v>
      </c>
      <c r="V707">
        <v>5</v>
      </c>
      <c r="W707">
        <v>5</v>
      </c>
      <c r="X707">
        <v>5</v>
      </c>
      <c r="Y707">
        <v>1</v>
      </c>
      <c r="Z707">
        <v>1</v>
      </c>
      <c r="AA707">
        <v>3.5</v>
      </c>
      <c r="AB707">
        <v>3.5</v>
      </c>
      <c r="AC707" t="s">
        <v>281</v>
      </c>
      <c r="AD707" t="s">
        <v>281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1</v>
      </c>
      <c r="AP707">
        <v>0</v>
      </c>
      <c r="AQ707">
        <v>100</v>
      </c>
      <c r="AR707" s="2">
        <v>45910.226724537039</v>
      </c>
      <c r="AS707" s="2">
        <v>46080.547025462962</v>
      </c>
      <c r="AT707" t="s">
        <v>1357</v>
      </c>
      <c r="AU707" t="s">
        <v>1357</v>
      </c>
      <c r="AV707">
        <v>170</v>
      </c>
    </row>
    <row r="708" spans="1:48" x14ac:dyDescent="0.25">
      <c r="A708">
        <v>187</v>
      </c>
      <c r="B708" t="s">
        <v>2803</v>
      </c>
      <c r="C708" t="s">
        <v>399</v>
      </c>
      <c r="D708" t="s">
        <v>2804</v>
      </c>
      <c r="E708" t="s">
        <v>2805</v>
      </c>
      <c r="F708" t="s">
        <v>2806</v>
      </c>
      <c r="G708" t="s">
        <v>104</v>
      </c>
      <c r="H708" s="1">
        <v>37478</v>
      </c>
      <c r="I708">
        <v>24</v>
      </c>
      <c r="J708">
        <v>2002</v>
      </c>
      <c r="K708" s="1">
        <v>45852</v>
      </c>
      <c r="L708">
        <v>2025</v>
      </c>
      <c r="M708" t="s">
        <v>54</v>
      </c>
      <c r="N708">
        <v>1</v>
      </c>
      <c r="O708" t="s">
        <v>157</v>
      </c>
      <c r="P708" t="s">
        <v>119</v>
      </c>
      <c r="Q708">
        <v>120</v>
      </c>
      <c r="R708">
        <v>1</v>
      </c>
      <c r="S708" t="s">
        <v>57</v>
      </c>
      <c r="T708" t="s">
        <v>58</v>
      </c>
      <c r="U708">
        <v>5</v>
      </c>
      <c r="V708">
        <v>5</v>
      </c>
      <c r="W708">
        <v>5</v>
      </c>
      <c r="X708">
        <v>5</v>
      </c>
      <c r="Y708">
        <v>1</v>
      </c>
      <c r="Z708">
        <v>2</v>
      </c>
      <c r="AA708">
        <v>2.5</v>
      </c>
      <c r="AB708">
        <v>5</v>
      </c>
      <c r="AC708" t="s">
        <v>59</v>
      </c>
      <c r="AD708" t="s">
        <v>60</v>
      </c>
      <c r="AE708">
        <v>1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1</v>
      </c>
      <c r="AN708">
        <v>0</v>
      </c>
      <c r="AO708">
        <v>2</v>
      </c>
      <c r="AP708">
        <v>0</v>
      </c>
      <c r="AQ708">
        <v>100</v>
      </c>
      <c r="AR708" s="2">
        <v>45753.006458333337</v>
      </c>
      <c r="AS708" s="2">
        <v>46082.215740740743</v>
      </c>
      <c r="AT708" t="s">
        <v>1357</v>
      </c>
      <c r="AU708" t="s">
        <v>1357</v>
      </c>
      <c r="AV708">
        <v>329</v>
      </c>
    </row>
    <row r="709" spans="1:48" x14ac:dyDescent="0.25">
      <c r="A709">
        <v>333</v>
      </c>
      <c r="B709" t="s">
        <v>2807</v>
      </c>
      <c r="C709" t="s">
        <v>1367</v>
      </c>
      <c r="D709" t="s">
        <v>320</v>
      </c>
      <c r="E709" t="s">
        <v>2808</v>
      </c>
      <c r="F709" t="s">
        <v>2809</v>
      </c>
      <c r="G709" t="s">
        <v>53</v>
      </c>
      <c r="H709" s="1">
        <v>38643</v>
      </c>
      <c r="I709">
        <v>21</v>
      </c>
      <c r="J709">
        <v>2005</v>
      </c>
      <c r="K709" s="1">
        <v>45921</v>
      </c>
      <c r="L709">
        <v>2025</v>
      </c>
      <c r="M709" t="s">
        <v>54</v>
      </c>
      <c r="N709">
        <v>8</v>
      </c>
      <c r="O709" t="s">
        <v>125</v>
      </c>
      <c r="P709" t="s">
        <v>56</v>
      </c>
      <c r="Q709">
        <v>36</v>
      </c>
      <c r="R709">
        <v>3</v>
      </c>
      <c r="S709" t="s">
        <v>126</v>
      </c>
      <c r="T709" t="s">
        <v>127</v>
      </c>
      <c r="U709">
        <v>5</v>
      </c>
      <c r="V709">
        <v>5</v>
      </c>
      <c r="W709">
        <v>5</v>
      </c>
      <c r="X709">
        <v>5</v>
      </c>
      <c r="Y709">
        <v>1</v>
      </c>
      <c r="Z709">
        <v>3</v>
      </c>
      <c r="AA709">
        <v>0.66666599999999998</v>
      </c>
      <c r="AB709">
        <v>2</v>
      </c>
      <c r="AC709" t="s">
        <v>70</v>
      </c>
      <c r="AD709" t="s">
        <v>1061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0</v>
      </c>
      <c r="AN709">
        <v>2</v>
      </c>
      <c r="AO709">
        <v>1</v>
      </c>
      <c r="AP709">
        <v>2</v>
      </c>
      <c r="AQ709">
        <v>33.333333333333002</v>
      </c>
      <c r="AR709" s="2">
        <v>45746.102372685185</v>
      </c>
      <c r="AS709" s="2">
        <v>45974.208333333336</v>
      </c>
      <c r="AT709" t="s">
        <v>1357</v>
      </c>
      <c r="AU709" t="s">
        <v>1357</v>
      </c>
      <c r="AV709">
        <v>228</v>
      </c>
    </row>
    <row r="710" spans="1:48" x14ac:dyDescent="0.25">
      <c r="A710">
        <v>94</v>
      </c>
      <c r="B710" t="s">
        <v>2810</v>
      </c>
      <c r="C710" t="s">
        <v>2691</v>
      </c>
      <c r="D710" t="s">
        <v>2811</v>
      </c>
      <c r="E710" t="s">
        <v>2812</v>
      </c>
      <c r="F710" t="s">
        <v>2813</v>
      </c>
      <c r="G710" t="s">
        <v>104</v>
      </c>
      <c r="H710" s="1">
        <v>37128</v>
      </c>
      <c r="I710">
        <v>25</v>
      </c>
      <c r="J710">
        <v>2001</v>
      </c>
      <c r="K710" s="1">
        <v>45541</v>
      </c>
      <c r="L710">
        <v>2024</v>
      </c>
      <c r="M710" t="s">
        <v>54</v>
      </c>
      <c r="N710">
        <v>15</v>
      </c>
      <c r="O710" t="s">
        <v>91</v>
      </c>
      <c r="P710" t="s">
        <v>69</v>
      </c>
      <c r="Q710">
        <v>60</v>
      </c>
      <c r="R710">
        <v>5</v>
      </c>
      <c r="S710" t="s">
        <v>92</v>
      </c>
      <c r="T710" t="s">
        <v>93</v>
      </c>
      <c r="U710">
        <v>5</v>
      </c>
      <c r="V710">
        <v>5</v>
      </c>
      <c r="W710">
        <v>5</v>
      </c>
      <c r="X710">
        <v>4</v>
      </c>
      <c r="Y710">
        <v>1</v>
      </c>
      <c r="Z710">
        <v>5</v>
      </c>
      <c r="AA710">
        <v>2.6</v>
      </c>
      <c r="AB710">
        <v>13</v>
      </c>
      <c r="AC710" t="s">
        <v>59</v>
      </c>
      <c r="AD710" t="s">
        <v>60</v>
      </c>
      <c r="AE710">
        <v>1</v>
      </c>
      <c r="AF710">
        <v>0</v>
      </c>
      <c r="AG710">
        <v>2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2</v>
      </c>
      <c r="AN710">
        <v>0</v>
      </c>
      <c r="AO710">
        <v>5</v>
      </c>
      <c r="AP710">
        <v>0</v>
      </c>
      <c r="AQ710">
        <v>100</v>
      </c>
      <c r="AR710" s="2">
        <v>45851.412037037036</v>
      </c>
      <c r="AS710" s="2">
        <v>46059.982858796298</v>
      </c>
      <c r="AT710" t="s">
        <v>62</v>
      </c>
      <c r="AU710" t="s">
        <v>62</v>
      </c>
      <c r="AV710">
        <v>208</v>
      </c>
    </row>
    <row r="711" spans="1:48" x14ac:dyDescent="0.25">
      <c r="A711">
        <v>69</v>
      </c>
      <c r="B711" t="s">
        <v>2814</v>
      </c>
      <c r="C711" t="s">
        <v>2815</v>
      </c>
      <c r="D711" t="s">
        <v>347</v>
      </c>
      <c r="E711" t="s">
        <v>2816</v>
      </c>
      <c r="F711" t="s">
        <v>2817</v>
      </c>
      <c r="G711" t="s">
        <v>53</v>
      </c>
      <c r="H711" s="1">
        <v>38544</v>
      </c>
      <c r="I711">
        <v>21</v>
      </c>
      <c r="J711">
        <v>2005</v>
      </c>
      <c r="K711" s="1">
        <v>45489</v>
      </c>
      <c r="L711">
        <v>2024</v>
      </c>
      <c r="M711" t="s">
        <v>54</v>
      </c>
      <c r="N711">
        <v>9</v>
      </c>
      <c r="O711" t="s">
        <v>151</v>
      </c>
      <c r="P711" t="s">
        <v>69</v>
      </c>
      <c r="Q711">
        <v>60</v>
      </c>
      <c r="R711">
        <v>3</v>
      </c>
      <c r="S711" t="s">
        <v>126</v>
      </c>
      <c r="T711" t="s">
        <v>127</v>
      </c>
      <c r="U711">
        <v>5</v>
      </c>
      <c r="V711">
        <v>5</v>
      </c>
      <c r="W711">
        <v>5</v>
      </c>
      <c r="X711">
        <v>5</v>
      </c>
      <c r="Y711">
        <v>1</v>
      </c>
      <c r="Z711">
        <v>4</v>
      </c>
      <c r="AA711">
        <v>2.5</v>
      </c>
      <c r="AB711">
        <v>10</v>
      </c>
      <c r="AC711" t="s">
        <v>540</v>
      </c>
      <c r="AD711" t="s">
        <v>540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4</v>
      </c>
      <c r="AK711">
        <v>0</v>
      </c>
      <c r="AL711">
        <v>0</v>
      </c>
      <c r="AM711">
        <v>0</v>
      </c>
      <c r="AN711">
        <v>0</v>
      </c>
      <c r="AO711">
        <v>4</v>
      </c>
      <c r="AP711">
        <v>0</v>
      </c>
      <c r="AQ711">
        <v>100</v>
      </c>
      <c r="AR711" s="2">
        <v>45760.238692129627</v>
      </c>
      <c r="AS711" s="2">
        <v>46026.989965277775</v>
      </c>
      <c r="AT711" t="s">
        <v>1357</v>
      </c>
      <c r="AU711" t="s">
        <v>1357</v>
      </c>
      <c r="AV711">
        <v>266</v>
      </c>
    </row>
    <row r="712" spans="1:48" x14ac:dyDescent="0.25">
      <c r="A712">
        <v>925</v>
      </c>
      <c r="B712" t="s">
        <v>2818</v>
      </c>
      <c r="C712" t="s">
        <v>807</v>
      </c>
      <c r="D712" t="s">
        <v>2819</v>
      </c>
      <c r="E712" t="s">
        <v>2820</v>
      </c>
      <c r="F712" t="s">
        <v>2821</v>
      </c>
      <c r="G712" t="s">
        <v>104</v>
      </c>
      <c r="H712" s="1">
        <v>35558</v>
      </c>
      <c r="I712">
        <v>29</v>
      </c>
      <c r="J712">
        <v>1997</v>
      </c>
      <c r="K712" s="1">
        <v>45532</v>
      </c>
      <c r="L712">
        <v>2024</v>
      </c>
      <c r="M712" t="s">
        <v>111</v>
      </c>
      <c r="N712">
        <v>6</v>
      </c>
      <c r="O712" t="s">
        <v>133</v>
      </c>
      <c r="P712" t="s">
        <v>69</v>
      </c>
      <c r="Q712">
        <v>60</v>
      </c>
      <c r="R712">
        <v>2</v>
      </c>
      <c r="S712" t="s">
        <v>85</v>
      </c>
      <c r="T712" t="s">
        <v>86</v>
      </c>
      <c r="U712">
        <v>5</v>
      </c>
      <c r="V712">
        <v>5</v>
      </c>
      <c r="W712">
        <v>5</v>
      </c>
      <c r="X712">
        <v>5</v>
      </c>
      <c r="Y712">
        <v>1</v>
      </c>
      <c r="Z712">
        <v>5</v>
      </c>
      <c r="AA712">
        <v>1.7</v>
      </c>
      <c r="AB712">
        <v>8.5</v>
      </c>
      <c r="AC712" t="s">
        <v>70</v>
      </c>
      <c r="AD712" t="s">
        <v>60</v>
      </c>
      <c r="AE712">
        <v>1</v>
      </c>
      <c r="AF712">
        <v>0</v>
      </c>
      <c r="AG712">
        <v>0</v>
      </c>
      <c r="AH712">
        <v>0</v>
      </c>
      <c r="AI712">
        <v>0</v>
      </c>
      <c r="AJ712">
        <v>1</v>
      </c>
      <c r="AK712">
        <v>0</v>
      </c>
      <c r="AL712">
        <v>0</v>
      </c>
      <c r="AM712">
        <v>2</v>
      </c>
      <c r="AN712">
        <v>1</v>
      </c>
      <c r="AO712">
        <v>4</v>
      </c>
      <c r="AP712">
        <v>1</v>
      </c>
      <c r="AQ712">
        <v>80</v>
      </c>
      <c r="AR712" s="2">
        <v>45757.998171296298</v>
      </c>
      <c r="AS712" s="2">
        <v>46015.096585648149</v>
      </c>
      <c r="AT712" t="s">
        <v>62</v>
      </c>
      <c r="AU712" t="s">
        <v>62</v>
      </c>
      <c r="AV712">
        <v>258</v>
      </c>
    </row>
    <row r="713" spans="1:48" x14ac:dyDescent="0.25">
      <c r="A713">
        <v>238</v>
      </c>
      <c r="B713" t="s">
        <v>2822</v>
      </c>
      <c r="C713" t="s">
        <v>399</v>
      </c>
      <c r="D713" t="s">
        <v>2823</v>
      </c>
      <c r="E713" t="s">
        <v>2824</v>
      </c>
      <c r="F713">
        <f>1-978-714-1413</f>
        <v>-3104</v>
      </c>
      <c r="G713" t="s">
        <v>104</v>
      </c>
      <c r="H713" s="1">
        <v>36459</v>
      </c>
      <c r="I713">
        <v>27</v>
      </c>
      <c r="J713">
        <v>1999</v>
      </c>
      <c r="K713" s="1">
        <v>45605</v>
      </c>
      <c r="L713">
        <v>2024</v>
      </c>
      <c r="M713" t="s">
        <v>54</v>
      </c>
      <c r="N713">
        <v>10</v>
      </c>
      <c r="O713" t="s">
        <v>118</v>
      </c>
      <c r="P713" t="s">
        <v>119</v>
      </c>
      <c r="Q713">
        <v>120</v>
      </c>
      <c r="R713">
        <v>4</v>
      </c>
      <c r="S713" t="s">
        <v>77</v>
      </c>
      <c r="T713" t="s">
        <v>78</v>
      </c>
      <c r="U713">
        <v>5</v>
      </c>
      <c r="V713">
        <v>5</v>
      </c>
      <c r="W713">
        <v>5</v>
      </c>
      <c r="X713">
        <v>5</v>
      </c>
      <c r="Y713">
        <v>1</v>
      </c>
      <c r="Z713">
        <v>5</v>
      </c>
      <c r="AA713">
        <v>1.8</v>
      </c>
      <c r="AB713">
        <v>9</v>
      </c>
      <c r="AC713" t="s">
        <v>70</v>
      </c>
      <c r="AD713" t="s">
        <v>60</v>
      </c>
      <c r="AE713">
        <v>1</v>
      </c>
      <c r="AF713">
        <v>0</v>
      </c>
      <c r="AG713">
        <v>0</v>
      </c>
      <c r="AH713">
        <v>0</v>
      </c>
      <c r="AI713">
        <v>0</v>
      </c>
      <c r="AJ713">
        <v>2</v>
      </c>
      <c r="AK713">
        <v>0</v>
      </c>
      <c r="AL713">
        <v>0</v>
      </c>
      <c r="AM713">
        <v>0</v>
      </c>
      <c r="AN713">
        <v>2</v>
      </c>
      <c r="AO713">
        <v>3</v>
      </c>
      <c r="AP713">
        <v>2</v>
      </c>
      <c r="AQ713">
        <v>60</v>
      </c>
      <c r="AR713" s="2">
        <v>45805.668749999997</v>
      </c>
      <c r="AS713" s="2">
        <v>46023.851319444446</v>
      </c>
      <c r="AT713" t="s">
        <v>61</v>
      </c>
      <c r="AU713" t="s">
        <v>61</v>
      </c>
      <c r="AV713">
        <v>218</v>
      </c>
    </row>
    <row r="714" spans="1:48" x14ac:dyDescent="0.25">
      <c r="A714">
        <v>22</v>
      </c>
      <c r="B714" t="s">
        <v>2825</v>
      </c>
      <c r="C714" t="s">
        <v>2826</v>
      </c>
      <c r="D714" t="s">
        <v>850</v>
      </c>
      <c r="E714" t="s">
        <v>2827</v>
      </c>
      <c r="F714" t="s">
        <v>2828</v>
      </c>
      <c r="G714" t="s">
        <v>104</v>
      </c>
      <c r="H714" s="1">
        <v>35709</v>
      </c>
      <c r="I714">
        <v>29</v>
      </c>
      <c r="J714">
        <v>1997</v>
      </c>
      <c r="K714" s="1">
        <v>44654</v>
      </c>
      <c r="L714">
        <v>2022</v>
      </c>
      <c r="M714" t="s">
        <v>54</v>
      </c>
      <c r="N714">
        <v>18</v>
      </c>
      <c r="O714" t="s">
        <v>139</v>
      </c>
      <c r="P714" t="s">
        <v>69</v>
      </c>
      <c r="Q714">
        <v>60</v>
      </c>
      <c r="R714">
        <v>6</v>
      </c>
      <c r="S714" t="s">
        <v>140</v>
      </c>
      <c r="T714" t="s">
        <v>141</v>
      </c>
      <c r="U714">
        <v>5</v>
      </c>
      <c r="V714">
        <v>5</v>
      </c>
      <c r="W714">
        <v>5</v>
      </c>
      <c r="X714">
        <v>5</v>
      </c>
      <c r="Y714">
        <v>1</v>
      </c>
      <c r="Z714">
        <v>3</v>
      </c>
      <c r="AA714">
        <v>2</v>
      </c>
      <c r="AB714">
        <v>6</v>
      </c>
      <c r="AC714" t="s">
        <v>59</v>
      </c>
      <c r="AD714" t="s">
        <v>60</v>
      </c>
      <c r="AE714">
        <v>1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2</v>
      </c>
      <c r="AN714">
        <v>0</v>
      </c>
      <c r="AO714">
        <v>3</v>
      </c>
      <c r="AP714">
        <v>0</v>
      </c>
      <c r="AQ714">
        <v>100</v>
      </c>
      <c r="AR714" s="2">
        <v>45768.767372685186</v>
      </c>
      <c r="AS714" s="2">
        <v>46034.179062499999</v>
      </c>
      <c r="AT714" t="s">
        <v>1357</v>
      </c>
      <c r="AU714" t="s">
        <v>1357</v>
      </c>
      <c r="AV714">
        <v>266</v>
      </c>
    </row>
    <row r="715" spans="1:48" x14ac:dyDescent="0.25">
      <c r="A715">
        <v>622</v>
      </c>
      <c r="B715" t="s">
        <v>2829</v>
      </c>
      <c r="C715" t="s">
        <v>888</v>
      </c>
      <c r="D715" t="s">
        <v>487</v>
      </c>
      <c r="E715" t="s">
        <v>2830</v>
      </c>
      <c r="F715" t="s">
        <v>2831</v>
      </c>
      <c r="G715" t="s">
        <v>53</v>
      </c>
      <c r="H715" s="1">
        <v>35554</v>
      </c>
      <c r="I715">
        <v>29</v>
      </c>
      <c r="J715">
        <v>1997</v>
      </c>
      <c r="K715" s="1">
        <v>45110</v>
      </c>
      <c r="L715">
        <v>2023</v>
      </c>
      <c r="M715" t="s">
        <v>54</v>
      </c>
      <c r="N715">
        <v>4</v>
      </c>
      <c r="O715" t="s">
        <v>215</v>
      </c>
      <c r="P715" t="s">
        <v>119</v>
      </c>
      <c r="Q715">
        <v>120</v>
      </c>
      <c r="R715">
        <v>2</v>
      </c>
      <c r="S715" t="s">
        <v>85</v>
      </c>
      <c r="T715" t="s">
        <v>86</v>
      </c>
      <c r="U715">
        <v>5</v>
      </c>
      <c r="V715">
        <v>5</v>
      </c>
      <c r="W715">
        <v>5</v>
      </c>
      <c r="X715">
        <v>5</v>
      </c>
      <c r="Y715">
        <v>1</v>
      </c>
      <c r="Z715">
        <v>5</v>
      </c>
      <c r="AA715">
        <v>2.6</v>
      </c>
      <c r="AB715">
        <v>13</v>
      </c>
      <c r="AC715" t="s">
        <v>59</v>
      </c>
      <c r="AD715" t="s">
        <v>112</v>
      </c>
      <c r="AE715">
        <v>0</v>
      </c>
      <c r="AF715">
        <v>0</v>
      </c>
      <c r="AG715">
        <v>1</v>
      </c>
      <c r="AH715">
        <v>2</v>
      </c>
      <c r="AI715">
        <v>0</v>
      </c>
      <c r="AJ715">
        <v>1</v>
      </c>
      <c r="AK715">
        <v>0</v>
      </c>
      <c r="AL715">
        <v>0</v>
      </c>
      <c r="AM715">
        <v>1</v>
      </c>
      <c r="AN715">
        <v>0</v>
      </c>
      <c r="AO715">
        <v>5</v>
      </c>
      <c r="AP715">
        <v>0</v>
      </c>
      <c r="AQ715">
        <v>100</v>
      </c>
      <c r="AR715" s="2">
        <v>45734.981192129628</v>
      </c>
      <c r="AS715" s="2">
        <v>46058.655798611115</v>
      </c>
      <c r="AT715" t="s">
        <v>62</v>
      </c>
      <c r="AU715" t="s">
        <v>62</v>
      </c>
      <c r="AV715">
        <v>324</v>
      </c>
    </row>
    <row r="716" spans="1:48" x14ac:dyDescent="0.25">
      <c r="A716">
        <v>780</v>
      </c>
      <c r="B716" t="s">
        <v>2832</v>
      </c>
      <c r="C716" t="s">
        <v>390</v>
      </c>
      <c r="D716" t="s">
        <v>267</v>
      </c>
      <c r="E716" t="s">
        <v>2833</v>
      </c>
      <c r="F716" t="s">
        <v>2834</v>
      </c>
      <c r="G716" t="s">
        <v>53</v>
      </c>
      <c r="H716" s="1">
        <v>35243</v>
      </c>
      <c r="I716">
        <v>30</v>
      </c>
      <c r="J716">
        <v>1996</v>
      </c>
      <c r="K716" s="1">
        <v>45802</v>
      </c>
      <c r="L716">
        <v>2025</v>
      </c>
      <c r="M716" t="s">
        <v>54</v>
      </c>
      <c r="N716">
        <v>7</v>
      </c>
      <c r="O716" t="s">
        <v>231</v>
      </c>
      <c r="P716" t="s">
        <v>119</v>
      </c>
      <c r="Q716">
        <v>120</v>
      </c>
      <c r="R716">
        <v>3</v>
      </c>
      <c r="S716" t="s">
        <v>126</v>
      </c>
      <c r="T716" t="s">
        <v>127</v>
      </c>
      <c r="U716">
        <v>5</v>
      </c>
      <c r="V716">
        <v>5</v>
      </c>
      <c r="W716">
        <v>5</v>
      </c>
      <c r="X716">
        <v>5</v>
      </c>
      <c r="Y716">
        <v>1</v>
      </c>
      <c r="Z716">
        <v>2</v>
      </c>
      <c r="AA716">
        <v>1.75</v>
      </c>
      <c r="AB716">
        <v>3.5</v>
      </c>
      <c r="AC716" t="s">
        <v>59</v>
      </c>
      <c r="AD716" t="s">
        <v>540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1</v>
      </c>
      <c r="AN716">
        <v>0</v>
      </c>
      <c r="AO716">
        <v>2</v>
      </c>
      <c r="AP716">
        <v>0</v>
      </c>
      <c r="AQ716">
        <v>100</v>
      </c>
      <c r="AR716" s="2">
        <v>45739.438599537039</v>
      </c>
      <c r="AS716" s="2">
        <v>46082.02412037037</v>
      </c>
      <c r="AT716" t="s">
        <v>1357</v>
      </c>
      <c r="AU716" t="s">
        <v>1357</v>
      </c>
      <c r="AV716">
        <v>343</v>
      </c>
    </row>
    <row r="717" spans="1:48" x14ac:dyDescent="0.25">
      <c r="A717">
        <v>700</v>
      </c>
      <c r="B717" t="s">
        <v>2835</v>
      </c>
      <c r="C717" t="s">
        <v>257</v>
      </c>
      <c r="D717" t="s">
        <v>2836</v>
      </c>
      <c r="E717" t="s">
        <v>2837</v>
      </c>
      <c r="F717" t="s">
        <v>2838</v>
      </c>
      <c r="G717" t="s">
        <v>104</v>
      </c>
      <c r="H717" s="1">
        <v>37424</v>
      </c>
      <c r="I717">
        <v>24</v>
      </c>
      <c r="J717">
        <v>2002</v>
      </c>
      <c r="K717" s="1">
        <v>45341</v>
      </c>
      <c r="L717">
        <v>2024</v>
      </c>
      <c r="M717" t="s">
        <v>54</v>
      </c>
      <c r="N717">
        <v>8</v>
      </c>
      <c r="O717" t="s">
        <v>125</v>
      </c>
      <c r="P717" t="s">
        <v>56</v>
      </c>
      <c r="Q717">
        <v>36</v>
      </c>
      <c r="R717">
        <v>3</v>
      </c>
      <c r="S717" t="s">
        <v>126</v>
      </c>
      <c r="T717" t="s">
        <v>127</v>
      </c>
      <c r="U717">
        <v>5</v>
      </c>
      <c r="V717">
        <v>5</v>
      </c>
      <c r="W717">
        <v>5</v>
      </c>
      <c r="X717">
        <v>5</v>
      </c>
      <c r="Y717">
        <v>1</v>
      </c>
      <c r="Z717">
        <v>5</v>
      </c>
      <c r="AA717">
        <v>0.8</v>
      </c>
      <c r="AB717">
        <v>4</v>
      </c>
      <c r="AC717" t="s">
        <v>70</v>
      </c>
      <c r="AD717" t="s">
        <v>112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1</v>
      </c>
      <c r="AN717">
        <v>3</v>
      </c>
      <c r="AO717">
        <v>2</v>
      </c>
      <c r="AP717">
        <v>3</v>
      </c>
      <c r="AQ717">
        <v>40</v>
      </c>
      <c r="AR717" s="2">
        <v>45733.769826388889</v>
      </c>
      <c r="AS717" s="2">
        <v>46082.129212962966</v>
      </c>
      <c r="AT717" t="s">
        <v>62</v>
      </c>
      <c r="AU717" t="s">
        <v>62</v>
      </c>
      <c r="AV717">
        <v>349</v>
      </c>
    </row>
    <row r="718" spans="1:48" x14ac:dyDescent="0.25">
      <c r="A718">
        <v>765</v>
      </c>
      <c r="B718" t="s">
        <v>2839</v>
      </c>
      <c r="C718" t="s">
        <v>627</v>
      </c>
      <c r="D718" t="s">
        <v>2840</v>
      </c>
      <c r="E718" t="s">
        <v>2841</v>
      </c>
      <c r="F718">
        <v>4934459626</v>
      </c>
      <c r="G718" t="s">
        <v>104</v>
      </c>
      <c r="H718" s="1">
        <v>39209</v>
      </c>
      <c r="I718">
        <v>19</v>
      </c>
      <c r="J718">
        <v>2007</v>
      </c>
      <c r="K718" s="1">
        <v>46035</v>
      </c>
      <c r="L718">
        <v>2026</v>
      </c>
      <c r="M718" t="s">
        <v>54</v>
      </c>
      <c r="N718">
        <v>4</v>
      </c>
      <c r="O718" t="s">
        <v>215</v>
      </c>
      <c r="P718" t="s">
        <v>119</v>
      </c>
      <c r="Q718">
        <v>120</v>
      </c>
      <c r="R718">
        <v>2</v>
      </c>
      <c r="S718" t="s">
        <v>85</v>
      </c>
      <c r="T718" t="s">
        <v>86</v>
      </c>
      <c r="U718">
        <v>5</v>
      </c>
      <c r="V718">
        <v>5</v>
      </c>
      <c r="W718">
        <v>5</v>
      </c>
      <c r="X718">
        <v>5</v>
      </c>
      <c r="Y718">
        <v>1</v>
      </c>
      <c r="Z718">
        <v>5</v>
      </c>
      <c r="AA718">
        <v>1.7</v>
      </c>
      <c r="AB718">
        <v>8.5</v>
      </c>
      <c r="AC718" t="s">
        <v>70</v>
      </c>
      <c r="AD718" t="s">
        <v>281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2</v>
      </c>
      <c r="AK718">
        <v>0</v>
      </c>
      <c r="AL718">
        <v>0</v>
      </c>
      <c r="AM718">
        <v>0</v>
      </c>
      <c r="AN718">
        <v>2</v>
      </c>
      <c r="AO718">
        <v>3</v>
      </c>
      <c r="AP718">
        <v>2</v>
      </c>
      <c r="AQ718">
        <v>60</v>
      </c>
      <c r="AR718" s="2">
        <v>45752.345613425925</v>
      </c>
      <c r="AS718" s="2">
        <v>46022.359236111108</v>
      </c>
      <c r="AT718" t="s">
        <v>62</v>
      </c>
      <c r="AU718" t="s">
        <v>62</v>
      </c>
      <c r="AV718">
        <v>270</v>
      </c>
    </row>
    <row r="719" spans="1:48" x14ac:dyDescent="0.25">
      <c r="A719">
        <v>699</v>
      </c>
      <c r="B719" t="s">
        <v>2712</v>
      </c>
      <c r="C719" t="s">
        <v>153</v>
      </c>
      <c r="D719" t="s">
        <v>820</v>
      </c>
      <c r="E719" t="s">
        <v>2842</v>
      </c>
      <c r="F719" t="s">
        <v>2843</v>
      </c>
      <c r="G719" t="s">
        <v>104</v>
      </c>
      <c r="H719" s="1">
        <v>36316</v>
      </c>
      <c r="I719">
        <v>27</v>
      </c>
      <c r="J719">
        <v>1999</v>
      </c>
      <c r="K719" s="1">
        <v>45356</v>
      </c>
      <c r="L719">
        <v>2024</v>
      </c>
      <c r="M719" t="s">
        <v>54</v>
      </c>
      <c r="N719">
        <v>5</v>
      </c>
      <c r="O719" t="s">
        <v>84</v>
      </c>
      <c r="P719" t="s">
        <v>56</v>
      </c>
      <c r="Q719">
        <v>36</v>
      </c>
      <c r="R719">
        <v>2</v>
      </c>
      <c r="S719" t="s">
        <v>85</v>
      </c>
      <c r="T719" t="s">
        <v>86</v>
      </c>
      <c r="U719">
        <v>5</v>
      </c>
      <c r="V719">
        <v>5</v>
      </c>
      <c r="W719">
        <v>5</v>
      </c>
      <c r="X719">
        <v>5</v>
      </c>
      <c r="Y719">
        <v>1</v>
      </c>
      <c r="Z719">
        <v>1</v>
      </c>
      <c r="AA719">
        <v>2.5</v>
      </c>
      <c r="AB719">
        <v>2.5</v>
      </c>
      <c r="AC719" t="s">
        <v>540</v>
      </c>
      <c r="AD719" t="s">
        <v>540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</v>
      </c>
      <c r="AK719">
        <v>0</v>
      </c>
      <c r="AL719">
        <v>0</v>
      </c>
      <c r="AM719">
        <v>0</v>
      </c>
      <c r="AN719">
        <v>0</v>
      </c>
      <c r="AO719">
        <v>1</v>
      </c>
      <c r="AP719">
        <v>0</v>
      </c>
      <c r="AQ719">
        <v>100</v>
      </c>
      <c r="AR719" s="2">
        <v>45928.964965277781</v>
      </c>
      <c r="AS719" s="2">
        <v>46078.121666666666</v>
      </c>
      <c r="AT719" t="s">
        <v>1357</v>
      </c>
      <c r="AU719" t="s">
        <v>1357</v>
      </c>
      <c r="AV719">
        <v>150</v>
      </c>
    </row>
    <row r="720" spans="1:48" x14ac:dyDescent="0.25">
      <c r="A720">
        <v>905</v>
      </c>
      <c r="B720" t="s">
        <v>2844</v>
      </c>
      <c r="C720" t="s">
        <v>1042</v>
      </c>
      <c r="D720" t="s">
        <v>2845</v>
      </c>
      <c r="E720" t="s">
        <v>2846</v>
      </c>
      <c r="F720" t="s">
        <v>2847</v>
      </c>
      <c r="G720" t="s">
        <v>104</v>
      </c>
      <c r="H720" s="1">
        <v>39382</v>
      </c>
      <c r="I720">
        <v>19</v>
      </c>
      <c r="J720">
        <v>2007</v>
      </c>
      <c r="K720" s="1">
        <v>46073</v>
      </c>
      <c r="L720">
        <v>2026</v>
      </c>
      <c r="M720" t="s">
        <v>54</v>
      </c>
      <c r="N720">
        <v>4</v>
      </c>
      <c r="O720" t="s">
        <v>215</v>
      </c>
      <c r="P720" t="s">
        <v>119</v>
      </c>
      <c r="Q720">
        <v>120</v>
      </c>
      <c r="R720">
        <v>2</v>
      </c>
      <c r="S720" t="s">
        <v>85</v>
      </c>
      <c r="T720" t="s">
        <v>86</v>
      </c>
      <c r="U720">
        <v>5</v>
      </c>
      <c r="V720">
        <v>5</v>
      </c>
      <c r="W720">
        <v>5</v>
      </c>
      <c r="X720">
        <v>5</v>
      </c>
      <c r="Y720">
        <v>1</v>
      </c>
      <c r="Z720">
        <v>5</v>
      </c>
      <c r="AA720">
        <v>3.1</v>
      </c>
      <c r="AB720">
        <v>15.5</v>
      </c>
      <c r="AC720" t="s">
        <v>540</v>
      </c>
      <c r="AD720" t="s">
        <v>60</v>
      </c>
      <c r="AE720">
        <v>2</v>
      </c>
      <c r="AF720">
        <v>0</v>
      </c>
      <c r="AG720">
        <v>0</v>
      </c>
      <c r="AH720">
        <v>1</v>
      </c>
      <c r="AI720">
        <v>0</v>
      </c>
      <c r="AJ720">
        <v>1</v>
      </c>
      <c r="AK720">
        <v>1</v>
      </c>
      <c r="AL720">
        <v>0</v>
      </c>
      <c r="AM720">
        <v>0</v>
      </c>
      <c r="AN720">
        <v>0</v>
      </c>
      <c r="AO720">
        <v>5</v>
      </c>
      <c r="AP720">
        <v>0</v>
      </c>
      <c r="AQ720">
        <v>100</v>
      </c>
      <c r="AR720" s="2">
        <v>45815.533090277779</v>
      </c>
      <c r="AS720" s="2">
        <v>46062.697569444441</v>
      </c>
      <c r="AT720" t="s">
        <v>61</v>
      </c>
      <c r="AU720" t="s">
        <v>61</v>
      </c>
      <c r="AV720">
        <v>247</v>
      </c>
    </row>
    <row r="721" spans="1:48" x14ac:dyDescent="0.25">
      <c r="A721">
        <v>200</v>
      </c>
      <c r="B721" t="s">
        <v>2848</v>
      </c>
      <c r="C721" t="s">
        <v>695</v>
      </c>
      <c r="D721" t="s">
        <v>2849</v>
      </c>
      <c r="E721" t="s">
        <v>2850</v>
      </c>
      <c r="F721" t="s">
        <v>2851</v>
      </c>
      <c r="G721" t="s">
        <v>53</v>
      </c>
      <c r="H721" s="1">
        <v>37192</v>
      </c>
      <c r="I721">
        <v>25</v>
      </c>
      <c r="J721">
        <v>2001</v>
      </c>
      <c r="K721" s="1">
        <v>45592</v>
      </c>
      <c r="L721">
        <v>2024</v>
      </c>
      <c r="M721" t="s">
        <v>54</v>
      </c>
      <c r="N721">
        <v>17</v>
      </c>
      <c r="O721" t="s">
        <v>350</v>
      </c>
      <c r="P721" t="s">
        <v>56</v>
      </c>
      <c r="Q721">
        <v>36</v>
      </c>
      <c r="R721">
        <v>6</v>
      </c>
      <c r="S721" t="s">
        <v>140</v>
      </c>
      <c r="T721" t="s">
        <v>141</v>
      </c>
      <c r="U721">
        <v>5</v>
      </c>
      <c r="V721">
        <v>5</v>
      </c>
      <c r="W721">
        <v>5</v>
      </c>
      <c r="X721">
        <v>5</v>
      </c>
      <c r="Y721">
        <v>1</v>
      </c>
      <c r="Z721">
        <v>3</v>
      </c>
      <c r="AA721">
        <v>3.1666660000000002</v>
      </c>
      <c r="AB721">
        <v>9.5</v>
      </c>
      <c r="AC721" t="s">
        <v>281</v>
      </c>
      <c r="AD721" t="s">
        <v>112</v>
      </c>
      <c r="AE721">
        <v>0</v>
      </c>
      <c r="AF721">
        <v>0</v>
      </c>
      <c r="AG721">
        <v>1</v>
      </c>
      <c r="AH721">
        <v>2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3</v>
      </c>
      <c r="AP721">
        <v>0</v>
      </c>
      <c r="AQ721">
        <v>100</v>
      </c>
      <c r="AR721" s="2">
        <v>45730.058182870373</v>
      </c>
      <c r="AS721" s="2">
        <v>45978.021145833336</v>
      </c>
      <c r="AT721" t="s">
        <v>1357</v>
      </c>
      <c r="AU721" t="s">
        <v>1357</v>
      </c>
      <c r="AV721">
        <v>248</v>
      </c>
    </row>
    <row r="722" spans="1:48" x14ac:dyDescent="0.25">
      <c r="A722">
        <v>976</v>
      </c>
      <c r="B722" t="s">
        <v>2852</v>
      </c>
      <c r="C722" t="s">
        <v>122</v>
      </c>
      <c r="D722" t="s">
        <v>2800</v>
      </c>
      <c r="E722" t="s">
        <v>2853</v>
      </c>
      <c r="F722">
        <f>1-529-638-4401</f>
        <v>-5567</v>
      </c>
      <c r="G722" t="s">
        <v>104</v>
      </c>
      <c r="H722" s="1">
        <v>39019</v>
      </c>
      <c r="I722">
        <v>20</v>
      </c>
      <c r="J722">
        <v>2006</v>
      </c>
      <c r="K722" s="1">
        <v>44632</v>
      </c>
      <c r="L722">
        <v>2022</v>
      </c>
      <c r="M722" t="s">
        <v>111</v>
      </c>
      <c r="N722">
        <v>3</v>
      </c>
      <c r="O722" t="s">
        <v>68</v>
      </c>
      <c r="P722" t="s">
        <v>69</v>
      </c>
      <c r="Q722">
        <v>60</v>
      </c>
      <c r="R722">
        <v>1</v>
      </c>
      <c r="S722" t="s">
        <v>57</v>
      </c>
      <c r="T722" t="s">
        <v>58</v>
      </c>
      <c r="U722">
        <v>5</v>
      </c>
      <c r="V722">
        <v>5</v>
      </c>
      <c r="W722">
        <v>5</v>
      </c>
      <c r="X722">
        <v>5</v>
      </c>
      <c r="Y722">
        <v>1</v>
      </c>
      <c r="Z722">
        <v>3</v>
      </c>
      <c r="AA722">
        <v>2.1666660000000002</v>
      </c>
      <c r="AB722">
        <v>6.5</v>
      </c>
      <c r="AC722" t="s">
        <v>59</v>
      </c>
      <c r="AD722" t="s">
        <v>281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0</v>
      </c>
      <c r="AK722">
        <v>1</v>
      </c>
      <c r="AL722">
        <v>0</v>
      </c>
      <c r="AM722">
        <v>1</v>
      </c>
      <c r="AN722">
        <v>0</v>
      </c>
      <c r="AO722">
        <v>3</v>
      </c>
      <c r="AP722">
        <v>0</v>
      </c>
      <c r="AQ722">
        <v>100</v>
      </c>
      <c r="AR722" s="2">
        <v>45741.177418981482</v>
      </c>
      <c r="AS722" s="2">
        <v>46020.289004629631</v>
      </c>
      <c r="AT722" t="s">
        <v>1357</v>
      </c>
      <c r="AU722" t="s">
        <v>1357</v>
      </c>
      <c r="AV722">
        <v>279</v>
      </c>
    </row>
    <row r="723" spans="1:48" x14ac:dyDescent="0.25">
      <c r="A723">
        <v>323</v>
      </c>
      <c r="B723" t="s">
        <v>2854</v>
      </c>
      <c r="C723" t="s">
        <v>2083</v>
      </c>
      <c r="D723" t="s">
        <v>1423</v>
      </c>
      <c r="E723" t="s">
        <v>2855</v>
      </c>
      <c r="F723" t="s">
        <v>2856</v>
      </c>
      <c r="G723" t="s">
        <v>53</v>
      </c>
      <c r="H723" s="1">
        <v>36728</v>
      </c>
      <c r="I723">
        <v>26</v>
      </c>
      <c r="J723">
        <v>2000</v>
      </c>
      <c r="K723" s="1">
        <v>45351</v>
      </c>
      <c r="L723">
        <v>2024</v>
      </c>
      <c r="M723" t="s">
        <v>54</v>
      </c>
      <c r="N723">
        <v>12</v>
      </c>
      <c r="O723" t="s">
        <v>76</v>
      </c>
      <c r="P723" t="s">
        <v>69</v>
      </c>
      <c r="Q723">
        <v>60</v>
      </c>
      <c r="R723">
        <v>4</v>
      </c>
      <c r="S723" t="s">
        <v>77</v>
      </c>
      <c r="T723" t="s">
        <v>78</v>
      </c>
      <c r="U723">
        <v>5</v>
      </c>
      <c r="V723">
        <v>5</v>
      </c>
      <c r="W723">
        <v>5</v>
      </c>
      <c r="X723">
        <v>5</v>
      </c>
      <c r="Y723">
        <v>1</v>
      </c>
      <c r="Z723">
        <v>2</v>
      </c>
      <c r="AA723">
        <v>3.5</v>
      </c>
      <c r="AB723">
        <v>7</v>
      </c>
      <c r="AC723" t="s">
        <v>281</v>
      </c>
      <c r="AD723" t="s">
        <v>281</v>
      </c>
      <c r="AE723">
        <v>0</v>
      </c>
      <c r="AF723">
        <v>0</v>
      </c>
      <c r="AG723">
        <v>2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2</v>
      </c>
      <c r="AP723">
        <v>0</v>
      </c>
      <c r="AQ723">
        <v>100</v>
      </c>
      <c r="AR723" s="2">
        <v>45878.510381944441</v>
      </c>
      <c r="AS723" s="2">
        <v>46066.294039351851</v>
      </c>
      <c r="AT723" t="s">
        <v>1357</v>
      </c>
      <c r="AU723" t="s">
        <v>1357</v>
      </c>
      <c r="AV723">
        <v>188</v>
      </c>
    </row>
    <row r="724" spans="1:48" x14ac:dyDescent="0.25">
      <c r="A724">
        <v>162</v>
      </c>
      <c r="B724" t="s">
        <v>2857</v>
      </c>
      <c r="C724" t="s">
        <v>1527</v>
      </c>
      <c r="D724" t="s">
        <v>1893</v>
      </c>
      <c r="E724" t="s">
        <v>2858</v>
      </c>
      <c r="F724" t="s">
        <v>2859</v>
      </c>
      <c r="G724" t="s">
        <v>104</v>
      </c>
      <c r="H724" s="1">
        <v>37310</v>
      </c>
      <c r="I724">
        <v>24</v>
      </c>
      <c r="J724">
        <v>2002</v>
      </c>
      <c r="K724" s="1">
        <v>45195</v>
      </c>
      <c r="L724">
        <v>2023</v>
      </c>
      <c r="M724" t="s">
        <v>54</v>
      </c>
      <c r="N724">
        <v>14</v>
      </c>
      <c r="O724" t="s">
        <v>105</v>
      </c>
      <c r="P724" t="s">
        <v>56</v>
      </c>
      <c r="Q724">
        <v>36</v>
      </c>
      <c r="R724">
        <v>5</v>
      </c>
      <c r="S724" t="s">
        <v>92</v>
      </c>
      <c r="T724" t="s">
        <v>93</v>
      </c>
      <c r="U724">
        <v>5</v>
      </c>
      <c r="V724">
        <v>5</v>
      </c>
      <c r="W724">
        <v>5</v>
      </c>
      <c r="X724">
        <v>5</v>
      </c>
      <c r="Y724">
        <v>1</v>
      </c>
      <c r="Z724">
        <v>5</v>
      </c>
      <c r="AA724">
        <v>1.2</v>
      </c>
      <c r="AB724">
        <v>6</v>
      </c>
      <c r="AC724" t="s">
        <v>70</v>
      </c>
      <c r="AD724" t="s">
        <v>540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</v>
      </c>
      <c r="AK724">
        <v>0</v>
      </c>
      <c r="AL724">
        <v>0</v>
      </c>
      <c r="AM724">
        <v>1</v>
      </c>
      <c r="AN724">
        <v>2</v>
      </c>
      <c r="AO724">
        <v>3</v>
      </c>
      <c r="AP724">
        <v>2</v>
      </c>
      <c r="AQ724">
        <v>60</v>
      </c>
      <c r="AR724" s="2">
        <v>45728.506689814814</v>
      </c>
      <c r="AS724" s="2">
        <v>46076.543506944443</v>
      </c>
      <c r="AT724" t="s">
        <v>62</v>
      </c>
      <c r="AU724" t="s">
        <v>62</v>
      </c>
      <c r="AV724">
        <v>348</v>
      </c>
    </row>
    <row r="725" spans="1:48" x14ac:dyDescent="0.25">
      <c r="A725">
        <v>669</v>
      </c>
      <c r="B725" t="s">
        <v>2860</v>
      </c>
      <c r="C725" t="s">
        <v>1514</v>
      </c>
      <c r="D725" t="s">
        <v>2379</v>
      </c>
      <c r="E725" t="s">
        <v>2861</v>
      </c>
      <c r="F725">
        <f>1-581-457-9376</f>
        <v>-10413</v>
      </c>
      <c r="G725" t="s">
        <v>104</v>
      </c>
      <c r="H725" s="1">
        <v>39159</v>
      </c>
      <c r="I725">
        <v>19</v>
      </c>
      <c r="J725">
        <v>2007</v>
      </c>
      <c r="K725" s="1">
        <v>44982</v>
      </c>
      <c r="L725">
        <v>2023</v>
      </c>
      <c r="M725" t="s">
        <v>54</v>
      </c>
      <c r="N725">
        <v>15</v>
      </c>
      <c r="O725" t="s">
        <v>91</v>
      </c>
      <c r="P725" t="s">
        <v>69</v>
      </c>
      <c r="Q725">
        <v>60</v>
      </c>
      <c r="R725">
        <v>5</v>
      </c>
      <c r="S725" t="s">
        <v>92</v>
      </c>
      <c r="T725" t="s">
        <v>93</v>
      </c>
      <c r="U725">
        <v>5</v>
      </c>
      <c r="V725">
        <v>5</v>
      </c>
      <c r="W725">
        <v>5</v>
      </c>
      <c r="X725">
        <v>5</v>
      </c>
      <c r="Y725">
        <v>1</v>
      </c>
      <c r="Z725">
        <v>5</v>
      </c>
      <c r="AA725">
        <v>1.9</v>
      </c>
      <c r="AB725">
        <v>9.5</v>
      </c>
      <c r="AC725" t="s">
        <v>70</v>
      </c>
      <c r="AD725" t="s">
        <v>60</v>
      </c>
      <c r="AE725">
        <v>1</v>
      </c>
      <c r="AF725">
        <v>0</v>
      </c>
      <c r="AG725">
        <v>1</v>
      </c>
      <c r="AH725">
        <v>0</v>
      </c>
      <c r="AI725">
        <v>0</v>
      </c>
      <c r="AJ725">
        <v>0</v>
      </c>
      <c r="AK725">
        <v>1</v>
      </c>
      <c r="AL725">
        <v>0</v>
      </c>
      <c r="AM725">
        <v>0</v>
      </c>
      <c r="AN725">
        <v>2</v>
      </c>
      <c r="AO725">
        <v>3</v>
      </c>
      <c r="AP725">
        <v>2</v>
      </c>
      <c r="AQ725">
        <v>60</v>
      </c>
      <c r="AR725" s="2">
        <v>45762.396620370368</v>
      </c>
      <c r="AS725" s="2">
        <v>46048.019050925926</v>
      </c>
      <c r="AT725" t="s">
        <v>61</v>
      </c>
      <c r="AU725" t="s">
        <v>61</v>
      </c>
      <c r="AV725">
        <v>286</v>
      </c>
    </row>
    <row r="726" spans="1:48" x14ac:dyDescent="0.25">
      <c r="A726">
        <v>523</v>
      </c>
      <c r="B726" t="s">
        <v>2862</v>
      </c>
      <c r="C726" t="s">
        <v>429</v>
      </c>
      <c r="D726" t="s">
        <v>320</v>
      </c>
      <c r="E726" t="s">
        <v>2863</v>
      </c>
      <c r="F726" t="s">
        <v>2864</v>
      </c>
      <c r="G726" t="s">
        <v>104</v>
      </c>
      <c r="H726" s="1">
        <v>39188</v>
      </c>
      <c r="I726">
        <v>19</v>
      </c>
      <c r="J726">
        <v>2007</v>
      </c>
      <c r="K726" s="1">
        <v>45744</v>
      </c>
      <c r="L726">
        <v>2025</v>
      </c>
      <c r="M726" t="s">
        <v>54</v>
      </c>
      <c r="N726">
        <v>4</v>
      </c>
      <c r="O726" t="s">
        <v>215</v>
      </c>
      <c r="P726" t="s">
        <v>119</v>
      </c>
      <c r="Q726">
        <v>120</v>
      </c>
      <c r="R726">
        <v>2</v>
      </c>
      <c r="S726" t="s">
        <v>85</v>
      </c>
      <c r="T726" t="s">
        <v>86</v>
      </c>
      <c r="U726">
        <v>5</v>
      </c>
      <c r="V726">
        <v>5</v>
      </c>
      <c r="W726">
        <v>5</v>
      </c>
      <c r="X726">
        <v>5</v>
      </c>
      <c r="Y726">
        <v>1</v>
      </c>
      <c r="Z726">
        <v>1</v>
      </c>
      <c r="AA726">
        <v>3.5</v>
      </c>
      <c r="AB726">
        <v>3.5</v>
      </c>
      <c r="AC726" t="s">
        <v>281</v>
      </c>
      <c r="AD726" t="s">
        <v>281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1</v>
      </c>
      <c r="AP726">
        <v>0</v>
      </c>
      <c r="AQ726">
        <v>100</v>
      </c>
      <c r="AR726" s="2">
        <v>45758.284780092596</v>
      </c>
      <c r="AS726" s="2">
        <v>46020.265949074077</v>
      </c>
      <c r="AT726" t="s">
        <v>1357</v>
      </c>
      <c r="AU726" t="s">
        <v>1357</v>
      </c>
      <c r="AV726">
        <v>262</v>
      </c>
    </row>
    <row r="727" spans="1:48" x14ac:dyDescent="0.25">
      <c r="A727">
        <v>369</v>
      </c>
      <c r="B727" t="s">
        <v>2865</v>
      </c>
      <c r="C727" t="s">
        <v>2866</v>
      </c>
      <c r="D727" t="s">
        <v>2228</v>
      </c>
      <c r="E727" t="s">
        <v>2867</v>
      </c>
      <c r="F727" t="s">
        <v>2868</v>
      </c>
      <c r="G727" t="s">
        <v>53</v>
      </c>
      <c r="H727" s="1">
        <v>36965</v>
      </c>
      <c r="I727">
        <v>25</v>
      </c>
      <c r="J727">
        <v>2001</v>
      </c>
      <c r="K727" s="1">
        <v>44827</v>
      </c>
      <c r="L727">
        <v>2022</v>
      </c>
      <c r="M727" t="s">
        <v>54</v>
      </c>
      <c r="N727">
        <v>19</v>
      </c>
      <c r="O727" t="s">
        <v>162</v>
      </c>
      <c r="P727" t="s">
        <v>119</v>
      </c>
      <c r="Q727">
        <v>120</v>
      </c>
      <c r="R727">
        <v>7</v>
      </c>
      <c r="S727" t="s">
        <v>163</v>
      </c>
      <c r="T727" t="s">
        <v>164</v>
      </c>
      <c r="U727">
        <v>5</v>
      </c>
      <c r="V727">
        <v>5</v>
      </c>
      <c r="W727">
        <v>5</v>
      </c>
      <c r="X727">
        <v>5</v>
      </c>
      <c r="Y727">
        <v>1</v>
      </c>
      <c r="Z727">
        <v>5</v>
      </c>
      <c r="AA727">
        <v>2.2000000000000002</v>
      </c>
      <c r="AB727">
        <v>11</v>
      </c>
      <c r="AC727" t="s">
        <v>59</v>
      </c>
      <c r="AD727" t="s">
        <v>60</v>
      </c>
      <c r="AE727">
        <v>1</v>
      </c>
      <c r="AF727">
        <v>0</v>
      </c>
      <c r="AG727">
        <v>0</v>
      </c>
      <c r="AH727">
        <v>0</v>
      </c>
      <c r="AI727">
        <v>0</v>
      </c>
      <c r="AJ727">
        <v>2</v>
      </c>
      <c r="AK727">
        <v>0</v>
      </c>
      <c r="AL727">
        <v>0</v>
      </c>
      <c r="AM727">
        <v>2</v>
      </c>
      <c r="AN727">
        <v>0</v>
      </c>
      <c r="AO727">
        <v>5</v>
      </c>
      <c r="AP727">
        <v>0</v>
      </c>
      <c r="AQ727">
        <v>100</v>
      </c>
      <c r="AR727" s="2">
        <v>45721.718645833331</v>
      </c>
      <c r="AS727" s="2">
        <v>46027.008217592593</v>
      </c>
      <c r="AT727" t="s">
        <v>61</v>
      </c>
      <c r="AU727" t="s">
        <v>61</v>
      </c>
      <c r="AV727">
        <v>306</v>
      </c>
    </row>
    <row r="728" spans="1:48" x14ac:dyDescent="0.25">
      <c r="A728">
        <v>360</v>
      </c>
      <c r="B728" t="s">
        <v>2869</v>
      </c>
      <c r="C728" t="s">
        <v>172</v>
      </c>
      <c r="D728" t="s">
        <v>207</v>
      </c>
      <c r="E728" t="s">
        <v>2870</v>
      </c>
      <c r="F728" t="s">
        <v>2871</v>
      </c>
      <c r="G728" t="s">
        <v>104</v>
      </c>
      <c r="H728" s="1">
        <v>36719</v>
      </c>
      <c r="I728">
        <v>26</v>
      </c>
      <c r="J728">
        <v>2000</v>
      </c>
      <c r="K728" s="1">
        <v>45995</v>
      </c>
      <c r="L728">
        <v>2025</v>
      </c>
      <c r="M728" t="s">
        <v>111</v>
      </c>
      <c r="N728">
        <v>11</v>
      </c>
      <c r="O728" t="s">
        <v>378</v>
      </c>
      <c r="P728" t="s">
        <v>56</v>
      </c>
      <c r="Q728">
        <v>36</v>
      </c>
      <c r="R728">
        <v>4</v>
      </c>
      <c r="S728" t="s">
        <v>77</v>
      </c>
      <c r="T728" t="s">
        <v>78</v>
      </c>
      <c r="U728">
        <v>5</v>
      </c>
      <c r="V728">
        <v>5</v>
      </c>
      <c r="W728">
        <v>5</v>
      </c>
      <c r="X728">
        <v>5</v>
      </c>
      <c r="Y728">
        <v>1</v>
      </c>
      <c r="Z728">
        <v>5</v>
      </c>
      <c r="AA728">
        <v>2.1</v>
      </c>
      <c r="AB728">
        <v>10.5</v>
      </c>
      <c r="AC728" t="s">
        <v>70</v>
      </c>
      <c r="AD728" t="s">
        <v>281</v>
      </c>
      <c r="AE728">
        <v>0</v>
      </c>
      <c r="AF728">
        <v>0</v>
      </c>
      <c r="AG728">
        <v>1</v>
      </c>
      <c r="AH728">
        <v>0</v>
      </c>
      <c r="AI728">
        <v>0</v>
      </c>
      <c r="AJ728">
        <v>2</v>
      </c>
      <c r="AK728">
        <v>1</v>
      </c>
      <c r="AL728">
        <v>0</v>
      </c>
      <c r="AM728">
        <v>0</v>
      </c>
      <c r="AN728">
        <v>1</v>
      </c>
      <c r="AO728">
        <v>4</v>
      </c>
      <c r="AP728">
        <v>1</v>
      </c>
      <c r="AQ728">
        <v>80</v>
      </c>
      <c r="AR728" s="2">
        <v>45776.751099537039</v>
      </c>
      <c r="AS728" s="2">
        <v>46070.190567129626</v>
      </c>
      <c r="AT728" t="s">
        <v>61</v>
      </c>
      <c r="AU728" t="s">
        <v>61</v>
      </c>
      <c r="AV728">
        <v>294</v>
      </c>
    </row>
    <row r="729" spans="1:48" x14ac:dyDescent="0.25">
      <c r="A729">
        <v>816</v>
      </c>
      <c r="B729" t="s">
        <v>2872</v>
      </c>
      <c r="C729" t="s">
        <v>2498</v>
      </c>
      <c r="D729" t="s">
        <v>828</v>
      </c>
      <c r="E729" t="s">
        <v>2873</v>
      </c>
      <c r="F729" t="s">
        <v>2874</v>
      </c>
      <c r="G729" t="s">
        <v>53</v>
      </c>
      <c r="H729" s="1">
        <v>37366</v>
      </c>
      <c r="I729">
        <v>24</v>
      </c>
      <c r="J729">
        <v>2002</v>
      </c>
      <c r="K729" s="1">
        <v>45741</v>
      </c>
      <c r="L729">
        <v>2025</v>
      </c>
      <c r="M729" t="s">
        <v>54</v>
      </c>
      <c r="N729">
        <v>6</v>
      </c>
      <c r="O729" t="s">
        <v>133</v>
      </c>
      <c r="P729" t="s">
        <v>69</v>
      </c>
      <c r="Q729">
        <v>60</v>
      </c>
      <c r="R729">
        <v>2</v>
      </c>
      <c r="S729" t="s">
        <v>85</v>
      </c>
      <c r="T729" t="s">
        <v>86</v>
      </c>
      <c r="U729">
        <v>5</v>
      </c>
      <c r="V729">
        <v>5</v>
      </c>
      <c r="W729">
        <v>5</v>
      </c>
      <c r="X729">
        <v>5</v>
      </c>
      <c r="Y729">
        <v>1</v>
      </c>
      <c r="Z729">
        <v>3</v>
      </c>
      <c r="AA729">
        <v>1.8333330000000001</v>
      </c>
      <c r="AB729">
        <v>5.5</v>
      </c>
      <c r="AC729" t="s">
        <v>70</v>
      </c>
      <c r="AD729" t="s">
        <v>112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1</v>
      </c>
      <c r="AK729">
        <v>0</v>
      </c>
      <c r="AL729">
        <v>0</v>
      </c>
      <c r="AM729">
        <v>0</v>
      </c>
      <c r="AN729">
        <v>1</v>
      </c>
      <c r="AO729">
        <v>2</v>
      </c>
      <c r="AP729">
        <v>1</v>
      </c>
      <c r="AQ729">
        <v>66.666666666666003</v>
      </c>
      <c r="AR729" s="2">
        <v>45885.003206018519</v>
      </c>
      <c r="AS729" s="2">
        <v>46080.92150462963</v>
      </c>
      <c r="AT729" t="s">
        <v>1357</v>
      </c>
      <c r="AU729" t="s">
        <v>1357</v>
      </c>
      <c r="AV729">
        <v>195</v>
      </c>
    </row>
    <row r="730" spans="1:48" x14ac:dyDescent="0.25">
      <c r="A730">
        <v>295</v>
      </c>
      <c r="B730" t="s">
        <v>2875</v>
      </c>
      <c r="C730" t="s">
        <v>2876</v>
      </c>
      <c r="D730" t="s">
        <v>2877</v>
      </c>
      <c r="E730" t="s">
        <v>2878</v>
      </c>
      <c r="F730" t="s">
        <v>2879</v>
      </c>
      <c r="G730" t="s">
        <v>53</v>
      </c>
      <c r="H730" s="1">
        <v>35390</v>
      </c>
      <c r="I730">
        <v>30</v>
      </c>
      <c r="J730">
        <v>1996</v>
      </c>
      <c r="K730" s="1">
        <v>44745</v>
      </c>
      <c r="L730">
        <v>2022</v>
      </c>
      <c r="M730" t="s">
        <v>54</v>
      </c>
      <c r="N730">
        <v>5</v>
      </c>
      <c r="O730" t="s">
        <v>84</v>
      </c>
      <c r="P730" t="s">
        <v>56</v>
      </c>
      <c r="Q730">
        <v>36</v>
      </c>
      <c r="R730">
        <v>2</v>
      </c>
      <c r="S730" t="s">
        <v>85</v>
      </c>
      <c r="T730" t="s">
        <v>86</v>
      </c>
      <c r="U730">
        <v>5</v>
      </c>
      <c r="V730">
        <v>5</v>
      </c>
      <c r="W730">
        <v>5</v>
      </c>
      <c r="X730">
        <v>4</v>
      </c>
      <c r="Y730">
        <v>1</v>
      </c>
      <c r="Z730">
        <v>2</v>
      </c>
      <c r="AA730">
        <v>3.75</v>
      </c>
      <c r="AB730">
        <v>7.5</v>
      </c>
      <c r="AC730" t="s">
        <v>281</v>
      </c>
      <c r="AD730" t="s">
        <v>60</v>
      </c>
      <c r="AE730">
        <v>1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2</v>
      </c>
      <c r="AP730">
        <v>0</v>
      </c>
      <c r="AQ730">
        <v>100</v>
      </c>
      <c r="AR730" s="2">
        <v>45727.543124999997</v>
      </c>
      <c r="AS730" s="2">
        <v>46056.772291666668</v>
      </c>
      <c r="AT730" t="s">
        <v>1357</v>
      </c>
      <c r="AU730" t="s">
        <v>1357</v>
      </c>
      <c r="AV730">
        <v>329</v>
      </c>
    </row>
    <row r="731" spans="1:48" x14ac:dyDescent="0.25">
      <c r="A731">
        <v>517</v>
      </c>
      <c r="B731" t="s">
        <v>2880</v>
      </c>
      <c r="C731" t="s">
        <v>1346</v>
      </c>
      <c r="D731" t="s">
        <v>2881</v>
      </c>
      <c r="E731" t="s">
        <v>2882</v>
      </c>
      <c r="F731" t="s">
        <v>2883</v>
      </c>
      <c r="G731" t="s">
        <v>53</v>
      </c>
      <c r="H731" s="1">
        <v>34903</v>
      </c>
      <c r="I731">
        <v>31</v>
      </c>
      <c r="J731">
        <v>1995</v>
      </c>
      <c r="K731" s="1">
        <v>44968</v>
      </c>
      <c r="L731">
        <v>2023</v>
      </c>
      <c r="M731" t="s">
        <v>54</v>
      </c>
      <c r="N731">
        <v>18</v>
      </c>
      <c r="O731" t="s">
        <v>139</v>
      </c>
      <c r="P731" t="s">
        <v>69</v>
      </c>
      <c r="Q731">
        <v>60</v>
      </c>
      <c r="R731">
        <v>6</v>
      </c>
      <c r="S731" t="s">
        <v>140</v>
      </c>
      <c r="T731" t="s">
        <v>141</v>
      </c>
      <c r="U731">
        <v>5</v>
      </c>
      <c r="V731">
        <v>5</v>
      </c>
      <c r="W731">
        <v>5</v>
      </c>
      <c r="X731">
        <v>5</v>
      </c>
      <c r="Y731">
        <v>1</v>
      </c>
      <c r="Z731">
        <v>5</v>
      </c>
      <c r="AA731">
        <v>2.2000000000000002</v>
      </c>
      <c r="AB731">
        <v>11</v>
      </c>
      <c r="AC731" t="s">
        <v>59</v>
      </c>
      <c r="AD731" t="s">
        <v>112</v>
      </c>
      <c r="AE731">
        <v>0</v>
      </c>
      <c r="AF731">
        <v>0</v>
      </c>
      <c r="AG731">
        <v>0</v>
      </c>
      <c r="AH731">
        <v>3</v>
      </c>
      <c r="AI731">
        <v>0</v>
      </c>
      <c r="AJ731">
        <v>0</v>
      </c>
      <c r="AK731">
        <v>0</v>
      </c>
      <c r="AL731">
        <v>0</v>
      </c>
      <c r="AM731">
        <v>2</v>
      </c>
      <c r="AN731">
        <v>0</v>
      </c>
      <c r="AO731">
        <v>5</v>
      </c>
      <c r="AP731">
        <v>0</v>
      </c>
      <c r="AQ731">
        <v>100</v>
      </c>
      <c r="AR731" s="2">
        <v>45882.778460648151</v>
      </c>
      <c r="AS731" s="2">
        <v>46085.800763888888</v>
      </c>
      <c r="AT731" t="s">
        <v>61</v>
      </c>
      <c r="AU731" t="s">
        <v>61</v>
      </c>
      <c r="AV731">
        <v>203</v>
      </c>
    </row>
    <row r="732" spans="1:48" x14ac:dyDescent="0.25">
      <c r="A732">
        <v>786</v>
      </c>
      <c r="B732" t="s">
        <v>2884</v>
      </c>
      <c r="C732" t="s">
        <v>611</v>
      </c>
      <c r="D732" t="s">
        <v>2885</v>
      </c>
      <c r="E732" t="s">
        <v>2886</v>
      </c>
      <c r="F732" t="s">
        <v>2887</v>
      </c>
      <c r="G732" t="s">
        <v>104</v>
      </c>
      <c r="H732" s="1">
        <v>37700</v>
      </c>
      <c r="I732">
        <v>23</v>
      </c>
      <c r="J732">
        <v>2003</v>
      </c>
      <c r="K732" s="1">
        <v>44735</v>
      </c>
      <c r="L732">
        <v>2022</v>
      </c>
      <c r="M732" t="s">
        <v>54</v>
      </c>
      <c r="N732">
        <v>18</v>
      </c>
      <c r="O732" t="s">
        <v>139</v>
      </c>
      <c r="P732" t="s">
        <v>69</v>
      </c>
      <c r="Q732">
        <v>60</v>
      </c>
      <c r="R732">
        <v>6</v>
      </c>
      <c r="S732" t="s">
        <v>140</v>
      </c>
      <c r="T732" t="s">
        <v>141</v>
      </c>
      <c r="U732">
        <v>5</v>
      </c>
      <c r="V732">
        <v>5</v>
      </c>
      <c r="W732">
        <v>5</v>
      </c>
      <c r="X732">
        <v>5</v>
      </c>
      <c r="Y732">
        <v>1</v>
      </c>
      <c r="Z732">
        <v>3</v>
      </c>
      <c r="AA732">
        <v>1.5</v>
      </c>
      <c r="AB732">
        <v>4.5</v>
      </c>
      <c r="AC732" t="s">
        <v>70</v>
      </c>
      <c r="AD732" t="s">
        <v>1061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</v>
      </c>
      <c r="AK732">
        <v>1</v>
      </c>
      <c r="AL732">
        <v>0</v>
      </c>
      <c r="AM732">
        <v>0</v>
      </c>
      <c r="AN732">
        <v>1</v>
      </c>
      <c r="AO732">
        <v>2</v>
      </c>
      <c r="AP732">
        <v>1</v>
      </c>
      <c r="AQ732">
        <v>66.666666666666003</v>
      </c>
      <c r="AR732" s="2">
        <v>45757.846770833334</v>
      </c>
      <c r="AS732" s="2">
        <v>46074.212766203702</v>
      </c>
      <c r="AT732" t="s">
        <v>1357</v>
      </c>
      <c r="AU732" t="s">
        <v>1357</v>
      </c>
      <c r="AV732">
        <v>317</v>
      </c>
    </row>
    <row r="733" spans="1:48" x14ac:dyDescent="0.25">
      <c r="A733">
        <v>301</v>
      </c>
      <c r="B733" t="s">
        <v>2888</v>
      </c>
      <c r="C733" t="s">
        <v>429</v>
      </c>
      <c r="D733" t="s">
        <v>2889</v>
      </c>
      <c r="E733" t="s">
        <v>2890</v>
      </c>
      <c r="F733" t="s">
        <v>2891</v>
      </c>
      <c r="G733" t="s">
        <v>104</v>
      </c>
      <c r="H733" s="1">
        <v>35707</v>
      </c>
      <c r="I733">
        <v>29</v>
      </c>
      <c r="J733">
        <v>1997</v>
      </c>
      <c r="K733" s="1">
        <v>46037</v>
      </c>
      <c r="L733">
        <v>2026</v>
      </c>
      <c r="M733" t="s">
        <v>54</v>
      </c>
      <c r="N733">
        <v>2</v>
      </c>
      <c r="O733" t="s">
        <v>55</v>
      </c>
      <c r="P733" t="s">
        <v>56</v>
      </c>
      <c r="Q733">
        <v>36</v>
      </c>
      <c r="R733">
        <v>1</v>
      </c>
      <c r="S733" t="s">
        <v>57</v>
      </c>
      <c r="T733" t="s">
        <v>58</v>
      </c>
      <c r="U733">
        <v>5</v>
      </c>
      <c r="V733">
        <v>5</v>
      </c>
      <c r="W733">
        <v>5</v>
      </c>
      <c r="X733">
        <v>5</v>
      </c>
      <c r="Y733">
        <v>1</v>
      </c>
      <c r="Z733">
        <v>2</v>
      </c>
      <c r="AA733">
        <v>3</v>
      </c>
      <c r="AB733">
        <v>6</v>
      </c>
      <c r="AC733" t="s">
        <v>112</v>
      </c>
      <c r="AD733" t="s">
        <v>112</v>
      </c>
      <c r="AE733">
        <v>0</v>
      </c>
      <c r="AF733">
        <v>0</v>
      </c>
      <c r="AG733">
        <v>0</v>
      </c>
      <c r="AH733">
        <v>2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2</v>
      </c>
      <c r="AP733">
        <v>0</v>
      </c>
      <c r="AQ733">
        <v>100</v>
      </c>
      <c r="AR733" s="2">
        <v>45850.084756944445</v>
      </c>
      <c r="AS733" s="2">
        <v>46063.22148148148</v>
      </c>
      <c r="AT733" t="s">
        <v>1357</v>
      </c>
      <c r="AU733" t="s">
        <v>1357</v>
      </c>
      <c r="AV733">
        <v>213</v>
      </c>
    </row>
    <row r="734" spans="1:48" x14ac:dyDescent="0.25">
      <c r="A734">
        <v>388</v>
      </c>
      <c r="B734" t="s">
        <v>2892</v>
      </c>
      <c r="C734" t="s">
        <v>595</v>
      </c>
      <c r="D734" t="s">
        <v>459</v>
      </c>
      <c r="E734" t="s">
        <v>2893</v>
      </c>
      <c r="F734" t="s">
        <v>2894</v>
      </c>
      <c r="G734" t="s">
        <v>104</v>
      </c>
      <c r="H734" s="1">
        <v>36949</v>
      </c>
      <c r="I734">
        <v>25</v>
      </c>
      <c r="J734">
        <v>2001</v>
      </c>
      <c r="K734" s="1">
        <v>44736</v>
      </c>
      <c r="L734">
        <v>2022</v>
      </c>
      <c r="M734" t="s">
        <v>54</v>
      </c>
      <c r="N734">
        <v>6</v>
      </c>
      <c r="O734" t="s">
        <v>133</v>
      </c>
      <c r="P734" t="s">
        <v>69</v>
      </c>
      <c r="Q734">
        <v>60</v>
      </c>
      <c r="R734">
        <v>2</v>
      </c>
      <c r="S734" t="s">
        <v>85</v>
      </c>
      <c r="T734" t="s">
        <v>86</v>
      </c>
      <c r="U734">
        <v>5</v>
      </c>
      <c r="V734">
        <v>5</v>
      </c>
      <c r="W734">
        <v>5</v>
      </c>
      <c r="X734">
        <v>4</v>
      </c>
      <c r="Y734">
        <v>1</v>
      </c>
      <c r="Z734">
        <v>5</v>
      </c>
      <c r="AA734">
        <v>1.8</v>
      </c>
      <c r="AB734">
        <v>9</v>
      </c>
      <c r="AC734" t="s">
        <v>70</v>
      </c>
      <c r="AD734" t="s">
        <v>60</v>
      </c>
      <c r="AE734">
        <v>1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2</v>
      </c>
      <c r="AL734">
        <v>0</v>
      </c>
      <c r="AM734">
        <v>1</v>
      </c>
      <c r="AN734">
        <v>1</v>
      </c>
      <c r="AO734">
        <v>4</v>
      </c>
      <c r="AP734">
        <v>1</v>
      </c>
      <c r="AQ734">
        <v>80</v>
      </c>
      <c r="AR734" s="2">
        <v>45761.788761574076</v>
      </c>
      <c r="AS734" s="2">
        <v>46075.627800925926</v>
      </c>
      <c r="AT734" t="s">
        <v>61</v>
      </c>
      <c r="AU734" t="s">
        <v>61</v>
      </c>
      <c r="AV734">
        <v>314</v>
      </c>
    </row>
    <row r="735" spans="1:48" x14ac:dyDescent="0.25">
      <c r="A735">
        <v>402</v>
      </c>
      <c r="B735" t="s">
        <v>2895</v>
      </c>
      <c r="C735" t="s">
        <v>837</v>
      </c>
      <c r="D735" t="s">
        <v>2896</v>
      </c>
      <c r="E735" t="s">
        <v>2897</v>
      </c>
      <c r="F735" t="s">
        <v>2898</v>
      </c>
      <c r="G735" t="s">
        <v>104</v>
      </c>
      <c r="H735" s="1">
        <v>35877</v>
      </c>
      <c r="I735">
        <v>28</v>
      </c>
      <c r="J735">
        <v>1998</v>
      </c>
      <c r="K735" s="1">
        <v>45080</v>
      </c>
      <c r="L735">
        <v>2023</v>
      </c>
      <c r="M735" t="s">
        <v>54</v>
      </c>
      <c r="N735">
        <v>12</v>
      </c>
      <c r="O735" t="s">
        <v>76</v>
      </c>
      <c r="P735" t="s">
        <v>69</v>
      </c>
      <c r="Q735">
        <v>60</v>
      </c>
      <c r="R735">
        <v>4</v>
      </c>
      <c r="S735" t="s">
        <v>77</v>
      </c>
      <c r="T735" t="s">
        <v>78</v>
      </c>
      <c r="U735">
        <v>5</v>
      </c>
      <c r="V735">
        <v>5</v>
      </c>
      <c r="W735">
        <v>5</v>
      </c>
      <c r="X735">
        <v>4</v>
      </c>
      <c r="Y735">
        <v>1</v>
      </c>
      <c r="Z735">
        <v>5</v>
      </c>
      <c r="AA735">
        <v>1.5</v>
      </c>
      <c r="AB735">
        <v>7.5</v>
      </c>
      <c r="AC735" t="s">
        <v>70</v>
      </c>
      <c r="AD735" t="s">
        <v>112</v>
      </c>
      <c r="AE735">
        <v>0</v>
      </c>
      <c r="AF735">
        <v>0</v>
      </c>
      <c r="AG735">
        <v>1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1</v>
      </c>
      <c r="AN735">
        <v>2</v>
      </c>
      <c r="AO735">
        <v>3</v>
      </c>
      <c r="AP735">
        <v>2</v>
      </c>
      <c r="AQ735">
        <v>60</v>
      </c>
      <c r="AR735" s="2">
        <v>45791.34138888889</v>
      </c>
      <c r="AS735" s="2">
        <v>46029.875555555554</v>
      </c>
      <c r="AT735" t="s">
        <v>62</v>
      </c>
      <c r="AU735" t="s">
        <v>62</v>
      </c>
      <c r="AV735">
        <v>238</v>
      </c>
    </row>
    <row r="736" spans="1:48" x14ac:dyDescent="0.25">
      <c r="A736">
        <v>16</v>
      </c>
      <c r="B736" t="s">
        <v>2899</v>
      </c>
      <c r="C736" t="s">
        <v>2900</v>
      </c>
      <c r="D736" t="s">
        <v>320</v>
      </c>
      <c r="E736" t="s">
        <v>2901</v>
      </c>
      <c r="F736" t="s">
        <v>2902</v>
      </c>
      <c r="G736" t="s">
        <v>104</v>
      </c>
      <c r="H736" s="1">
        <v>37110</v>
      </c>
      <c r="I736">
        <v>25</v>
      </c>
      <c r="J736">
        <v>2001</v>
      </c>
      <c r="K736" s="1">
        <v>44981</v>
      </c>
      <c r="L736">
        <v>2023</v>
      </c>
      <c r="M736" t="s">
        <v>54</v>
      </c>
      <c r="N736">
        <v>17</v>
      </c>
      <c r="O736" t="s">
        <v>350</v>
      </c>
      <c r="P736" t="s">
        <v>56</v>
      </c>
      <c r="Q736">
        <v>36</v>
      </c>
      <c r="R736">
        <v>6</v>
      </c>
      <c r="S736" t="s">
        <v>140</v>
      </c>
      <c r="T736" t="s">
        <v>141</v>
      </c>
      <c r="U736">
        <v>5</v>
      </c>
      <c r="V736">
        <v>5</v>
      </c>
      <c r="W736">
        <v>5</v>
      </c>
      <c r="X736">
        <v>5</v>
      </c>
      <c r="Y736">
        <v>1</v>
      </c>
      <c r="Z736">
        <v>5</v>
      </c>
      <c r="AA736">
        <v>2.7</v>
      </c>
      <c r="AB736">
        <v>13.5</v>
      </c>
      <c r="AC736" t="s">
        <v>59</v>
      </c>
      <c r="AD736" t="s">
        <v>60</v>
      </c>
      <c r="AE736">
        <v>1</v>
      </c>
      <c r="AF736">
        <v>0</v>
      </c>
      <c r="AG736">
        <v>1</v>
      </c>
      <c r="AH736">
        <v>1</v>
      </c>
      <c r="AI736">
        <v>0</v>
      </c>
      <c r="AJ736">
        <v>0</v>
      </c>
      <c r="AK736">
        <v>1</v>
      </c>
      <c r="AL736">
        <v>0</v>
      </c>
      <c r="AM736">
        <v>1</v>
      </c>
      <c r="AN736">
        <v>0</v>
      </c>
      <c r="AO736">
        <v>5</v>
      </c>
      <c r="AP736">
        <v>0</v>
      </c>
      <c r="AQ736">
        <v>100</v>
      </c>
      <c r="AR736" s="2">
        <v>45765.188703703701</v>
      </c>
      <c r="AS736" s="2">
        <v>45968.060868055552</v>
      </c>
      <c r="AT736" t="s">
        <v>61</v>
      </c>
      <c r="AU736" t="s">
        <v>61</v>
      </c>
      <c r="AV736">
        <v>203</v>
      </c>
    </row>
    <row r="737" spans="1:48" x14ac:dyDescent="0.25">
      <c r="A737">
        <v>802</v>
      </c>
      <c r="B737" t="s">
        <v>2903</v>
      </c>
      <c r="C737" t="s">
        <v>575</v>
      </c>
      <c r="D737" t="s">
        <v>632</v>
      </c>
      <c r="E737" t="s">
        <v>2904</v>
      </c>
      <c r="F737" t="s">
        <v>2905</v>
      </c>
      <c r="G737" t="s">
        <v>53</v>
      </c>
      <c r="H737" s="1">
        <v>34987</v>
      </c>
      <c r="I737">
        <v>31</v>
      </c>
      <c r="J737">
        <v>1995</v>
      </c>
      <c r="K737" s="1">
        <v>45067</v>
      </c>
      <c r="L737">
        <v>2023</v>
      </c>
      <c r="M737" t="s">
        <v>111</v>
      </c>
      <c r="N737">
        <v>14</v>
      </c>
      <c r="O737" t="s">
        <v>105</v>
      </c>
      <c r="P737" t="s">
        <v>56</v>
      </c>
      <c r="Q737">
        <v>36</v>
      </c>
      <c r="R737">
        <v>5</v>
      </c>
      <c r="S737" t="s">
        <v>92</v>
      </c>
      <c r="T737" t="s">
        <v>93</v>
      </c>
      <c r="U737">
        <v>5</v>
      </c>
      <c r="V737">
        <v>5</v>
      </c>
      <c r="W737">
        <v>5</v>
      </c>
      <c r="X737">
        <v>5</v>
      </c>
      <c r="Y737">
        <v>1</v>
      </c>
      <c r="Z737">
        <v>5</v>
      </c>
      <c r="AA737">
        <v>2.2000000000000002</v>
      </c>
      <c r="AB737">
        <v>11</v>
      </c>
      <c r="AC737" t="s">
        <v>70</v>
      </c>
      <c r="AD737" t="s">
        <v>60</v>
      </c>
      <c r="AE737">
        <v>1</v>
      </c>
      <c r="AF737">
        <v>0</v>
      </c>
      <c r="AG737">
        <v>1</v>
      </c>
      <c r="AH737">
        <v>0</v>
      </c>
      <c r="AI737">
        <v>0</v>
      </c>
      <c r="AJ737">
        <v>1</v>
      </c>
      <c r="AK737">
        <v>0</v>
      </c>
      <c r="AL737">
        <v>0</v>
      </c>
      <c r="AM737">
        <v>1</v>
      </c>
      <c r="AN737">
        <v>1</v>
      </c>
      <c r="AO737">
        <v>4</v>
      </c>
      <c r="AP737">
        <v>1</v>
      </c>
      <c r="AQ737">
        <v>80</v>
      </c>
      <c r="AR737" s="2">
        <v>45727.782453703701</v>
      </c>
      <c r="AS737" s="2">
        <v>45835.388240740744</v>
      </c>
      <c r="AT737" t="s">
        <v>61</v>
      </c>
      <c r="AU737" t="s">
        <v>61</v>
      </c>
      <c r="AV737">
        <v>108</v>
      </c>
    </row>
    <row r="738" spans="1:48" x14ac:dyDescent="0.25">
      <c r="A738">
        <v>79</v>
      </c>
      <c r="B738" t="s">
        <v>2906</v>
      </c>
      <c r="C738" t="s">
        <v>1563</v>
      </c>
      <c r="D738" t="s">
        <v>2907</v>
      </c>
      <c r="E738" t="s">
        <v>2908</v>
      </c>
      <c r="F738" t="s">
        <v>2909</v>
      </c>
      <c r="G738" t="s">
        <v>53</v>
      </c>
      <c r="H738" s="1">
        <v>34853</v>
      </c>
      <c r="I738">
        <v>31</v>
      </c>
      <c r="J738">
        <v>1995</v>
      </c>
      <c r="K738" s="1">
        <v>44940</v>
      </c>
      <c r="L738">
        <v>2023</v>
      </c>
      <c r="M738" t="s">
        <v>111</v>
      </c>
      <c r="N738">
        <v>5</v>
      </c>
      <c r="O738" t="s">
        <v>84</v>
      </c>
      <c r="P738" t="s">
        <v>56</v>
      </c>
      <c r="Q738">
        <v>36</v>
      </c>
      <c r="R738">
        <v>2</v>
      </c>
      <c r="S738" t="s">
        <v>85</v>
      </c>
      <c r="T738" t="s">
        <v>86</v>
      </c>
      <c r="U738">
        <v>5</v>
      </c>
      <c r="V738">
        <v>5</v>
      </c>
      <c r="W738">
        <v>5</v>
      </c>
      <c r="X738">
        <v>3</v>
      </c>
      <c r="Y738">
        <v>1</v>
      </c>
      <c r="Z738">
        <v>5</v>
      </c>
      <c r="AA738">
        <v>2.2000000000000002</v>
      </c>
      <c r="AB738">
        <v>11</v>
      </c>
      <c r="AC738" t="s">
        <v>70</v>
      </c>
      <c r="AD738" t="s">
        <v>60</v>
      </c>
      <c r="AE738">
        <v>1</v>
      </c>
      <c r="AF738">
        <v>0</v>
      </c>
      <c r="AG738">
        <v>1</v>
      </c>
      <c r="AH738">
        <v>0</v>
      </c>
      <c r="AI738">
        <v>0</v>
      </c>
      <c r="AJ738">
        <v>1</v>
      </c>
      <c r="AK738">
        <v>0</v>
      </c>
      <c r="AL738">
        <v>0</v>
      </c>
      <c r="AM738">
        <v>1</v>
      </c>
      <c r="AN738">
        <v>1</v>
      </c>
      <c r="AO738">
        <v>4</v>
      </c>
      <c r="AP738">
        <v>1</v>
      </c>
      <c r="AQ738">
        <v>80</v>
      </c>
      <c r="AR738" s="2">
        <v>45834.812037037038</v>
      </c>
      <c r="AS738" s="2">
        <v>46011.771585648145</v>
      </c>
      <c r="AT738" t="s">
        <v>61</v>
      </c>
      <c r="AU738" t="s">
        <v>61</v>
      </c>
      <c r="AV738">
        <v>177</v>
      </c>
    </row>
    <row r="739" spans="1:48" x14ac:dyDescent="0.25">
      <c r="A739">
        <v>737</v>
      </c>
      <c r="B739" t="s">
        <v>2910</v>
      </c>
      <c r="C739" t="s">
        <v>837</v>
      </c>
      <c r="D739" t="s">
        <v>2146</v>
      </c>
      <c r="E739" t="s">
        <v>2911</v>
      </c>
      <c r="F739" t="s">
        <v>2912</v>
      </c>
      <c r="G739" t="s">
        <v>104</v>
      </c>
      <c r="H739" s="1">
        <v>35760</v>
      </c>
      <c r="I739">
        <v>29</v>
      </c>
      <c r="J739">
        <v>1997</v>
      </c>
      <c r="K739" s="1">
        <v>44766</v>
      </c>
      <c r="L739">
        <v>2022</v>
      </c>
      <c r="M739" t="s">
        <v>225</v>
      </c>
      <c r="N739">
        <v>5</v>
      </c>
      <c r="O739" t="s">
        <v>84</v>
      </c>
      <c r="P739" t="s">
        <v>56</v>
      </c>
      <c r="Q739">
        <v>36</v>
      </c>
      <c r="R739">
        <v>2</v>
      </c>
      <c r="S739" t="s">
        <v>85</v>
      </c>
      <c r="T739" t="s">
        <v>86</v>
      </c>
      <c r="U739">
        <v>5</v>
      </c>
      <c r="V739">
        <v>5</v>
      </c>
      <c r="W739">
        <v>5</v>
      </c>
      <c r="X739">
        <v>5</v>
      </c>
      <c r="Y739">
        <v>1</v>
      </c>
      <c r="Z739">
        <v>5</v>
      </c>
      <c r="AA739">
        <v>1.8</v>
      </c>
      <c r="AB739">
        <v>9</v>
      </c>
      <c r="AC739" t="s">
        <v>70</v>
      </c>
      <c r="AD739" t="s">
        <v>60</v>
      </c>
      <c r="AE739">
        <v>1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2</v>
      </c>
      <c r="AN739">
        <v>1</v>
      </c>
      <c r="AO739">
        <v>4</v>
      </c>
      <c r="AP739">
        <v>1</v>
      </c>
      <c r="AQ739">
        <v>80</v>
      </c>
      <c r="AR739" s="2">
        <v>45770.768784722219</v>
      </c>
      <c r="AS739" s="2">
        <v>45954.790914351855</v>
      </c>
      <c r="AT739" t="s">
        <v>61</v>
      </c>
      <c r="AU739" t="s">
        <v>61</v>
      </c>
      <c r="AV739">
        <v>184</v>
      </c>
    </row>
    <row r="740" spans="1:48" x14ac:dyDescent="0.25">
      <c r="A740">
        <v>104</v>
      </c>
      <c r="B740" t="s">
        <v>2913</v>
      </c>
      <c r="C740" t="s">
        <v>978</v>
      </c>
      <c r="D740" t="s">
        <v>1165</v>
      </c>
      <c r="E740" t="s">
        <v>2914</v>
      </c>
      <c r="F740" t="s">
        <v>2915</v>
      </c>
      <c r="G740" t="s">
        <v>104</v>
      </c>
      <c r="H740" s="1">
        <v>36088</v>
      </c>
      <c r="I740">
        <v>28</v>
      </c>
      <c r="J740">
        <v>1998</v>
      </c>
      <c r="K740" s="1">
        <v>45061</v>
      </c>
      <c r="L740">
        <v>2023</v>
      </c>
      <c r="M740" t="s">
        <v>54</v>
      </c>
      <c r="N740">
        <v>13</v>
      </c>
      <c r="O740" t="s">
        <v>146</v>
      </c>
      <c r="P740" t="s">
        <v>119</v>
      </c>
      <c r="Q740">
        <v>120</v>
      </c>
      <c r="R740">
        <v>5</v>
      </c>
      <c r="S740" t="s">
        <v>92</v>
      </c>
      <c r="T740" t="s">
        <v>93</v>
      </c>
      <c r="U740">
        <v>5</v>
      </c>
      <c r="V740">
        <v>5</v>
      </c>
      <c r="W740">
        <v>5</v>
      </c>
      <c r="X740">
        <v>5</v>
      </c>
      <c r="Y740">
        <v>1</v>
      </c>
      <c r="Z740">
        <v>3</v>
      </c>
      <c r="AA740">
        <v>2.5</v>
      </c>
      <c r="AB740">
        <v>7.5</v>
      </c>
      <c r="AC740" t="s">
        <v>70</v>
      </c>
      <c r="AD740" t="s">
        <v>60</v>
      </c>
      <c r="AE740">
        <v>1</v>
      </c>
      <c r="AF740">
        <v>0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2</v>
      </c>
      <c r="AP740">
        <v>1</v>
      </c>
      <c r="AQ740">
        <v>66.666666666666003</v>
      </c>
      <c r="AR740" s="2">
        <v>45758.69908564815</v>
      </c>
      <c r="AS740" s="2">
        <v>46079.751111111109</v>
      </c>
      <c r="AT740" t="s">
        <v>1357</v>
      </c>
      <c r="AU740" t="s">
        <v>1357</v>
      </c>
      <c r="AV740">
        <v>321</v>
      </c>
    </row>
    <row r="741" spans="1:48" x14ac:dyDescent="0.25">
      <c r="A741">
        <v>678</v>
      </c>
      <c r="B741" t="s">
        <v>2916</v>
      </c>
      <c r="C741" t="s">
        <v>2917</v>
      </c>
      <c r="D741" t="s">
        <v>258</v>
      </c>
      <c r="E741" t="s">
        <v>2918</v>
      </c>
      <c r="F741" t="s">
        <v>2919</v>
      </c>
      <c r="G741" t="s">
        <v>53</v>
      </c>
      <c r="H741" s="1">
        <v>36821</v>
      </c>
      <c r="I741">
        <v>26</v>
      </c>
      <c r="J741">
        <v>2000</v>
      </c>
      <c r="K741" s="1">
        <v>45987</v>
      </c>
      <c r="L741">
        <v>2025</v>
      </c>
      <c r="M741" t="s">
        <v>54</v>
      </c>
      <c r="N741">
        <v>11</v>
      </c>
      <c r="O741" t="s">
        <v>378</v>
      </c>
      <c r="P741" t="s">
        <v>56</v>
      </c>
      <c r="Q741">
        <v>36</v>
      </c>
      <c r="R741">
        <v>4</v>
      </c>
      <c r="S741" t="s">
        <v>77</v>
      </c>
      <c r="T741" t="s">
        <v>78</v>
      </c>
      <c r="U741">
        <v>5</v>
      </c>
      <c r="V741">
        <v>5</v>
      </c>
      <c r="W741">
        <v>5</v>
      </c>
      <c r="X741">
        <v>5</v>
      </c>
      <c r="Y741">
        <v>1</v>
      </c>
      <c r="Z741">
        <v>5</v>
      </c>
      <c r="AA741">
        <v>2.8</v>
      </c>
      <c r="AB741">
        <v>14</v>
      </c>
      <c r="AC741" t="s">
        <v>540</v>
      </c>
      <c r="AD741" t="s">
        <v>60</v>
      </c>
      <c r="AE741">
        <v>1</v>
      </c>
      <c r="AF741">
        <v>0</v>
      </c>
      <c r="AG741">
        <v>1</v>
      </c>
      <c r="AH741">
        <v>0</v>
      </c>
      <c r="AI741">
        <v>0</v>
      </c>
      <c r="AJ741">
        <v>1</v>
      </c>
      <c r="AK741">
        <v>2</v>
      </c>
      <c r="AL741">
        <v>0</v>
      </c>
      <c r="AM741">
        <v>0</v>
      </c>
      <c r="AN741">
        <v>0</v>
      </c>
      <c r="AO741">
        <v>5</v>
      </c>
      <c r="AP741">
        <v>0</v>
      </c>
      <c r="AQ741">
        <v>100</v>
      </c>
      <c r="AR741" s="2">
        <v>45750.280127314814</v>
      </c>
      <c r="AS741" s="2">
        <v>45915.963680555556</v>
      </c>
      <c r="AT741" t="s">
        <v>1357</v>
      </c>
      <c r="AU741" t="s">
        <v>1357</v>
      </c>
      <c r="AV741">
        <v>165</v>
      </c>
    </row>
    <row r="742" spans="1:48" x14ac:dyDescent="0.25">
      <c r="A742">
        <v>500</v>
      </c>
      <c r="B742" t="s">
        <v>2920</v>
      </c>
      <c r="C742" t="s">
        <v>2921</v>
      </c>
      <c r="D742" t="s">
        <v>347</v>
      </c>
      <c r="E742" t="s">
        <v>2922</v>
      </c>
      <c r="F742" t="s">
        <v>2923</v>
      </c>
      <c r="G742" t="s">
        <v>53</v>
      </c>
      <c r="H742" s="1">
        <v>38041</v>
      </c>
      <c r="I742">
        <v>22</v>
      </c>
      <c r="J742">
        <v>2004</v>
      </c>
      <c r="K742" s="1">
        <v>45273</v>
      </c>
      <c r="L742">
        <v>2023</v>
      </c>
      <c r="M742" t="s">
        <v>54</v>
      </c>
      <c r="N742">
        <v>15</v>
      </c>
      <c r="O742" t="s">
        <v>91</v>
      </c>
      <c r="P742" t="s">
        <v>69</v>
      </c>
      <c r="Q742">
        <v>60</v>
      </c>
      <c r="R742">
        <v>5</v>
      </c>
      <c r="S742" t="s">
        <v>92</v>
      </c>
      <c r="T742" t="s">
        <v>93</v>
      </c>
      <c r="U742">
        <v>5</v>
      </c>
      <c r="V742">
        <v>5</v>
      </c>
      <c r="W742">
        <v>5</v>
      </c>
      <c r="X742">
        <v>5</v>
      </c>
      <c r="Y742">
        <v>1</v>
      </c>
      <c r="Z742">
        <v>5</v>
      </c>
      <c r="AA742">
        <v>3.4</v>
      </c>
      <c r="AB742">
        <v>17</v>
      </c>
      <c r="AC742" t="s">
        <v>1061</v>
      </c>
      <c r="AD742" t="s">
        <v>60</v>
      </c>
      <c r="AE742">
        <v>2</v>
      </c>
      <c r="AF742">
        <v>0</v>
      </c>
      <c r="AG742">
        <v>2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0</v>
      </c>
      <c r="AO742">
        <v>5</v>
      </c>
      <c r="AP742">
        <v>0</v>
      </c>
      <c r="AQ742">
        <v>100</v>
      </c>
      <c r="AR742" s="2">
        <v>45740.969907407409</v>
      </c>
      <c r="AS742" s="2">
        <v>46036.65421296296</v>
      </c>
      <c r="AT742" t="s">
        <v>62</v>
      </c>
      <c r="AU742" t="s">
        <v>62</v>
      </c>
      <c r="AV742">
        <v>296</v>
      </c>
    </row>
    <row r="743" spans="1:48" x14ac:dyDescent="0.25">
      <c r="A743">
        <v>111</v>
      </c>
      <c r="B743" t="s">
        <v>2924</v>
      </c>
      <c r="C743" t="s">
        <v>556</v>
      </c>
      <c r="D743" t="s">
        <v>2925</v>
      </c>
      <c r="E743" t="s">
        <v>2926</v>
      </c>
      <c r="F743" t="s">
        <v>2927</v>
      </c>
      <c r="G743" t="s">
        <v>104</v>
      </c>
      <c r="H743" s="1">
        <v>37867</v>
      </c>
      <c r="I743">
        <v>23</v>
      </c>
      <c r="J743">
        <v>2003</v>
      </c>
      <c r="K743" s="1">
        <v>45637</v>
      </c>
      <c r="L743">
        <v>2024</v>
      </c>
      <c r="M743" t="s">
        <v>54</v>
      </c>
      <c r="N743">
        <v>12</v>
      </c>
      <c r="O743" t="s">
        <v>76</v>
      </c>
      <c r="P743" t="s">
        <v>69</v>
      </c>
      <c r="Q743">
        <v>60</v>
      </c>
      <c r="R743">
        <v>4</v>
      </c>
      <c r="S743" t="s">
        <v>77</v>
      </c>
      <c r="T743" t="s">
        <v>78</v>
      </c>
      <c r="U743">
        <v>5</v>
      </c>
      <c r="V743">
        <v>5</v>
      </c>
      <c r="W743">
        <v>5</v>
      </c>
      <c r="X743">
        <v>5</v>
      </c>
      <c r="Y743">
        <v>1</v>
      </c>
      <c r="Z743">
        <v>5</v>
      </c>
      <c r="AA743">
        <v>1.7</v>
      </c>
      <c r="AB743">
        <v>8.5</v>
      </c>
      <c r="AC743" t="s">
        <v>70</v>
      </c>
      <c r="AD743" t="s">
        <v>60</v>
      </c>
      <c r="AE743">
        <v>1</v>
      </c>
      <c r="AF743">
        <v>0</v>
      </c>
      <c r="AG743">
        <v>0</v>
      </c>
      <c r="AH743">
        <v>0</v>
      </c>
      <c r="AI743">
        <v>0</v>
      </c>
      <c r="AJ743">
        <v>1</v>
      </c>
      <c r="AK743">
        <v>1</v>
      </c>
      <c r="AL743">
        <v>0</v>
      </c>
      <c r="AM743">
        <v>0</v>
      </c>
      <c r="AN743">
        <v>2</v>
      </c>
      <c r="AO743">
        <v>3</v>
      </c>
      <c r="AP743">
        <v>2</v>
      </c>
      <c r="AQ743">
        <v>60</v>
      </c>
      <c r="AR743" s="2">
        <v>45744.443738425929</v>
      </c>
      <c r="AS743" s="2">
        <v>46054.304027777776</v>
      </c>
      <c r="AT743" t="s">
        <v>61</v>
      </c>
      <c r="AU743" t="s">
        <v>61</v>
      </c>
      <c r="AV743">
        <v>310</v>
      </c>
    </row>
    <row r="744" spans="1:48" x14ac:dyDescent="0.25">
      <c r="A744">
        <v>726</v>
      </c>
      <c r="B744" t="s">
        <v>2928</v>
      </c>
      <c r="C744" t="s">
        <v>201</v>
      </c>
      <c r="D744" t="s">
        <v>50</v>
      </c>
      <c r="E744" t="s">
        <v>2929</v>
      </c>
      <c r="F744" t="s">
        <v>2930</v>
      </c>
      <c r="G744" t="s">
        <v>53</v>
      </c>
      <c r="H744" s="1">
        <v>37884</v>
      </c>
      <c r="I744">
        <v>23</v>
      </c>
      <c r="J744">
        <v>2003</v>
      </c>
      <c r="K744" s="1">
        <v>45026</v>
      </c>
      <c r="L744">
        <v>2023</v>
      </c>
      <c r="M744" t="s">
        <v>54</v>
      </c>
      <c r="N744">
        <v>9</v>
      </c>
      <c r="O744" t="s">
        <v>151</v>
      </c>
      <c r="P744" t="s">
        <v>69</v>
      </c>
      <c r="Q744">
        <v>60</v>
      </c>
      <c r="R744">
        <v>3</v>
      </c>
      <c r="S744" t="s">
        <v>126</v>
      </c>
      <c r="T744" t="s">
        <v>127</v>
      </c>
      <c r="U744">
        <v>5</v>
      </c>
      <c r="V744">
        <v>5</v>
      </c>
      <c r="W744">
        <v>5</v>
      </c>
      <c r="X744">
        <v>5</v>
      </c>
      <c r="Y744">
        <v>1</v>
      </c>
      <c r="Z744">
        <v>1</v>
      </c>
      <c r="AA744">
        <v>4</v>
      </c>
      <c r="AB744">
        <v>4</v>
      </c>
      <c r="AC744" t="s">
        <v>60</v>
      </c>
      <c r="AD744" t="s">
        <v>60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1</v>
      </c>
      <c r="AP744">
        <v>0</v>
      </c>
      <c r="AQ744">
        <v>100</v>
      </c>
      <c r="AR744" s="2">
        <v>45738.550995370373</v>
      </c>
      <c r="AS744" s="2">
        <v>45845.002986111111</v>
      </c>
      <c r="AT744" t="s">
        <v>1357</v>
      </c>
      <c r="AU744" t="s">
        <v>1357</v>
      </c>
      <c r="AV744">
        <v>107</v>
      </c>
    </row>
    <row r="745" spans="1:48" x14ac:dyDescent="0.25">
      <c r="A745">
        <v>80</v>
      </c>
      <c r="B745" t="s">
        <v>2931</v>
      </c>
      <c r="C745" t="s">
        <v>1996</v>
      </c>
      <c r="D745" t="s">
        <v>2932</v>
      </c>
      <c r="E745" t="s">
        <v>2933</v>
      </c>
      <c r="F745" t="s">
        <v>2934</v>
      </c>
      <c r="G745" t="s">
        <v>104</v>
      </c>
      <c r="H745" s="1">
        <v>35289</v>
      </c>
      <c r="I745">
        <v>30</v>
      </c>
      <c r="J745">
        <v>1996</v>
      </c>
      <c r="K745" s="1">
        <v>45947</v>
      </c>
      <c r="L745">
        <v>2025</v>
      </c>
      <c r="M745" t="s">
        <v>111</v>
      </c>
      <c r="N745">
        <v>21</v>
      </c>
      <c r="O745" t="s">
        <v>339</v>
      </c>
      <c r="P745" t="s">
        <v>69</v>
      </c>
      <c r="Q745">
        <v>60</v>
      </c>
      <c r="R745">
        <v>7</v>
      </c>
      <c r="S745" t="s">
        <v>163</v>
      </c>
      <c r="T745" t="s">
        <v>164</v>
      </c>
      <c r="U745">
        <v>5</v>
      </c>
      <c r="V745">
        <v>5</v>
      </c>
      <c r="W745">
        <v>5</v>
      </c>
      <c r="X745">
        <v>5</v>
      </c>
      <c r="Y745">
        <v>1</v>
      </c>
      <c r="Z745">
        <v>4</v>
      </c>
      <c r="AA745">
        <v>3.125</v>
      </c>
      <c r="AB745">
        <v>12.5</v>
      </c>
      <c r="AC745" t="s">
        <v>1061</v>
      </c>
      <c r="AD745" t="s">
        <v>60</v>
      </c>
      <c r="AE745">
        <v>1</v>
      </c>
      <c r="AF745">
        <v>0</v>
      </c>
      <c r="AG745">
        <v>1</v>
      </c>
      <c r="AH745">
        <v>1</v>
      </c>
      <c r="AI745">
        <v>0</v>
      </c>
      <c r="AJ745">
        <v>0</v>
      </c>
      <c r="AK745">
        <v>1</v>
      </c>
      <c r="AL745">
        <v>0</v>
      </c>
      <c r="AM745">
        <v>0</v>
      </c>
      <c r="AN745">
        <v>0</v>
      </c>
      <c r="AO745">
        <v>4</v>
      </c>
      <c r="AP745">
        <v>0</v>
      </c>
      <c r="AQ745">
        <v>100</v>
      </c>
      <c r="AR745" s="2">
        <v>45739.84097222222</v>
      </c>
      <c r="AS745" s="2">
        <v>45964.813819444447</v>
      </c>
      <c r="AT745" t="s">
        <v>1357</v>
      </c>
      <c r="AU745" t="s">
        <v>1357</v>
      </c>
      <c r="AV745">
        <v>225</v>
      </c>
    </row>
    <row r="746" spans="1:48" x14ac:dyDescent="0.25">
      <c r="A746">
        <v>358</v>
      </c>
      <c r="B746" t="s">
        <v>2935</v>
      </c>
      <c r="C746" t="s">
        <v>1527</v>
      </c>
      <c r="D746" t="s">
        <v>2936</v>
      </c>
      <c r="E746" t="s">
        <v>2937</v>
      </c>
      <c r="F746" t="s">
        <v>2938</v>
      </c>
      <c r="G746" t="s">
        <v>104</v>
      </c>
      <c r="H746" s="1">
        <v>38735</v>
      </c>
      <c r="I746">
        <v>20</v>
      </c>
      <c r="J746">
        <v>2006</v>
      </c>
      <c r="K746" s="1">
        <v>45783</v>
      </c>
      <c r="L746">
        <v>2025</v>
      </c>
      <c r="M746" t="s">
        <v>54</v>
      </c>
      <c r="N746">
        <v>4</v>
      </c>
      <c r="O746" t="s">
        <v>215</v>
      </c>
      <c r="P746" t="s">
        <v>119</v>
      </c>
      <c r="Q746">
        <v>120</v>
      </c>
      <c r="R746">
        <v>2</v>
      </c>
      <c r="S746" t="s">
        <v>85</v>
      </c>
      <c r="T746" t="s">
        <v>86</v>
      </c>
      <c r="U746">
        <v>5</v>
      </c>
      <c r="V746">
        <v>5</v>
      </c>
      <c r="W746">
        <v>5</v>
      </c>
      <c r="X746">
        <v>5</v>
      </c>
      <c r="Y746">
        <v>1</v>
      </c>
      <c r="Z746">
        <v>1</v>
      </c>
      <c r="AA746">
        <v>4</v>
      </c>
      <c r="AB746">
        <v>4</v>
      </c>
      <c r="AC746" t="s">
        <v>60</v>
      </c>
      <c r="AD746" t="s">
        <v>60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1</v>
      </c>
      <c r="AP746">
        <v>0</v>
      </c>
      <c r="AQ746">
        <v>100</v>
      </c>
      <c r="AR746" s="2">
        <v>45770.244884259257</v>
      </c>
      <c r="AS746" s="2">
        <v>46060.108564814815</v>
      </c>
      <c r="AT746" t="s">
        <v>1357</v>
      </c>
      <c r="AU746" t="s">
        <v>1357</v>
      </c>
      <c r="AV746">
        <v>290</v>
      </c>
    </row>
    <row r="747" spans="1:48" x14ac:dyDescent="0.25">
      <c r="A747">
        <v>178</v>
      </c>
      <c r="B747" t="s">
        <v>2939</v>
      </c>
      <c r="C747" t="s">
        <v>390</v>
      </c>
      <c r="D747" t="s">
        <v>144</v>
      </c>
      <c r="E747" t="s">
        <v>2940</v>
      </c>
      <c r="F747" t="s">
        <v>2941</v>
      </c>
      <c r="G747" t="s">
        <v>53</v>
      </c>
      <c r="H747" s="1">
        <v>37496</v>
      </c>
      <c r="I747">
        <v>24</v>
      </c>
      <c r="J747">
        <v>2002</v>
      </c>
      <c r="K747" s="1">
        <v>46060</v>
      </c>
      <c r="L747">
        <v>2026</v>
      </c>
      <c r="M747" t="s">
        <v>54</v>
      </c>
      <c r="N747">
        <v>14</v>
      </c>
      <c r="O747" t="s">
        <v>105</v>
      </c>
      <c r="P747" t="s">
        <v>56</v>
      </c>
      <c r="Q747">
        <v>36</v>
      </c>
      <c r="R747">
        <v>5</v>
      </c>
      <c r="S747" t="s">
        <v>92</v>
      </c>
      <c r="T747" t="s">
        <v>93</v>
      </c>
      <c r="U747">
        <v>5</v>
      </c>
      <c r="V747">
        <v>5</v>
      </c>
      <c r="W747">
        <v>5</v>
      </c>
      <c r="X747">
        <v>5</v>
      </c>
      <c r="Y747">
        <v>1</v>
      </c>
      <c r="Z747">
        <v>5</v>
      </c>
      <c r="AA747">
        <v>2.5</v>
      </c>
      <c r="AB747">
        <v>12.5</v>
      </c>
      <c r="AC747" t="s">
        <v>59</v>
      </c>
      <c r="AD747" t="s">
        <v>60</v>
      </c>
      <c r="AE747">
        <v>1</v>
      </c>
      <c r="AF747">
        <v>0</v>
      </c>
      <c r="AG747">
        <v>0</v>
      </c>
      <c r="AH747">
        <v>1</v>
      </c>
      <c r="AI747">
        <v>0</v>
      </c>
      <c r="AJ747">
        <v>1</v>
      </c>
      <c r="AK747">
        <v>1</v>
      </c>
      <c r="AL747">
        <v>0</v>
      </c>
      <c r="AM747">
        <v>1</v>
      </c>
      <c r="AN747">
        <v>0</v>
      </c>
      <c r="AO747">
        <v>5</v>
      </c>
      <c r="AP747">
        <v>0</v>
      </c>
      <c r="AQ747">
        <v>100</v>
      </c>
      <c r="AR747" s="2">
        <v>45798.533043981479</v>
      </c>
      <c r="AS747" s="2">
        <v>46068.579456018517</v>
      </c>
      <c r="AT747" t="s">
        <v>62</v>
      </c>
      <c r="AU747" t="s">
        <v>62</v>
      </c>
      <c r="AV747">
        <v>270</v>
      </c>
    </row>
    <row r="748" spans="1:48" x14ac:dyDescent="0.25">
      <c r="A748">
        <v>944</v>
      </c>
      <c r="B748" t="s">
        <v>2942</v>
      </c>
      <c r="C748" t="s">
        <v>64</v>
      </c>
      <c r="D748" t="s">
        <v>1617</v>
      </c>
      <c r="E748" t="s">
        <v>2943</v>
      </c>
      <c r="F748">
        <v>4375681187</v>
      </c>
      <c r="G748" t="s">
        <v>53</v>
      </c>
      <c r="H748" s="1">
        <v>38267</v>
      </c>
      <c r="I748">
        <v>22</v>
      </c>
      <c r="J748">
        <v>2004</v>
      </c>
      <c r="K748" s="1">
        <v>44944</v>
      </c>
      <c r="L748">
        <v>2023</v>
      </c>
      <c r="M748" t="s">
        <v>54</v>
      </c>
      <c r="N748">
        <v>13</v>
      </c>
      <c r="O748" t="s">
        <v>146</v>
      </c>
      <c r="P748" t="s">
        <v>119</v>
      </c>
      <c r="Q748">
        <v>120</v>
      </c>
      <c r="R748">
        <v>5</v>
      </c>
      <c r="S748" t="s">
        <v>92</v>
      </c>
      <c r="T748" t="s">
        <v>93</v>
      </c>
      <c r="U748">
        <v>5</v>
      </c>
      <c r="V748">
        <v>5</v>
      </c>
      <c r="W748">
        <v>5</v>
      </c>
      <c r="X748">
        <v>5</v>
      </c>
      <c r="Y748">
        <v>1</v>
      </c>
      <c r="Z748">
        <v>5</v>
      </c>
      <c r="AA748">
        <v>1.1000000000000001</v>
      </c>
      <c r="AB748">
        <v>5.5</v>
      </c>
      <c r="AC748" t="s">
        <v>70</v>
      </c>
      <c r="AD748" t="s">
        <v>281</v>
      </c>
      <c r="AE748">
        <v>0</v>
      </c>
      <c r="AF748">
        <v>0</v>
      </c>
      <c r="AG748">
        <v>1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3</v>
      </c>
      <c r="AO748">
        <v>2</v>
      </c>
      <c r="AP748">
        <v>3</v>
      </c>
      <c r="AQ748">
        <v>40</v>
      </c>
      <c r="AR748" s="2">
        <v>45724.710081018522</v>
      </c>
      <c r="AS748" s="2">
        <v>46041.478761574072</v>
      </c>
      <c r="AT748" t="s">
        <v>62</v>
      </c>
      <c r="AU748" t="s">
        <v>62</v>
      </c>
      <c r="AV748">
        <v>317</v>
      </c>
    </row>
    <row r="749" spans="1:48" x14ac:dyDescent="0.25">
      <c r="A749">
        <v>213</v>
      </c>
      <c r="B749" t="s">
        <v>2944</v>
      </c>
      <c r="C749" t="s">
        <v>1142</v>
      </c>
      <c r="D749" t="s">
        <v>1024</v>
      </c>
      <c r="E749" t="s">
        <v>2945</v>
      </c>
      <c r="F749" t="s">
        <v>2946</v>
      </c>
      <c r="G749" t="s">
        <v>104</v>
      </c>
      <c r="H749" s="1">
        <v>36017</v>
      </c>
      <c r="I749">
        <v>28</v>
      </c>
      <c r="J749">
        <v>1998</v>
      </c>
      <c r="K749" s="1">
        <v>44698</v>
      </c>
      <c r="L749">
        <v>2022</v>
      </c>
      <c r="M749" t="s">
        <v>54</v>
      </c>
      <c r="N749">
        <v>15</v>
      </c>
      <c r="O749" t="s">
        <v>91</v>
      </c>
      <c r="P749" t="s">
        <v>69</v>
      </c>
      <c r="Q749">
        <v>60</v>
      </c>
      <c r="R749">
        <v>5</v>
      </c>
      <c r="S749" t="s">
        <v>92</v>
      </c>
      <c r="T749" t="s">
        <v>93</v>
      </c>
      <c r="U749">
        <v>5</v>
      </c>
      <c r="V749">
        <v>5</v>
      </c>
      <c r="W749">
        <v>5</v>
      </c>
      <c r="X749">
        <v>5</v>
      </c>
      <c r="Y749">
        <v>1</v>
      </c>
      <c r="Z749">
        <v>5</v>
      </c>
      <c r="AA749">
        <v>2.2000000000000002</v>
      </c>
      <c r="AB749">
        <v>11</v>
      </c>
      <c r="AC749" t="s">
        <v>70</v>
      </c>
      <c r="AD749" t="s">
        <v>281</v>
      </c>
      <c r="AE749">
        <v>0</v>
      </c>
      <c r="AF749">
        <v>0</v>
      </c>
      <c r="AG749">
        <v>1</v>
      </c>
      <c r="AH749">
        <v>0</v>
      </c>
      <c r="AI749">
        <v>0</v>
      </c>
      <c r="AJ749">
        <v>3</v>
      </c>
      <c r="AK749">
        <v>0</v>
      </c>
      <c r="AL749">
        <v>0</v>
      </c>
      <c r="AM749">
        <v>0</v>
      </c>
      <c r="AN749">
        <v>1</v>
      </c>
      <c r="AO749">
        <v>4</v>
      </c>
      <c r="AP749">
        <v>1</v>
      </c>
      <c r="AQ749">
        <v>80</v>
      </c>
      <c r="AR749" s="2">
        <v>45737.471030092594</v>
      </c>
      <c r="AS749" s="2">
        <v>45975.374849537038</v>
      </c>
      <c r="AT749" t="s">
        <v>61</v>
      </c>
      <c r="AU749" t="s">
        <v>61</v>
      </c>
      <c r="AV749">
        <v>238</v>
      </c>
    </row>
    <row r="750" spans="1:48" x14ac:dyDescent="0.25">
      <c r="A750">
        <v>264</v>
      </c>
      <c r="B750" t="s">
        <v>2947</v>
      </c>
      <c r="C750" t="s">
        <v>793</v>
      </c>
      <c r="D750" t="s">
        <v>144</v>
      </c>
      <c r="E750" t="s">
        <v>2948</v>
      </c>
      <c r="F750" t="s">
        <v>2949</v>
      </c>
      <c r="G750" t="s">
        <v>104</v>
      </c>
      <c r="H750" s="1">
        <v>36480</v>
      </c>
      <c r="I750">
        <v>27</v>
      </c>
      <c r="J750">
        <v>1999</v>
      </c>
      <c r="K750" s="1">
        <v>45884</v>
      </c>
      <c r="L750">
        <v>2025</v>
      </c>
      <c r="M750" t="s">
        <v>54</v>
      </c>
      <c r="N750">
        <v>14</v>
      </c>
      <c r="O750" t="s">
        <v>105</v>
      </c>
      <c r="P750" t="s">
        <v>56</v>
      </c>
      <c r="Q750">
        <v>36</v>
      </c>
      <c r="R750">
        <v>5</v>
      </c>
      <c r="S750" t="s">
        <v>92</v>
      </c>
      <c r="T750" t="s">
        <v>93</v>
      </c>
      <c r="U750">
        <v>5</v>
      </c>
      <c r="V750">
        <v>5</v>
      </c>
      <c r="W750">
        <v>5</v>
      </c>
      <c r="X750">
        <v>5</v>
      </c>
      <c r="Y750">
        <v>1</v>
      </c>
      <c r="Z750">
        <v>5</v>
      </c>
      <c r="AA750">
        <v>1.3</v>
      </c>
      <c r="AB750">
        <v>6.5</v>
      </c>
      <c r="AC750" t="s">
        <v>70</v>
      </c>
      <c r="AD750" t="s">
        <v>281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1</v>
      </c>
      <c r="AL750">
        <v>0</v>
      </c>
      <c r="AM750">
        <v>1</v>
      </c>
      <c r="AN750">
        <v>2</v>
      </c>
      <c r="AO750">
        <v>3</v>
      </c>
      <c r="AP750">
        <v>2</v>
      </c>
      <c r="AQ750">
        <v>60</v>
      </c>
      <c r="AR750" s="2">
        <v>45811.879016203704</v>
      </c>
      <c r="AS750" s="2">
        <v>46065.043749999997</v>
      </c>
      <c r="AT750" t="s">
        <v>61</v>
      </c>
      <c r="AU750" t="s">
        <v>61</v>
      </c>
      <c r="AV750">
        <v>254</v>
      </c>
    </row>
    <row r="751" spans="1:48" x14ac:dyDescent="0.25">
      <c r="A751">
        <v>988</v>
      </c>
      <c r="B751" t="s">
        <v>2950</v>
      </c>
      <c r="C751" t="s">
        <v>1571</v>
      </c>
      <c r="D751" t="s">
        <v>543</v>
      </c>
      <c r="E751" t="s">
        <v>2951</v>
      </c>
      <c r="F751" t="s">
        <v>2952</v>
      </c>
      <c r="G751" t="s">
        <v>104</v>
      </c>
      <c r="H751" s="1">
        <v>36855</v>
      </c>
      <c r="I751">
        <v>26</v>
      </c>
      <c r="J751">
        <v>2000</v>
      </c>
      <c r="K751" s="1">
        <v>45499</v>
      </c>
      <c r="L751">
        <v>2024</v>
      </c>
      <c r="M751" t="s">
        <v>54</v>
      </c>
      <c r="N751">
        <v>20</v>
      </c>
      <c r="O751" t="s">
        <v>180</v>
      </c>
      <c r="P751" t="s">
        <v>56</v>
      </c>
      <c r="Q751">
        <v>36</v>
      </c>
      <c r="R751">
        <v>7</v>
      </c>
      <c r="S751" t="s">
        <v>163</v>
      </c>
      <c r="T751" t="s">
        <v>164</v>
      </c>
      <c r="U751">
        <v>5</v>
      </c>
      <c r="V751">
        <v>5</v>
      </c>
      <c r="W751">
        <v>5</v>
      </c>
      <c r="X751">
        <v>5</v>
      </c>
      <c r="Y751">
        <v>1</v>
      </c>
      <c r="Z751">
        <v>5</v>
      </c>
      <c r="AA751">
        <v>2.7</v>
      </c>
      <c r="AB751">
        <v>13.5</v>
      </c>
      <c r="AC751" t="s">
        <v>540</v>
      </c>
      <c r="AD751" t="s">
        <v>112</v>
      </c>
      <c r="AE751">
        <v>0</v>
      </c>
      <c r="AF751">
        <v>0</v>
      </c>
      <c r="AG751">
        <v>0</v>
      </c>
      <c r="AH751">
        <v>2</v>
      </c>
      <c r="AI751">
        <v>0</v>
      </c>
      <c r="AJ751">
        <v>3</v>
      </c>
      <c r="AK751">
        <v>0</v>
      </c>
      <c r="AL751">
        <v>0</v>
      </c>
      <c r="AM751">
        <v>0</v>
      </c>
      <c r="AN751">
        <v>0</v>
      </c>
      <c r="AO751">
        <v>5</v>
      </c>
      <c r="AP751">
        <v>0</v>
      </c>
      <c r="AQ751">
        <v>100</v>
      </c>
      <c r="AR751" s="2">
        <v>45755.547812500001</v>
      </c>
      <c r="AS751" s="2">
        <v>46000.264479166668</v>
      </c>
      <c r="AT751" t="s">
        <v>61</v>
      </c>
      <c r="AU751" t="s">
        <v>61</v>
      </c>
      <c r="AV751">
        <v>245</v>
      </c>
    </row>
    <row r="752" spans="1:48" x14ac:dyDescent="0.25">
      <c r="A752">
        <v>518</v>
      </c>
      <c r="B752" t="s">
        <v>2953</v>
      </c>
      <c r="C752" t="s">
        <v>238</v>
      </c>
      <c r="D752" t="s">
        <v>2954</v>
      </c>
      <c r="E752" t="s">
        <v>2955</v>
      </c>
      <c r="F752">
        <v>2048090138</v>
      </c>
      <c r="G752" t="s">
        <v>104</v>
      </c>
      <c r="H752" s="1">
        <v>37626</v>
      </c>
      <c r="I752">
        <v>23</v>
      </c>
      <c r="J752">
        <v>2003</v>
      </c>
      <c r="K752" s="1">
        <v>46066</v>
      </c>
      <c r="L752">
        <v>2026</v>
      </c>
      <c r="M752" t="s">
        <v>54</v>
      </c>
      <c r="N752">
        <v>8</v>
      </c>
      <c r="O752" t="s">
        <v>125</v>
      </c>
      <c r="P752" t="s">
        <v>56</v>
      </c>
      <c r="Q752">
        <v>36</v>
      </c>
      <c r="R752">
        <v>3</v>
      </c>
      <c r="S752" t="s">
        <v>126</v>
      </c>
      <c r="T752" t="s">
        <v>127</v>
      </c>
      <c r="U752">
        <v>5</v>
      </c>
      <c r="V752">
        <v>5</v>
      </c>
      <c r="W752">
        <v>5</v>
      </c>
      <c r="X752">
        <v>5</v>
      </c>
      <c r="Y752">
        <v>1</v>
      </c>
      <c r="Z752">
        <v>2</v>
      </c>
      <c r="AA752">
        <v>0.5</v>
      </c>
      <c r="AB752">
        <v>1</v>
      </c>
      <c r="AC752" t="s">
        <v>70</v>
      </c>
      <c r="AD752" t="s">
        <v>59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1</v>
      </c>
      <c r="AN752">
        <v>1</v>
      </c>
      <c r="AO752">
        <v>1</v>
      </c>
      <c r="AP752">
        <v>1</v>
      </c>
      <c r="AQ752">
        <v>50</v>
      </c>
      <c r="AR752" s="2">
        <v>45819.82303240741</v>
      </c>
      <c r="AS752" s="2">
        <v>46034.108148148145</v>
      </c>
      <c r="AT752" t="s">
        <v>1357</v>
      </c>
      <c r="AU752" t="s">
        <v>1357</v>
      </c>
      <c r="AV752">
        <v>215</v>
      </c>
    </row>
    <row r="753" spans="1:48" x14ac:dyDescent="0.25">
      <c r="A753">
        <v>812</v>
      </c>
      <c r="B753" t="s">
        <v>2956</v>
      </c>
      <c r="C753" t="s">
        <v>807</v>
      </c>
      <c r="D753" t="s">
        <v>391</v>
      </c>
      <c r="E753" t="s">
        <v>2957</v>
      </c>
      <c r="F753" t="s">
        <v>2958</v>
      </c>
      <c r="G753" t="s">
        <v>104</v>
      </c>
      <c r="H753" s="1">
        <v>38627</v>
      </c>
      <c r="I753">
        <v>21</v>
      </c>
      <c r="J753">
        <v>2005</v>
      </c>
      <c r="K753" s="1">
        <v>45748</v>
      </c>
      <c r="L753">
        <v>2025</v>
      </c>
      <c r="M753" t="s">
        <v>111</v>
      </c>
      <c r="N753">
        <v>10</v>
      </c>
      <c r="O753" t="s">
        <v>118</v>
      </c>
      <c r="P753" t="s">
        <v>119</v>
      </c>
      <c r="Q753">
        <v>120</v>
      </c>
      <c r="R753">
        <v>4</v>
      </c>
      <c r="S753" t="s">
        <v>77</v>
      </c>
      <c r="T753" t="s">
        <v>78</v>
      </c>
      <c r="U753">
        <v>5</v>
      </c>
      <c r="V753">
        <v>5</v>
      </c>
      <c r="W753">
        <v>5</v>
      </c>
      <c r="X753">
        <v>5</v>
      </c>
      <c r="Y753">
        <v>1</v>
      </c>
      <c r="Z753">
        <v>2</v>
      </c>
      <c r="AA753">
        <v>2.5</v>
      </c>
      <c r="AB753">
        <v>5</v>
      </c>
      <c r="AC753" t="s">
        <v>59</v>
      </c>
      <c r="AD753" t="s">
        <v>60</v>
      </c>
      <c r="AE753">
        <v>1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1</v>
      </c>
      <c r="AN753">
        <v>0</v>
      </c>
      <c r="AO753">
        <v>2</v>
      </c>
      <c r="AP753">
        <v>0</v>
      </c>
      <c r="AQ753">
        <v>100</v>
      </c>
      <c r="AR753" s="2">
        <v>45729.915949074071</v>
      </c>
      <c r="AS753" s="2">
        <v>45948.860509259262</v>
      </c>
      <c r="AT753" t="s">
        <v>1357</v>
      </c>
      <c r="AU753" t="s">
        <v>1357</v>
      </c>
      <c r="AV753">
        <v>219</v>
      </c>
    </row>
    <row r="754" spans="1:48" x14ac:dyDescent="0.25">
      <c r="A754">
        <v>740</v>
      </c>
      <c r="B754" t="s">
        <v>2959</v>
      </c>
      <c r="C754" t="s">
        <v>2960</v>
      </c>
      <c r="D754" t="s">
        <v>2725</v>
      </c>
      <c r="E754" t="s">
        <v>2961</v>
      </c>
      <c r="F754" t="s">
        <v>2962</v>
      </c>
      <c r="G754" t="s">
        <v>104</v>
      </c>
      <c r="H754" s="1">
        <v>37820</v>
      </c>
      <c r="I754">
        <v>23</v>
      </c>
      <c r="J754">
        <v>2003</v>
      </c>
      <c r="K754" s="1">
        <v>45482</v>
      </c>
      <c r="L754">
        <v>2024</v>
      </c>
      <c r="M754" t="s">
        <v>54</v>
      </c>
      <c r="N754">
        <v>11</v>
      </c>
      <c r="O754" t="s">
        <v>378</v>
      </c>
      <c r="P754" t="s">
        <v>56</v>
      </c>
      <c r="Q754">
        <v>36</v>
      </c>
      <c r="R754">
        <v>4</v>
      </c>
      <c r="S754" t="s">
        <v>77</v>
      </c>
      <c r="T754" t="s">
        <v>78</v>
      </c>
      <c r="U754">
        <v>5</v>
      </c>
      <c r="V754">
        <v>5</v>
      </c>
      <c r="W754">
        <v>5</v>
      </c>
      <c r="X754">
        <v>5</v>
      </c>
      <c r="Y754">
        <v>1</v>
      </c>
      <c r="Z754">
        <v>5</v>
      </c>
      <c r="AA754">
        <v>2.6</v>
      </c>
      <c r="AB754">
        <v>13</v>
      </c>
      <c r="AC754" t="s">
        <v>59</v>
      </c>
      <c r="AD754" t="s">
        <v>60</v>
      </c>
      <c r="AE754">
        <v>1</v>
      </c>
      <c r="AF754">
        <v>0</v>
      </c>
      <c r="AG754">
        <v>0</v>
      </c>
      <c r="AH754">
        <v>2</v>
      </c>
      <c r="AI754">
        <v>0</v>
      </c>
      <c r="AJ754">
        <v>0</v>
      </c>
      <c r="AK754">
        <v>1</v>
      </c>
      <c r="AL754">
        <v>0</v>
      </c>
      <c r="AM754">
        <v>1</v>
      </c>
      <c r="AN754">
        <v>0</v>
      </c>
      <c r="AO754">
        <v>5</v>
      </c>
      <c r="AP754">
        <v>0</v>
      </c>
      <c r="AQ754">
        <v>100</v>
      </c>
      <c r="AR754" s="2">
        <v>45829.214537037034</v>
      </c>
      <c r="AS754" s="2">
        <v>46018.939120370371</v>
      </c>
      <c r="AT754" t="s">
        <v>61</v>
      </c>
      <c r="AU754" t="s">
        <v>61</v>
      </c>
      <c r="AV754">
        <v>189</v>
      </c>
    </row>
    <row r="755" spans="1:48" x14ac:dyDescent="0.25">
      <c r="A755">
        <v>474</v>
      </c>
      <c r="B755" t="s">
        <v>2963</v>
      </c>
      <c r="C755" t="s">
        <v>252</v>
      </c>
      <c r="D755" t="s">
        <v>2964</v>
      </c>
      <c r="E755" t="s">
        <v>2965</v>
      </c>
      <c r="F755" t="s">
        <v>2966</v>
      </c>
      <c r="G755" t="s">
        <v>53</v>
      </c>
      <c r="H755" s="1">
        <v>37854</v>
      </c>
      <c r="I755">
        <v>23</v>
      </c>
      <c r="J755">
        <v>2003</v>
      </c>
      <c r="K755" s="1">
        <v>45612</v>
      </c>
      <c r="L755">
        <v>2024</v>
      </c>
      <c r="M755" t="s">
        <v>54</v>
      </c>
      <c r="N755">
        <v>3</v>
      </c>
      <c r="O755" t="s">
        <v>68</v>
      </c>
      <c r="P755" t="s">
        <v>69</v>
      </c>
      <c r="Q755">
        <v>60</v>
      </c>
      <c r="R755">
        <v>1</v>
      </c>
      <c r="S755" t="s">
        <v>57</v>
      </c>
      <c r="T755" t="s">
        <v>58</v>
      </c>
      <c r="U755">
        <v>5</v>
      </c>
      <c r="V755">
        <v>5</v>
      </c>
      <c r="W755">
        <v>5</v>
      </c>
      <c r="X755">
        <v>5</v>
      </c>
      <c r="Y755">
        <v>1</v>
      </c>
      <c r="Z755">
        <v>1</v>
      </c>
      <c r="AA755">
        <v>1</v>
      </c>
      <c r="AB755">
        <v>1</v>
      </c>
      <c r="AC755" t="s">
        <v>59</v>
      </c>
      <c r="AD755" t="s">
        <v>59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0</v>
      </c>
      <c r="AO755">
        <v>1</v>
      </c>
      <c r="AP755">
        <v>0</v>
      </c>
      <c r="AQ755">
        <v>100</v>
      </c>
      <c r="AR755" s="2">
        <v>45730.481388888889</v>
      </c>
      <c r="AS755" s="2">
        <v>46022.189699074072</v>
      </c>
      <c r="AT755" t="s">
        <v>1357</v>
      </c>
      <c r="AU755" t="s">
        <v>1357</v>
      </c>
      <c r="AV755">
        <v>292</v>
      </c>
    </row>
    <row r="756" spans="1:48" x14ac:dyDescent="0.25">
      <c r="A756">
        <v>348</v>
      </c>
      <c r="B756" t="s">
        <v>2967</v>
      </c>
      <c r="C756" t="s">
        <v>1192</v>
      </c>
      <c r="D756" t="s">
        <v>820</v>
      </c>
      <c r="E756" t="s">
        <v>2968</v>
      </c>
      <c r="F756" t="s">
        <v>2969</v>
      </c>
      <c r="G756" t="s">
        <v>104</v>
      </c>
      <c r="H756" s="1">
        <v>36548</v>
      </c>
      <c r="I756">
        <v>26</v>
      </c>
      <c r="J756">
        <v>2000</v>
      </c>
      <c r="K756" s="1">
        <v>45740</v>
      </c>
      <c r="L756">
        <v>2025</v>
      </c>
      <c r="M756" t="s">
        <v>54</v>
      </c>
      <c r="N756">
        <v>12</v>
      </c>
      <c r="O756" t="s">
        <v>76</v>
      </c>
      <c r="P756" t="s">
        <v>69</v>
      </c>
      <c r="Q756">
        <v>60</v>
      </c>
      <c r="R756">
        <v>4</v>
      </c>
      <c r="S756" t="s">
        <v>77</v>
      </c>
      <c r="T756" t="s">
        <v>78</v>
      </c>
      <c r="U756">
        <v>5</v>
      </c>
      <c r="V756">
        <v>5</v>
      </c>
      <c r="W756">
        <v>5</v>
      </c>
      <c r="X756">
        <v>5</v>
      </c>
      <c r="Y756">
        <v>1</v>
      </c>
      <c r="Z756">
        <v>5</v>
      </c>
      <c r="AA756">
        <v>2</v>
      </c>
      <c r="AB756">
        <v>10</v>
      </c>
      <c r="AC756" t="s">
        <v>70</v>
      </c>
      <c r="AD756" t="s">
        <v>281</v>
      </c>
      <c r="AE756">
        <v>0</v>
      </c>
      <c r="AF756">
        <v>0</v>
      </c>
      <c r="AG756">
        <v>2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1</v>
      </c>
      <c r="AN756">
        <v>1</v>
      </c>
      <c r="AO756">
        <v>4</v>
      </c>
      <c r="AP756">
        <v>1</v>
      </c>
      <c r="AQ756">
        <v>80</v>
      </c>
      <c r="AR756" s="2">
        <v>45758.631145833337</v>
      </c>
      <c r="AS756" s="2">
        <v>46066.646354166667</v>
      </c>
      <c r="AT756" t="s">
        <v>61</v>
      </c>
      <c r="AU756" t="s">
        <v>61</v>
      </c>
      <c r="AV756">
        <v>308</v>
      </c>
    </row>
    <row r="757" spans="1:48" x14ac:dyDescent="0.25">
      <c r="A757">
        <v>334</v>
      </c>
      <c r="B757" t="s">
        <v>2970</v>
      </c>
      <c r="C757" t="s">
        <v>300</v>
      </c>
      <c r="D757" t="s">
        <v>2971</v>
      </c>
      <c r="E757" t="s">
        <v>2972</v>
      </c>
      <c r="F757">
        <v>9225784699</v>
      </c>
      <c r="G757" t="s">
        <v>104</v>
      </c>
      <c r="H757" s="1">
        <v>35739</v>
      </c>
      <c r="I757">
        <v>29</v>
      </c>
      <c r="J757">
        <v>1997</v>
      </c>
      <c r="K757" s="1">
        <v>45906</v>
      </c>
      <c r="L757">
        <v>2025</v>
      </c>
      <c r="M757" t="s">
        <v>54</v>
      </c>
      <c r="N757">
        <v>6</v>
      </c>
      <c r="O757" t="s">
        <v>133</v>
      </c>
      <c r="P757" t="s">
        <v>69</v>
      </c>
      <c r="Q757">
        <v>60</v>
      </c>
      <c r="R757">
        <v>2</v>
      </c>
      <c r="S757" t="s">
        <v>85</v>
      </c>
      <c r="T757" t="s">
        <v>86</v>
      </c>
      <c r="U757">
        <v>5</v>
      </c>
      <c r="V757">
        <v>5</v>
      </c>
      <c r="W757">
        <v>5</v>
      </c>
      <c r="X757">
        <v>5</v>
      </c>
      <c r="Y757">
        <v>1</v>
      </c>
      <c r="Z757">
        <v>5</v>
      </c>
      <c r="AA757">
        <v>2.6</v>
      </c>
      <c r="AB757">
        <v>13</v>
      </c>
      <c r="AC757" t="s">
        <v>70</v>
      </c>
      <c r="AD757" t="s">
        <v>60</v>
      </c>
      <c r="AE757">
        <v>3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1</v>
      </c>
      <c r="AN757">
        <v>1</v>
      </c>
      <c r="AO757">
        <v>4</v>
      </c>
      <c r="AP757">
        <v>1</v>
      </c>
      <c r="AQ757">
        <v>80</v>
      </c>
      <c r="AR757" s="2">
        <v>45725.278344907405</v>
      </c>
      <c r="AS757" s="2">
        <v>46062.06925925926</v>
      </c>
      <c r="AT757" t="s">
        <v>62</v>
      </c>
      <c r="AU757" t="s">
        <v>62</v>
      </c>
      <c r="AV757">
        <v>337</v>
      </c>
    </row>
    <row r="758" spans="1:48" x14ac:dyDescent="0.25">
      <c r="A758">
        <v>82</v>
      </c>
      <c r="B758" t="s">
        <v>2973</v>
      </c>
      <c r="C758" t="s">
        <v>854</v>
      </c>
      <c r="D758" t="s">
        <v>2974</v>
      </c>
      <c r="E758" t="s">
        <v>2975</v>
      </c>
      <c r="F758">
        <v>3677065405</v>
      </c>
      <c r="G758" t="s">
        <v>104</v>
      </c>
      <c r="H758" s="1">
        <v>35908</v>
      </c>
      <c r="I758">
        <v>28</v>
      </c>
      <c r="J758">
        <v>1998</v>
      </c>
      <c r="K758" s="1">
        <v>45585</v>
      </c>
      <c r="L758">
        <v>2024</v>
      </c>
      <c r="M758" t="s">
        <v>54</v>
      </c>
      <c r="N758">
        <v>19</v>
      </c>
      <c r="O758" t="s">
        <v>162</v>
      </c>
      <c r="P758" t="s">
        <v>119</v>
      </c>
      <c r="Q758">
        <v>120</v>
      </c>
      <c r="R758">
        <v>7</v>
      </c>
      <c r="S758" t="s">
        <v>163</v>
      </c>
      <c r="T758" t="s">
        <v>164</v>
      </c>
      <c r="U758">
        <v>5</v>
      </c>
      <c r="V758">
        <v>5</v>
      </c>
      <c r="W758">
        <v>5</v>
      </c>
      <c r="X758">
        <v>5</v>
      </c>
      <c r="Y758">
        <v>1</v>
      </c>
      <c r="Z758">
        <v>5</v>
      </c>
      <c r="AA758">
        <v>2.7</v>
      </c>
      <c r="AB758">
        <v>13.5</v>
      </c>
      <c r="AC758" t="s">
        <v>70</v>
      </c>
      <c r="AD758" t="s">
        <v>60</v>
      </c>
      <c r="AE758">
        <v>1</v>
      </c>
      <c r="AF758">
        <v>0</v>
      </c>
      <c r="AG758">
        <v>2</v>
      </c>
      <c r="AH758">
        <v>0</v>
      </c>
      <c r="AI758">
        <v>0</v>
      </c>
      <c r="AJ758">
        <v>1</v>
      </c>
      <c r="AK758">
        <v>0</v>
      </c>
      <c r="AL758">
        <v>0</v>
      </c>
      <c r="AM758">
        <v>0</v>
      </c>
      <c r="AN758">
        <v>1</v>
      </c>
      <c r="AO758">
        <v>4</v>
      </c>
      <c r="AP758">
        <v>1</v>
      </c>
      <c r="AQ758">
        <v>80</v>
      </c>
      <c r="AR758" s="2">
        <v>45722.473564814813</v>
      </c>
      <c r="AS758" s="2">
        <v>46034.714837962965</v>
      </c>
      <c r="AT758" t="s">
        <v>61</v>
      </c>
      <c r="AU758" t="s">
        <v>61</v>
      </c>
      <c r="AV758">
        <v>312</v>
      </c>
    </row>
    <row r="759" spans="1:48" x14ac:dyDescent="0.25">
      <c r="A759">
        <v>115</v>
      </c>
      <c r="B759" t="s">
        <v>2976</v>
      </c>
      <c r="C759" t="s">
        <v>2164</v>
      </c>
      <c r="D759" t="s">
        <v>2386</v>
      </c>
      <c r="E759" t="s">
        <v>2977</v>
      </c>
      <c r="F759" t="s">
        <v>2978</v>
      </c>
      <c r="G759" t="s">
        <v>104</v>
      </c>
      <c r="H759" s="1">
        <v>39446</v>
      </c>
      <c r="I759">
        <v>19</v>
      </c>
      <c r="J759">
        <v>2007</v>
      </c>
      <c r="K759" s="1">
        <v>45314</v>
      </c>
      <c r="L759">
        <v>2024</v>
      </c>
      <c r="M759" t="s">
        <v>111</v>
      </c>
      <c r="N759">
        <v>21</v>
      </c>
      <c r="O759" t="s">
        <v>339</v>
      </c>
      <c r="P759" t="s">
        <v>69</v>
      </c>
      <c r="Q759">
        <v>60</v>
      </c>
      <c r="R759">
        <v>7</v>
      </c>
      <c r="S759" t="s">
        <v>163</v>
      </c>
      <c r="T759" t="s">
        <v>164</v>
      </c>
      <c r="U759">
        <v>5</v>
      </c>
      <c r="V759">
        <v>5</v>
      </c>
      <c r="W759">
        <v>5</v>
      </c>
      <c r="X759">
        <v>5</v>
      </c>
      <c r="Y759">
        <v>1</v>
      </c>
      <c r="Z759">
        <v>4</v>
      </c>
      <c r="AA759">
        <v>2</v>
      </c>
      <c r="AB759">
        <v>8</v>
      </c>
      <c r="AC759" t="s">
        <v>70</v>
      </c>
      <c r="AD759" t="s">
        <v>112</v>
      </c>
      <c r="AE759">
        <v>0</v>
      </c>
      <c r="AF759">
        <v>0</v>
      </c>
      <c r="AG759">
        <v>0</v>
      </c>
      <c r="AH759">
        <v>2</v>
      </c>
      <c r="AI759">
        <v>0</v>
      </c>
      <c r="AJ759">
        <v>0</v>
      </c>
      <c r="AK759">
        <v>1</v>
      </c>
      <c r="AL759">
        <v>0</v>
      </c>
      <c r="AM759">
        <v>0</v>
      </c>
      <c r="AN759">
        <v>1</v>
      </c>
      <c r="AO759">
        <v>3</v>
      </c>
      <c r="AP759">
        <v>1</v>
      </c>
      <c r="AQ759">
        <v>75</v>
      </c>
      <c r="AR759" s="2">
        <v>45860.583784722221</v>
      </c>
      <c r="AS759" s="2">
        <v>46061.154363425929</v>
      </c>
      <c r="AT759" t="s">
        <v>1357</v>
      </c>
      <c r="AU759" t="s">
        <v>1357</v>
      </c>
      <c r="AV759">
        <v>201</v>
      </c>
    </row>
    <row r="760" spans="1:48" x14ac:dyDescent="0.25">
      <c r="A760">
        <v>113</v>
      </c>
      <c r="B760" t="s">
        <v>2979</v>
      </c>
      <c r="C760" t="s">
        <v>148</v>
      </c>
      <c r="D760" t="s">
        <v>2980</v>
      </c>
      <c r="E760" t="s">
        <v>2981</v>
      </c>
      <c r="F760" t="s">
        <v>2982</v>
      </c>
      <c r="G760" t="s">
        <v>53</v>
      </c>
      <c r="H760" s="1">
        <v>37482</v>
      </c>
      <c r="I760">
        <v>24</v>
      </c>
      <c r="J760">
        <v>2002</v>
      </c>
      <c r="K760" s="1">
        <v>44843</v>
      </c>
      <c r="L760">
        <v>2022</v>
      </c>
      <c r="M760" t="s">
        <v>54</v>
      </c>
      <c r="N760">
        <v>7</v>
      </c>
      <c r="O760" t="s">
        <v>231</v>
      </c>
      <c r="P760" t="s">
        <v>119</v>
      </c>
      <c r="Q760">
        <v>120</v>
      </c>
      <c r="R760">
        <v>3</v>
      </c>
      <c r="S760" t="s">
        <v>126</v>
      </c>
      <c r="T760" t="s">
        <v>127</v>
      </c>
      <c r="U760">
        <v>5</v>
      </c>
      <c r="V760">
        <v>5</v>
      </c>
      <c r="W760">
        <v>5</v>
      </c>
      <c r="X760">
        <v>5</v>
      </c>
      <c r="Y760">
        <v>1</v>
      </c>
      <c r="Z760">
        <v>5</v>
      </c>
      <c r="AA760">
        <v>2</v>
      </c>
      <c r="AB760">
        <v>10</v>
      </c>
      <c r="AC760" t="s">
        <v>70</v>
      </c>
      <c r="AD760" t="s">
        <v>281</v>
      </c>
      <c r="AE760">
        <v>0</v>
      </c>
      <c r="AF760">
        <v>0</v>
      </c>
      <c r="AG760">
        <v>1</v>
      </c>
      <c r="AH760">
        <v>0</v>
      </c>
      <c r="AI760">
        <v>0</v>
      </c>
      <c r="AJ760">
        <v>1</v>
      </c>
      <c r="AK760">
        <v>2</v>
      </c>
      <c r="AL760">
        <v>0</v>
      </c>
      <c r="AM760">
        <v>0</v>
      </c>
      <c r="AN760">
        <v>1</v>
      </c>
      <c r="AO760">
        <v>4</v>
      </c>
      <c r="AP760">
        <v>1</v>
      </c>
      <c r="AQ760">
        <v>80</v>
      </c>
      <c r="AR760" s="2">
        <v>45750.448229166665</v>
      </c>
      <c r="AS760" s="2">
        <v>46084.882777777777</v>
      </c>
      <c r="AT760" t="s">
        <v>61</v>
      </c>
      <c r="AU760" t="s">
        <v>61</v>
      </c>
      <c r="AV760">
        <v>334</v>
      </c>
    </row>
    <row r="761" spans="1:48" x14ac:dyDescent="0.25">
      <c r="A761">
        <v>378</v>
      </c>
      <c r="B761" t="s">
        <v>2983</v>
      </c>
      <c r="C761" t="s">
        <v>1431</v>
      </c>
      <c r="D761" t="s">
        <v>596</v>
      </c>
      <c r="E761" t="s">
        <v>2984</v>
      </c>
      <c r="F761" t="s">
        <v>2985</v>
      </c>
      <c r="G761" t="s">
        <v>53</v>
      </c>
      <c r="H761" s="1">
        <v>39169</v>
      </c>
      <c r="I761">
        <v>19</v>
      </c>
      <c r="J761">
        <v>2007</v>
      </c>
      <c r="K761" s="1">
        <v>44852</v>
      </c>
      <c r="L761">
        <v>2022</v>
      </c>
      <c r="M761" t="s">
        <v>54</v>
      </c>
      <c r="N761">
        <v>14</v>
      </c>
      <c r="O761" t="s">
        <v>105</v>
      </c>
      <c r="P761" t="s">
        <v>56</v>
      </c>
      <c r="Q761">
        <v>36</v>
      </c>
      <c r="R761">
        <v>5</v>
      </c>
      <c r="S761" t="s">
        <v>92</v>
      </c>
      <c r="T761" t="s">
        <v>93</v>
      </c>
      <c r="U761">
        <v>5</v>
      </c>
      <c r="V761">
        <v>5</v>
      </c>
      <c r="W761">
        <v>5</v>
      </c>
      <c r="X761">
        <v>5</v>
      </c>
      <c r="Y761">
        <v>1</v>
      </c>
      <c r="Z761">
        <v>1</v>
      </c>
      <c r="AA761">
        <v>2.5</v>
      </c>
      <c r="AB761">
        <v>2.5</v>
      </c>
      <c r="AC761" t="s">
        <v>540</v>
      </c>
      <c r="AD761" t="s">
        <v>540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1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100</v>
      </c>
      <c r="AR761" s="2">
        <v>45722.773773148147</v>
      </c>
      <c r="AS761" s="2">
        <v>46040.210914351854</v>
      </c>
      <c r="AT761" t="s">
        <v>1357</v>
      </c>
      <c r="AU761" t="s">
        <v>1357</v>
      </c>
      <c r="AV761">
        <v>318</v>
      </c>
    </row>
    <row r="762" spans="1:48" x14ac:dyDescent="0.25">
      <c r="A762">
        <v>553</v>
      </c>
      <c r="B762" t="s">
        <v>2986</v>
      </c>
      <c r="C762" t="s">
        <v>453</v>
      </c>
      <c r="D762" t="s">
        <v>2987</v>
      </c>
      <c r="E762" t="s">
        <v>2988</v>
      </c>
      <c r="F762" t="s">
        <v>2989</v>
      </c>
      <c r="G762" t="s">
        <v>53</v>
      </c>
      <c r="H762" s="1">
        <v>37690</v>
      </c>
      <c r="I762">
        <v>23</v>
      </c>
      <c r="J762">
        <v>2003</v>
      </c>
      <c r="K762" s="1">
        <v>44757</v>
      </c>
      <c r="L762">
        <v>2022</v>
      </c>
      <c r="M762" t="s">
        <v>54</v>
      </c>
      <c r="N762">
        <v>10</v>
      </c>
      <c r="O762" t="s">
        <v>118</v>
      </c>
      <c r="P762" t="s">
        <v>119</v>
      </c>
      <c r="Q762">
        <v>120</v>
      </c>
      <c r="R762">
        <v>4</v>
      </c>
      <c r="S762" t="s">
        <v>77</v>
      </c>
      <c r="T762" t="s">
        <v>78</v>
      </c>
      <c r="U762">
        <v>5</v>
      </c>
      <c r="V762">
        <v>5</v>
      </c>
      <c r="W762">
        <v>5</v>
      </c>
      <c r="X762">
        <v>5</v>
      </c>
      <c r="Y762">
        <v>1</v>
      </c>
      <c r="Z762">
        <v>3</v>
      </c>
      <c r="AA762">
        <v>1.666666</v>
      </c>
      <c r="AB762">
        <v>5</v>
      </c>
      <c r="AC762" t="s">
        <v>59</v>
      </c>
      <c r="AD762" t="s">
        <v>1061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2</v>
      </c>
      <c r="AL762">
        <v>0</v>
      </c>
      <c r="AM762">
        <v>1</v>
      </c>
      <c r="AN762">
        <v>0</v>
      </c>
      <c r="AO762">
        <v>3</v>
      </c>
      <c r="AP762">
        <v>0</v>
      </c>
      <c r="AQ762">
        <v>100</v>
      </c>
      <c r="AR762" s="2">
        <v>45816.175810185188</v>
      </c>
      <c r="AS762" s="2">
        <v>46084.279652777775</v>
      </c>
      <c r="AT762" t="s">
        <v>1357</v>
      </c>
      <c r="AU762" t="s">
        <v>1357</v>
      </c>
      <c r="AV762">
        <v>268</v>
      </c>
    </row>
    <row r="763" spans="1:48" x14ac:dyDescent="0.25">
      <c r="A763">
        <v>182</v>
      </c>
      <c r="B763" t="s">
        <v>2990</v>
      </c>
      <c r="C763" t="s">
        <v>148</v>
      </c>
      <c r="D763" t="s">
        <v>636</v>
      </c>
      <c r="E763" t="s">
        <v>2991</v>
      </c>
      <c r="F763" t="s">
        <v>2992</v>
      </c>
      <c r="G763" t="s">
        <v>53</v>
      </c>
      <c r="H763" s="1">
        <v>36220</v>
      </c>
      <c r="I763">
        <v>27</v>
      </c>
      <c r="J763">
        <v>1999</v>
      </c>
      <c r="K763" s="1">
        <v>45630</v>
      </c>
      <c r="L763">
        <v>2024</v>
      </c>
      <c r="M763" t="s">
        <v>54</v>
      </c>
      <c r="N763">
        <v>2</v>
      </c>
      <c r="O763" t="s">
        <v>55</v>
      </c>
      <c r="P763" t="s">
        <v>56</v>
      </c>
      <c r="Q763">
        <v>36</v>
      </c>
      <c r="R763">
        <v>1</v>
      </c>
      <c r="S763" t="s">
        <v>57</v>
      </c>
      <c r="T763" t="s">
        <v>58</v>
      </c>
      <c r="U763">
        <v>5</v>
      </c>
      <c r="V763">
        <v>5</v>
      </c>
      <c r="W763">
        <v>5</v>
      </c>
      <c r="X763">
        <v>5</v>
      </c>
      <c r="Y763">
        <v>1</v>
      </c>
      <c r="Z763">
        <v>2</v>
      </c>
      <c r="AA763">
        <v>2</v>
      </c>
      <c r="AB763">
        <v>4</v>
      </c>
      <c r="AC763" t="s">
        <v>70</v>
      </c>
      <c r="AD763" t="s">
        <v>60</v>
      </c>
      <c r="AE763">
        <v>1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1</v>
      </c>
      <c r="AQ763">
        <v>50</v>
      </c>
      <c r="AR763" s="2">
        <v>45742.887037037035</v>
      </c>
      <c r="AS763" s="2">
        <v>45976.311006944445</v>
      </c>
      <c r="AT763" t="s">
        <v>1357</v>
      </c>
      <c r="AU763" t="s">
        <v>1357</v>
      </c>
      <c r="AV763">
        <v>234</v>
      </c>
    </row>
    <row r="764" spans="1:48" x14ac:dyDescent="0.25">
      <c r="A764">
        <v>690</v>
      </c>
      <c r="B764" t="s">
        <v>2993</v>
      </c>
      <c r="C764" t="s">
        <v>2994</v>
      </c>
      <c r="D764" t="s">
        <v>400</v>
      </c>
      <c r="E764" t="s">
        <v>2995</v>
      </c>
      <c r="F764" t="s">
        <v>2996</v>
      </c>
      <c r="G764" t="s">
        <v>104</v>
      </c>
      <c r="H764" s="1">
        <v>37815</v>
      </c>
      <c r="I764">
        <v>23</v>
      </c>
      <c r="J764">
        <v>2003</v>
      </c>
      <c r="K764" s="1">
        <v>45110</v>
      </c>
      <c r="L764">
        <v>2023</v>
      </c>
      <c r="M764" t="s">
        <v>54</v>
      </c>
      <c r="N764">
        <v>7</v>
      </c>
      <c r="O764" t="s">
        <v>231</v>
      </c>
      <c r="P764" t="s">
        <v>119</v>
      </c>
      <c r="Q764">
        <v>120</v>
      </c>
      <c r="R764">
        <v>3</v>
      </c>
      <c r="S764" t="s">
        <v>126</v>
      </c>
      <c r="T764" t="s">
        <v>127</v>
      </c>
      <c r="U764">
        <v>5</v>
      </c>
      <c r="V764">
        <v>5</v>
      </c>
      <c r="W764">
        <v>5</v>
      </c>
      <c r="X764">
        <v>5</v>
      </c>
      <c r="Y764">
        <v>1</v>
      </c>
      <c r="Z764">
        <v>1</v>
      </c>
      <c r="AA764">
        <v>4</v>
      </c>
      <c r="AB764">
        <v>4</v>
      </c>
      <c r="AC764" t="s">
        <v>60</v>
      </c>
      <c r="AD764" t="s">
        <v>60</v>
      </c>
      <c r="AE764">
        <v>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1</v>
      </c>
      <c r="AP764">
        <v>0</v>
      </c>
      <c r="AQ764">
        <v>100</v>
      </c>
      <c r="AR764" s="2">
        <v>45739.212083333332</v>
      </c>
      <c r="AS764" s="2">
        <v>46067.442824074074</v>
      </c>
      <c r="AT764" t="s">
        <v>1357</v>
      </c>
      <c r="AU764" t="s">
        <v>1357</v>
      </c>
      <c r="AV764">
        <v>328</v>
      </c>
    </row>
    <row r="765" spans="1:48" x14ac:dyDescent="0.25">
      <c r="A765">
        <v>568</v>
      </c>
      <c r="B765" t="s">
        <v>2997</v>
      </c>
      <c r="C765" t="s">
        <v>1019</v>
      </c>
      <c r="D765" t="s">
        <v>562</v>
      </c>
      <c r="E765" t="s">
        <v>2998</v>
      </c>
      <c r="F765">
        <v>5182418620</v>
      </c>
      <c r="G765" t="s">
        <v>53</v>
      </c>
      <c r="H765" s="1">
        <v>35839</v>
      </c>
      <c r="I765">
        <v>28</v>
      </c>
      <c r="J765">
        <v>1998</v>
      </c>
      <c r="K765" s="1">
        <v>45188</v>
      </c>
      <c r="L765">
        <v>2023</v>
      </c>
      <c r="M765" t="s">
        <v>54</v>
      </c>
      <c r="N765">
        <v>19</v>
      </c>
      <c r="O765" t="s">
        <v>162</v>
      </c>
      <c r="P765" t="s">
        <v>119</v>
      </c>
      <c r="Q765">
        <v>120</v>
      </c>
      <c r="R765">
        <v>7</v>
      </c>
      <c r="S765" t="s">
        <v>163</v>
      </c>
      <c r="T765" t="s">
        <v>164</v>
      </c>
      <c r="U765">
        <v>5</v>
      </c>
      <c r="V765">
        <v>5</v>
      </c>
      <c r="W765">
        <v>5</v>
      </c>
      <c r="X765">
        <v>5</v>
      </c>
      <c r="Y765">
        <v>1</v>
      </c>
      <c r="Z765">
        <v>5</v>
      </c>
      <c r="AA765">
        <v>2.2999999999999998</v>
      </c>
      <c r="AB765">
        <v>11.5</v>
      </c>
      <c r="AC765" t="s">
        <v>59</v>
      </c>
      <c r="AD765" t="s">
        <v>112</v>
      </c>
      <c r="AE765">
        <v>0</v>
      </c>
      <c r="AF765">
        <v>0</v>
      </c>
      <c r="AG765">
        <v>0</v>
      </c>
      <c r="AH765">
        <v>2</v>
      </c>
      <c r="AI765">
        <v>0</v>
      </c>
      <c r="AJ765">
        <v>1</v>
      </c>
      <c r="AK765">
        <v>1</v>
      </c>
      <c r="AL765">
        <v>0</v>
      </c>
      <c r="AM765">
        <v>1</v>
      </c>
      <c r="AN765">
        <v>0</v>
      </c>
      <c r="AO765">
        <v>5</v>
      </c>
      <c r="AP765">
        <v>0</v>
      </c>
      <c r="AQ765">
        <v>100</v>
      </c>
      <c r="AR765" s="2">
        <v>45869.815057870372</v>
      </c>
      <c r="AS765" s="2">
        <v>46026.670532407406</v>
      </c>
      <c r="AT765" t="s">
        <v>61</v>
      </c>
      <c r="AU765" t="s">
        <v>61</v>
      </c>
      <c r="AV765">
        <v>157</v>
      </c>
    </row>
    <row r="766" spans="1:48" x14ac:dyDescent="0.25">
      <c r="A766">
        <v>809</v>
      </c>
      <c r="B766" t="s">
        <v>2999</v>
      </c>
      <c r="C766" t="s">
        <v>1431</v>
      </c>
      <c r="D766" t="s">
        <v>434</v>
      </c>
      <c r="E766" t="s">
        <v>3000</v>
      </c>
      <c r="F766" t="s">
        <v>3001</v>
      </c>
      <c r="G766" t="s">
        <v>53</v>
      </c>
      <c r="H766" s="1">
        <v>38412</v>
      </c>
      <c r="I766">
        <v>21</v>
      </c>
      <c r="J766">
        <v>2005</v>
      </c>
      <c r="K766" s="1">
        <v>45684</v>
      </c>
      <c r="L766">
        <v>2025</v>
      </c>
      <c r="M766" t="s">
        <v>54</v>
      </c>
      <c r="N766">
        <v>8</v>
      </c>
      <c r="O766" t="s">
        <v>125</v>
      </c>
      <c r="P766" t="s">
        <v>56</v>
      </c>
      <c r="Q766">
        <v>36</v>
      </c>
      <c r="R766">
        <v>3</v>
      </c>
      <c r="S766" t="s">
        <v>126</v>
      </c>
      <c r="T766" t="s">
        <v>127</v>
      </c>
      <c r="U766">
        <v>5</v>
      </c>
      <c r="V766">
        <v>5</v>
      </c>
      <c r="W766">
        <v>5</v>
      </c>
      <c r="X766">
        <v>5</v>
      </c>
      <c r="Y766">
        <v>1</v>
      </c>
      <c r="Z766">
        <v>3</v>
      </c>
      <c r="AA766">
        <v>1</v>
      </c>
      <c r="AB766">
        <v>3</v>
      </c>
      <c r="AC766" t="s">
        <v>70</v>
      </c>
      <c r="AD766" t="s">
        <v>1061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1</v>
      </c>
      <c r="AN766">
        <v>1</v>
      </c>
      <c r="AO766">
        <v>2</v>
      </c>
      <c r="AP766">
        <v>1</v>
      </c>
      <c r="AQ766">
        <v>66.666666666666003</v>
      </c>
      <c r="AR766" s="2">
        <v>45857.065810185188</v>
      </c>
      <c r="AS766" s="2">
        <v>45970.236041666663</v>
      </c>
      <c r="AT766" t="s">
        <v>1357</v>
      </c>
      <c r="AU766" t="s">
        <v>1357</v>
      </c>
      <c r="AV766">
        <v>113</v>
      </c>
    </row>
    <row r="767" spans="1:48" x14ac:dyDescent="0.25">
      <c r="A767">
        <v>641</v>
      </c>
      <c r="B767" t="s">
        <v>3002</v>
      </c>
      <c r="C767" t="s">
        <v>3003</v>
      </c>
      <c r="D767" t="s">
        <v>1329</v>
      </c>
      <c r="E767" t="s">
        <v>3004</v>
      </c>
      <c r="F767" t="s">
        <v>3005</v>
      </c>
      <c r="G767" t="s">
        <v>104</v>
      </c>
      <c r="H767" s="1">
        <v>38076</v>
      </c>
      <c r="I767">
        <v>22</v>
      </c>
      <c r="J767">
        <v>2004</v>
      </c>
      <c r="K767" s="1">
        <v>45485</v>
      </c>
      <c r="L767">
        <v>2024</v>
      </c>
      <c r="M767" t="s">
        <v>54</v>
      </c>
      <c r="N767">
        <v>15</v>
      </c>
      <c r="O767" t="s">
        <v>91</v>
      </c>
      <c r="P767" t="s">
        <v>69</v>
      </c>
      <c r="Q767">
        <v>60</v>
      </c>
      <c r="R767">
        <v>5</v>
      </c>
      <c r="S767" t="s">
        <v>92</v>
      </c>
      <c r="T767" t="s">
        <v>93</v>
      </c>
      <c r="U767">
        <v>5</v>
      </c>
      <c r="V767">
        <v>5</v>
      </c>
      <c r="W767">
        <v>5</v>
      </c>
      <c r="X767">
        <v>5</v>
      </c>
      <c r="Y767">
        <v>1</v>
      </c>
      <c r="Z767">
        <v>5</v>
      </c>
      <c r="AA767">
        <v>2.4</v>
      </c>
      <c r="AB767">
        <v>12</v>
      </c>
      <c r="AC767" t="s">
        <v>59</v>
      </c>
      <c r="AD767" t="s">
        <v>112</v>
      </c>
      <c r="AE767">
        <v>0</v>
      </c>
      <c r="AF767">
        <v>0</v>
      </c>
      <c r="AG767">
        <v>1</v>
      </c>
      <c r="AH767">
        <v>1</v>
      </c>
      <c r="AI767">
        <v>0</v>
      </c>
      <c r="AJ767">
        <v>1</v>
      </c>
      <c r="AK767">
        <v>1</v>
      </c>
      <c r="AL767">
        <v>0</v>
      </c>
      <c r="AM767">
        <v>1</v>
      </c>
      <c r="AN767">
        <v>0</v>
      </c>
      <c r="AO767">
        <v>5</v>
      </c>
      <c r="AP767">
        <v>0</v>
      </c>
      <c r="AQ767">
        <v>100</v>
      </c>
      <c r="AR767" s="2">
        <v>45804.603888888887</v>
      </c>
      <c r="AS767" s="2">
        <v>45907.346782407411</v>
      </c>
      <c r="AT767" t="s">
        <v>61</v>
      </c>
      <c r="AU767" t="s">
        <v>61</v>
      </c>
      <c r="AV767">
        <v>103</v>
      </c>
    </row>
    <row r="768" spans="1:48" x14ac:dyDescent="0.25">
      <c r="A768">
        <v>267</v>
      </c>
      <c r="B768" t="s">
        <v>3006</v>
      </c>
      <c r="C768" t="s">
        <v>3007</v>
      </c>
      <c r="D768" t="s">
        <v>1517</v>
      </c>
      <c r="E768" t="s">
        <v>3008</v>
      </c>
      <c r="F768" t="s">
        <v>3009</v>
      </c>
      <c r="G768" t="s">
        <v>53</v>
      </c>
      <c r="H768" s="1">
        <v>38747</v>
      </c>
      <c r="I768">
        <v>20</v>
      </c>
      <c r="J768">
        <v>2006</v>
      </c>
      <c r="K768" s="1">
        <v>44765</v>
      </c>
      <c r="L768">
        <v>2022</v>
      </c>
      <c r="M768" t="s">
        <v>54</v>
      </c>
      <c r="N768">
        <v>17</v>
      </c>
      <c r="O768" t="s">
        <v>350</v>
      </c>
      <c r="P768" t="s">
        <v>56</v>
      </c>
      <c r="Q768">
        <v>36</v>
      </c>
      <c r="R768">
        <v>6</v>
      </c>
      <c r="S768" t="s">
        <v>140</v>
      </c>
      <c r="T768" t="s">
        <v>141</v>
      </c>
      <c r="U768">
        <v>5</v>
      </c>
      <c r="V768">
        <v>5</v>
      </c>
      <c r="W768">
        <v>5</v>
      </c>
      <c r="X768">
        <v>4</v>
      </c>
      <c r="Y768">
        <v>1</v>
      </c>
      <c r="Z768">
        <v>1</v>
      </c>
      <c r="AA768">
        <v>4</v>
      </c>
      <c r="AB768">
        <v>4</v>
      </c>
      <c r="AC768" t="s">
        <v>60</v>
      </c>
      <c r="AD768" t="s">
        <v>60</v>
      </c>
      <c r="AE768">
        <v>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1</v>
      </c>
      <c r="AP768">
        <v>0</v>
      </c>
      <c r="AQ768">
        <v>100</v>
      </c>
      <c r="AR768" s="2">
        <v>45755.108194444445</v>
      </c>
      <c r="AS768" s="2">
        <v>46061.966006944444</v>
      </c>
      <c r="AT768" t="s">
        <v>1357</v>
      </c>
      <c r="AU768" t="s">
        <v>1357</v>
      </c>
      <c r="AV768">
        <v>306</v>
      </c>
    </row>
    <row r="769" spans="1:48" x14ac:dyDescent="0.25">
      <c r="A769">
        <v>508</v>
      </c>
      <c r="B769" t="s">
        <v>3010</v>
      </c>
      <c r="C769" t="s">
        <v>3011</v>
      </c>
      <c r="D769" t="s">
        <v>342</v>
      </c>
      <c r="E769" t="s">
        <v>3012</v>
      </c>
      <c r="F769" t="s">
        <v>3013</v>
      </c>
      <c r="G769" t="s">
        <v>53</v>
      </c>
      <c r="H769" s="1">
        <v>38205</v>
      </c>
      <c r="I769">
        <v>22</v>
      </c>
      <c r="J769">
        <v>2004</v>
      </c>
      <c r="K769" s="1">
        <v>45080</v>
      </c>
      <c r="L769">
        <v>2023</v>
      </c>
      <c r="M769" t="s">
        <v>54</v>
      </c>
      <c r="N769">
        <v>14</v>
      </c>
      <c r="O769" t="s">
        <v>105</v>
      </c>
      <c r="P769" t="s">
        <v>56</v>
      </c>
      <c r="Q769">
        <v>36</v>
      </c>
      <c r="R769">
        <v>5</v>
      </c>
      <c r="S769" t="s">
        <v>92</v>
      </c>
      <c r="T769" t="s">
        <v>93</v>
      </c>
      <c r="U769">
        <v>5</v>
      </c>
      <c r="V769">
        <v>5</v>
      </c>
      <c r="W769">
        <v>5</v>
      </c>
      <c r="X769">
        <v>5</v>
      </c>
      <c r="Y769">
        <v>1</v>
      </c>
      <c r="Z769">
        <v>4</v>
      </c>
      <c r="AA769">
        <v>2.875</v>
      </c>
      <c r="AB769">
        <v>11.5</v>
      </c>
      <c r="AC769" t="s">
        <v>540</v>
      </c>
      <c r="AD769" t="s">
        <v>112</v>
      </c>
      <c r="AE769">
        <v>0</v>
      </c>
      <c r="AF769">
        <v>0</v>
      </c>
      <c r="AG769">
        <v>1</v>
      </c>
      <c r="AH769">
        <v>1</v>
      </c>
      <c r="AI769">
        <v>0</v>
      </c>
      <c r="AJ769">
        <v>2</v>
      </c>
      <c r="AK769">
        <v>0</v>
      </c>
      <c r="AL769">
        <v>0</v>
      </c>
      <c r="AM769">
        <v>0</v>
      </c>
      <c r="AN769">
        <v>0</v>
      </c>
      <c r="AO769">
        <v>4</v>
      </c>
      <c r="AP769">
        <v>0</v>
      </c>
      <c r="AQ769">
        <v>100</v>
      </c>
      <c r="AR769" s="2">
        <v>45767.057152777779</v>
      </c>
      <c r="AS769" s="2">
        <v>46059.299120370371</v>
      </c>
      <c r="AT769" t="s">
        <v>1357</v>
      </c>
      <c r="AU769" t="s">
        <v>1357</v>
      </c>
      <c r="AV769">
        <v>292</v>
      </c>
    </row>
    <row r="770" spans="1:48" x14ac:dyDescent="0.25">
      <c r="A770">
        <v>10</v>
      </c>
      <c r="B770" t="s">
        <v>3014</v>
      </c>
      <c r="C770" t="s">
        <v>1784</v>
      </c>
      <c r="D770" t="s">
        <v>1703</v>
      </c>
      <c r="E770" t="s">
        <v>3015</v>
      </c>
      <c r="F770" t="s">
        <v>3016</v>
      </c>
      <c r="G770" t="s">
        <v>53</v>
      </c>
      <c r="H770" s="1">
        <v>35614</v>
      </c>
      <c r="I770">
        <v>29</v>
      </c>
      <c r="J770">
        <v>1997</v>
      </c>
      <c r="K770" s="1">
        <v>45975</v>
      </c>
      <c r="L770">
        <v>2025</v>
      </c>
      <c r="M770" t="s">
        <v>54</v>
      </c>
      <c r="N770">
        <v>16</v>
      </c>
      <c r="O770" t="s">
        <v>280</v>
      </c>
      <c r="P770" t="s">
        <v>119</v>
      </c>
      <c r="Q770">
        <v>120</v>
      </c>
      <c r="R770">
        <v>6</v>
      </c>
      <c r="S770" t="s">
        <v>140</v>
      </c>
      <c r="T770" t="s">
        <v>141</v>
      </c>
      <c r="U770">
        <v>5</v>
      </c>
      <c r="V770">
        <v>5</v>
      </c>
      <c r="W770">
        <v>5</v>
      </c>
      <c r="X770">
        <v>5</v>
      </c>
      <c r="Y770">
        <v>1</v>
      </c>
      <c r="Z770">
        <v>4</v>
      </c>
      <c r="AA770">
        <v>0.75</v>
      </c>
      <c r="AB770">
        <v>3</v>
      </c>
      <c r="AC770" t="s">
        <v>70</v>
      </c>
      <c r="AD770" t="s">
        <v>59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3</v>
      </c>
      <c r="AN770">
        <v>1</v>
      </c>
      <c r="AO770">
        <v>3</v>
      </c>
      <c r="AP770">
        <v>1</v>
      </c>
      <c r="AQ770">
        <v>75</v>
      </c>
      <c r="AR770" s="2">
        <v>45802.523310185185</v>
      </c>
      <c r="AS770" s="2">
        <v>46030.632476851853</v>
      </c>
      <c r="AT770" t="s">
        <v>1357</v>
      </c>
      <c r="AU770" t="s">
        <v>1357</v>
      </c>
      <c r="AV770">
        <v>228</v>
      </c>
    </row>
    <row r="771" spans="1:48" x14ac:dyDescent="0.25">
      <c r="A771">
        <v>311</v>
      </c>
      <c r="B771" t="s">
        <v>3017</v>
      </c>
      <c r="C771" t="s">
        <v>1346</v>
      </c>
      <c r="D771" t="s">
        <v>3018</v>
      </c>
      <c r="E771" t="s">
        <v>3019</v>
      </c>
      <c r="F771" t="s">
        <v>3020</v>
      </c>
      <c r="G771" t="s">
        <v>53</v>
      </c>
      <c r="H771" s="1">
        <v>35950</v>
      </c>
      <c r="I771">
        <v>28</v>
      </c>
      <c r="J771">
        <v>1998</v>
      </c>
      <c r="K771" s="1">
        <v>45635</v>
      </c>
      <c r="L771">
        <v>2024</v>
      </c>
      <c r="M771" t="s">
        <v>54</v>
      </c>
      <c r="N771">
        <v>12</v>
      </c>
      <c r="O771" t="s">
        <v>76</v>
      </c>
      <c r="P771" t="s">
        <v>69</v>
      </c>
      <c r="Q771">
        <v>60</v>
      </c>
      <c r="R771">
        <v>4</v>
      </c>
      <c r="S771" t="s">
        <v>77</v>
      </c>
      <c r="T771" t="s">
        <v>78</v>
      </c>
      <c r="U771">
        <v>5</v>
      </c>
      <c r="V771">
        <v>5</v>
      </c>
      <c r="W771">
        <v>5</v>
      </c>
      <c r="X771">
        <v>5</v>
      </c>
      <c r="Y771">
        <v>1</v>
      </c>
      <c r="Z771">
        <v>2</v>
      </c>
      <c r="AA771">
        <v>1</v>
      </c>
      <c r="AB771">
        <v>2</v>
      </c>
      <c r="AC771" t="s">
        <v>70</v>
      </c>
      <c r="AD771" t="s">
        <v>1061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</v>
      </c>
      <c r="AL771">
        <v>0</v>
      </c>
      <c r="AM771">
        <v>0</v>
      </c>
      <c r="AN771">
        <v>1</v>
      </c>
      <c r="AO771">
        <v>1</v>
      </c>
      <c r="AP771">
        <v>1</v>
      </c>
      <c r="AQ771">
        <v>50</v>
      </c>
      <c r="AR771" s="2">
        <v>45796.742627314816</v>
      </c>
      <c r="AS771" s="2">
        <v>46082.023576388892</v>
      </c>
      <c r="AT771" t="s">
        <v>1357</v>
      </c>
      <c r="AU771" t="s">
        <v>1357</v>
      </c>
      <c r="AV771">
        <v>286</v>
      </c>
    </row>
    <row r="772" spans="1:48" x14ac:dyDescent="0.25">
      <c r="A772">
        <v>594</v>
      </c>
      <c r="B772" t="s">
        <v>3021</v>
      </c>
      <c r="C772" t="s">
        <v>1527</v>
      </c>
      <c r="D772" t="s">
        <v>1715</v>
      </c>
      <c r="E772" t="s">
        <v>3022</v>
      </c>
      <c r="F772" t="s">
        <v>3023</v>
      </c>
      <c r="G772" t="s">
        <v>104</v>
      </c>
      <c r="H772" s="1">
        <v>36797</v>
      </c>
      <c r="I772">
        <v>26</v>
      </c>
      <c r="J772">
        <v>2000</v>
      </c>
      <c r="K772" s="1">
        <v>44883</v>
      </c>
      <c r="L772">
        <v>2022</v>
      </c>
      <c r="M772" t="s">
        <v>54</v>
      </c>
      <c r="N772">
        <v>3</v>
      </c>
      <c r="O772" t="s">
        <v>68</v>
      </c>
      <c r="P772" t="s">
        <v>69</v>
      </c>
      <c r="Q772">
        <v>60</v>
      </c>
      <c r="R772">
        <v>1</v>
      </c>
      <c r="S772" t="s">
        <v>57</v>
      </c>
      <c r="T772" t="s">
        <v>58</v>
      </c>
      <c r="U772">
        <v>5</v>
      </c>
      <c r="V772">
        <v>5</v>
      </c>
      <c r="W772">
        <v>5</v>
      </c>
      <c r="X772">
        <v>5</v>
      </c>
      <c r="Y772">
        <v>1</v>
      </c>
      <c r="Z772">
        <v>5</v>
      </c>
      <c r="AA772">
        <v>2.6</v>
      </c>
      <c r="AB772">
        <v>13</v>
      </c>
      <c r="AC772" t="s">
        <v>59</v>
      </c>
      <c r="AD772" t="s">
        <v>60</v>
      </c>
      <c r="AE772">
        <v>2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2</v>
      </c>
      <c r="AL772">
        <v>0</v>
      </c>
      <c r="AM772">
        <v>1</v>
      </c>
      <c r="AN772">
        <v>0</v>
      </c>
      <c r="AO772">
        <v>5</v>
      </c>
      <c r="AP772">
        <v>0</v>
      </c>
      <c r="AQ772">
        <v>100</v>
      </c>
      <c r="AR772" s="2">
        <v>45723.764189814814</v>
      </c>
      <c r="AS772" s="2">
        <v>46017.061759259261</v>
      </c>
      <c r="AT772" t="s">
        <v>62</v>
      </c>
      <c r="AU772" t="s">
        <v>62</v>
      </c>
      <c r="AV772">
        <v>294</v>
      </c>
    </row>
    <row r="773" spans="1:48" x14ac:dyDescent="0.25">
      <c r="A773">
        <v>190</v>
      </c>
      <c r="B773" t="s">
        <v>3024</v>
      </c>
      <c r="C773" t="s">
        <v>3025</v>
      </c>
      <c r="D773" t="s">
        <v>3026</v>
      </c>
      <c r="E773" t="s">
        <v>3027</v>
      </c>
      <c r="F773">
        <f>1-969-538-686</f>
        <v>-2192</v>
      </c>
      <c r="G773" t="s">
        <v>104</v>
      </c>
      <c r="H773" s="1">
        <v>37024</v>
      </c>
      <c r="I773">
        <v>25</v>
      </c>
      <c r="J773">
        <v>2001</v>
      </c>
      <c r="K773" s="1">
        <v>44740</v>
      </c>
      <c r="L773">
        <v>2022</v>
      </c>
      <c r="M773" t="s">
        <v>54</v>
      </c>
      <c r="N773">
        <v>17</v>
      </c>
      <c r="O773" t="s">
        <v>350</v>
      </c>
      <c r="P773" t="s">
        <v>56</v>
      </c>
      <c r="Q773">
        <v>36</v>
      </c>
      <c r="R773">
        <v>6</v>
      </c>
      <c r="S773" t="s">
        <v>140</v>
      </c>
      <c r="T773" t="s">
        <v>141</v>
      </c>
      <c r="U773">
        <v>5</v>
      </c>
      <c r="V773">
        <v>5</v>
      </c>
      <c r="W773">
        <v>5</v>
      </c>
      <c r="X773">
        <v>5</v>
      </c>
      <c r="Y773">
        <v>1</v>
      </c>
      <c r="Z773">
        <v>5</v>
      </c>
      <c r="AA773">
        <v>2.4</v>
      </c>
      <c r="AB773">
        <v>12</v>
      </c>
      <c r="AC773" t="s">
        <v>59</v>
      </c>
      <c r="AD773" t="s">
        <v>60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2</v>
      </c>
      <c r="AK773">
        <v>1</v>
      </c>
      <c r="AL773">
        <v>0</v>
      </c>
      <c r="AM773">
        <v>1</v>
      </c>
      <c r="AN773">
        <v>0</v>
      </c>
      <c r="AO773">
        <v>5</v>
      </c>
      <c r="AP773">
        <v>0</v>
      </c>
      <c r="AQ773">
        <v>100</v>
      </c>
      <c r="AR773" s="2">
        <v>45772.958414351851</v>
      </c>
      <c r="AS773" s="2">
        <v>46017.554571759261</v>
      </c>
      <c r="AT773" t="s">
        <v>62</v>
      </c>
      <c r="AU773" t="s">
        <v>62</v>
      </c>
      <c r="AV773">
        <v>245</v>
      </c>
    </row>
    <row r="774" spans="1:48" x14ac:dyDescent="0.25">
      <c r="A774">
        <v>405</v>
      </c>
      <c r="B774" t="s">
        <v>3028</v>
      </c>
      <c r="C774" t="s">
        <v>1571</v>
      </c>
      <c r="D774" t="s">
        <v>3029</v>
      </c>
      <c r="E774" t="s">
        <v>3030</v>
      </c>
      <c r="F774" t="s">
        <v>3031</v>
      </c>
      <c r="G774" t="s">
        <v>104</v>
      </c>
      <c r="H774" s="1">
        <v>38171</v>
      </c>
      <c r="I774">
        <v>22</v>
      </c>
      <c r="J774">
        <v>2004</v>
      </c>
      <c r="K774" s="1">
        <v>45469</v>
      </c>
      <c r="L774">
        <v>2024</v>
      </c>
      <c r="M774" t="s">
        <v>54</v>
      </c>
      <c r="N774">
        <v>5</v>
      </c>
      <c r="O774" t="s">
        <v>84</v>
      </c>
      <c r="P774" t="s">
        <v>56</v>
      </c>
      <c r="Q774">
        <v>36</v>
      </c>
      <c r="R774">
        <v>2</v>
      </c>
      <c r="S774" t="s">
        <v>85</v>
      </c>
      <c r="T774" t="s">
        <v>86</v>
      </c>
      <c r="U774">
        <v>5</v>
      </c>
      <c r="V774">
        <v>5</v>
      </c>
      <c r="W774">
        <v>5</v>
      </c>
      <c r="X774">
        <v>5</v>
      </c>
      <c r="Y774">
        <v>1</v>
      </c>
      <c r="Z774">
        <v>5</v>
      </c>
      <c r="AA774">
        <v>2.5</v>
      </c>
      <c r="AB774">
        <v>12.5</v>
      </c>
      <c r="AC774" t="s">
        <v>70</v>
      </c>
      <c r="AD774" t="s">
        <v>60</v>
      </c>
      <c r="AE774">
        <v>1</v>
      </c>
      <c r="AF774">
        <v>0</v>
      </c>
      <c r="AG774">
        <v>1</v>
      </c>
      <c r="AH774">
        <v>1</v>
      </c>
      <c r="AI774">
        <v>0</v>
      </c>
      <c r="AJ774">
        <v>0</v>
      </c>
      <c r="AK774">
        <v>1</v>
      </c>
      <c r="AL774">
        <v>0</v>
      </c>
      <c r="AM774">
        <v>0</v>
      </c>
      <c r="AN774">
        <v>1</v>
      </c>
      <c r="AO774">
        <v>4</v>
      </c>
      <c r="AP774">
        <v>1</v>
      </c>
      <c r="AQ774">
        <v>80</v>
      </c>
      <c r="AR774" s="2">
        <v>45737.170439814814</v>
      </c>
      <c r="AS774" s="2">
        <v>45964.34946759259</v>
      </c>
      <c r="AT774" t="s">
        <v>61</v>
      </c>
      <c r="AU774" t="s">
        <v>61</v>
      </c>
      <c r="AV774">
        <v>227</v>
      </c>
    </row>
    <row r="775" spans="1:48" x14ac:dyDescent="0.25">
      <c r="A775">
        <v>303</v>
      </c>
      <c r="B775" t="s">
        <v>3032</v>
      </c>
      <c r="C775" t="s">
        <v>3007</v>
      </c>
      <c r="D775" t="s">
        <v>3033</v>
      </c>
      <c r="E775" t="s">
        <v>3034</v>
      </c>
      <c r="F775" t="s">
        <v>3035</v>
      </c>
      <c r="G775" t="s">
        <v>53</v>
      </c>
      <c r="H775" s="1">
        <v>37235</v>
      </c>
      <c r="I775">
        <v>25</v>
      </c>
      <c r="J775">
        <v>2001</v>
      </c>
      <c r="K775" s="1">
        <v>45615</v>
      </c>
      <c r="L775">
        <v>2024</v>
      </c>
      <c r="M775" t="s">
        <v>54</v>
      </c>
      <c r="N775">
        <v>18</v>
      </c>
      <c r="O775" t="s">
        <v>139</v>
      </c>
      <c r="P775" t="s">
        <v>69</v>
      </c>
      <c r="Q775">
        <v>60</v>
      </c>
      <c r="R775">
        <v>6</v>
      </c>
      <c r="S775" t="s">
        <v>140</v>
      </c>
      <c r="T775" t="s">
        <v>141</v>
      </c>
      <c r="U775">
        <v>5</v>
      </c>
      <c r="V775">
        <v>5</v>
      </c>
      <c r="W775">
        <v>5</v>
      </c>
      <c r="X775">
        <v>5</v>
      </c>
      <c r="Y775">
        <v>1</v>
      </c>
      <c r="Z775">
        <v>5</v>
      </c>
      <c r="AA775">
        <v>2.7</v>
      </c>
      <c r="AB775">
        <v>13.5</v>
      </c>
      <c r="AC775" t="s">
        <v>540</v>
      </c>
      <c r="AD775" t="s">
        <v>112</v>
      </c>
      <c r="AE775">
        <v>0</v>
      </c>
      <c r="AF775">
        <v>0</v>
      </c>
      <c r="AG775">
        <v>0</v>
      </c>
      <c r="AH775">
        <v>2</v>
      </c>
      <c r="AI775">
        <v>0</v>
      </c>
      <c r="AJ775">
        <v>3</v>
      </c>
      <c r="AK775">
        <v>0</v>
      </c>
      <c r="AL775">
        <v>0</v>
      </c>
      <c r="AM775">
        <v>0</v>
      </c>
      <c r="AN775">
        <v>0</v>
      </c>
      <c r="AO775">
        <v>5</v>
      </c>
      <c r="AP775">
        <v>0</v>
      </c>
      <c r="AQ775">
        <v>100</v>
      </c>
      <c r="AR775" s="2">
        <v>45790.17050925926</v>
      </c>
      <c r="AS775" s="2">
        <v>46069.738657407404</v>
      </c>
      <c r="AT775" t="s">
        <v>62</v>
      </c>
      <c r="AU775" t="s">
        <v>62</v>
      </c>
      <c r="AV775">
        <v>279</v>
      </c>
    </row>
    <row r="776" spans="1:48" x14ac:dyDescent="0.25">
      <c r="A776">
        <v>834</v>
      </c>
      <c r="B776" t="s">
        <v>3036</v>
      </c>
      <c r="C776" t="s">
        <v>3037</v>
      </c>
      <c r="D776" t="s">
        <v>228</v>
      </c>
      <c r="E776" t="s">
        <v>3038</v>
      </c>
      <c r="F776" t="s">
        <v>3039</v>
      </c>
      <c r="G776" t="s">
        <v>104</v>
      </c>
      <c r="H776" s="1">
        <v>39272</v>
      </c>
      <c r="I776">
        <v>19</v>
      </c>
      <c r="J776">
        <v>2007</v>
      </c>
      <c r="K776" s="1">
        <v>45900</v>
      </c>
      <c r="L776">
        <v>2025</v>
      </c>
      <c r="M776" t="s">
        <v>54</v>
      </c>
      <c r="N776">
        <v>6</v>
      </c>
      <c r="O776" t="s">
        <v>133</v>
      </c>
      <c r="P776" t="s">
        <v>69</v>
      </c>
      <c r="Q776">
        <v>60</v>
      </c>
      <c r="R776">
        <v>2</v>
      </c>
      <c r="S776" t="s">
        <v>85</v>
      </c>
      <c r="T776" t="s">
        <v>86</v>
      </c>
      <c r="U776">
        <v>5</v>
      </c>
      <c r="V776">
        <v>5</v>
      </c>
      <c r="W776">
        <v>5</v>
      </c>
      <c r="X776">
        <v>5</v>
      </c>
      <c r="Y776">
        <v>1</v>
      </c>
      <c r="Z776">
        <v>5</v>
      </c>
      <c r="AA776">
        <v>2.2999999999999998</v>
      </c>
      <c r="AB776">
        <v>11.5</v>
      </c>
      <c r="AC776" t="s">
        <v>59</v>
      </c>
      <c r="AD776" t="s">
        <v>60</v>
      </c>
      <c r="AE776">
        <v>1</v>
      </c>
      <c r="AF776">
        <v>0</v>
      </c>
      <c r="AG776">
        <v>1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2</v>
      </c>
      <c r="AN776">
        <v>0</v>
      </c>
      <c r="AO776">
        <v>5</v>
      </c>
      <c r="AP776">
        <v>0</v>
      </c>
      <c r="AQ776">
        <v>100</v>
      </c>
      <c r="AR776" s="2">
        <v>45806.147812499999</v>
      </c>
      <c r="AS776" s="2">
        <v>46076.937465277777</v>
      </c>
      <c r="AT776" t="s">
        <v>62</v>
      </c>
      <c r="AU776" t="s">
        <v>62</v>
      </c>
      <c r="AV776">
        <v>270</v>
      </c>
    </row>
    <row r="777" spans="1:48" x14ac:dyDescent="0.25">
      <c r="A777">
        <v>250</v>
      </c>
      <c r="B777" t="s">
        <v>3040</v>
      </c>
      <c r="C777" t="s">
        <v>797</v>
      </c>
      <c r="D777" t="s">
        <v>751</v>
      </c>
      <c r="E777" t="s">
        <v>3041</v>
      </c>
      <c r="F777" t="s">
        <v>3042</v>
      </c>
      <c r="G777" t="s">
        <v>104</v>
      </c>
      <c r="H777" s="1">
        <v>37053</v>
      </c>
      <c r="I777">
        <v>25</v>
      </c>
      <c r="J777">
        <v>2001</v>
      </c>
      <c r="K777" s="1">
        <v>44815</v>
      </c>
      <c r="L777">
        <v>2022</v>
      </c>
      <c r="M777" t="s">
        <v>54</v>
      </c>
      <c r="N777">
        <v>15</v>
      </c>
      <c r="O777" t="s">
        <v>91</v>
      </c>
      <c r="P777" t="s">
        <v>69</v>
      </c>
      <c r="Q777">
        <v>60</v>
      </c>
      <c r="R777">
        <v>5</v>
      </c>
      <c r="S777" t="s">
        <v>92</v>
      </c>
      <c r="T777" t="s">
        <v>93</v>
      </c>
      <c r="U777">
        <v>5</v>
      </c>
      <c r="V777">
        <v>5</v>
      </c>
      <c r="W777">
        <v>5</v>
      </c>
      <c r="X777">
        <v>4</v>
      </c>
      <c r="Y777">
        <v>1</v>
      </c>
      <c r="Z777">
        <v>5</v>
      </c>
      <c r="AA777">
        <v>2.6</v>
      </c>
      <c r="AB777">
        <v>13</v>
      </c>
      <c r="AC777" t="s">
        <v>70</v>
      </c>
      <c r="AD777" t="s">
        <v>60</v>
      </c>
      <c r="AE777">
        <v>2</v>
      </c>
      <c r="AF777">
        <v>0</v>
      </c>
      <c r="AG777">
        <v>0</v>
      </c>
      <c r="AH777">
        <v>0</v>
      </c>
      <c r="AI777">
        <v>0</v>
      </c>
      <c r="AJ777">
        <v>2</v>
      </c>
      <c r="AK777">
        <v>0</v>
      </c>
      <c r="AL777">
        <v>0</v>
      </c>
      <c r="AM777">
        <v>0</v>
      </c>
      <c r="AN777">
        <v>1</v>
      </c>
      <c r="AO777">
        <v>4</v>
      </c>
      <c r="AP777">
        <v>1</v>
      </c>
      <c r="AQ777">
        <v>80</v>
      </c>
      <c r="AR777" s="2">
        <v>45776.630868055552</v>
      </c>
      <c r="AS777" s="2">
        <v>45975.365532407406</v>
      </c>
      <c r="AT777" t="s">
        <v>61</v>
      </c>
      <c r="AU777" t="s">
        <v>61</v>
      </c>
      <c r="AV777">
        <v>199</v>
      </c>
    </row>
    <row r="778" spans="1:48" x14ac:dyDescent="0.25">
      <c r="A778">
        <v>510</v>
      </c>
      <c r="B778" t="s">
        <v>3043</v>
      </c>
      <c r="C778" t="s">
        <v>819</v>
      </c>
      <c r="D778" t="s">
        <v>3044</v>
      </c>
      <c r="E778" t="s">
        <v>3045</v>
      </c>
      <c r="F778" t="s">
        <v>3046</v>
      </c>
      <c r="G778" t="s">
        <v>53</v>
      </c>
      <c r="H778" s="1">
        <v>36569</v>
      </c>
      <c r="I778">
        <v>26</v>
      </c>
      <c r="J778">
        <v>2000</v>
      </c>
      <c r="K778" s="1">
        <v>45071</v>
      </c>
      <c r="L778">
        <v>2023</v>
      </c>
      <c r="M778" t="s">
        <v>54</v>
      </c>
      <c r="N778">
        <v>12</v>
      </c>
      <c r="O778" t="s">
        <v>76</v>
      </c>
      <c r="P778" t="s">
        <v>69</v>
      </c>
      <c r="Q778">
        <v>60</v>
      </c>
      <c r="R778">
        <v>4</v>
      </c>
      <c r="S778" t="s">
        <v>77</v>
      </c>
      <c r="T778" t="s">
        <v>78</v>
      </c>
      <c r="U778">
        <v>5</v>
      </c>
      <c r="V778">
        <v>5</v>
      </c>
      <c r="W778">
        <v>5</v>
      </c>
      <c r="X778">
        <v>5</v>
      </c>
      <c r="Y778">
        <v>1</v>
      </c>
      <c r="Z778">
        <v>5</v>
      </c>
      <c r="AA778">
        <v>2.6</v>
      </c>
      <c r="AB778">
        <v>13</v>
      </c>
      <c r="AC778" t="s">
        <v>1061</v>
      </c>
      <c r="AD778" t="s">
        <v>281</v>
      </c>
      <c r="AE778">
        <v>0</v>
      </c>
      <c r="AF778">
        <v>0</v>
      </c>
      <c r="AG778">
        <v>2</v>
      </c>
      <c r="AH778">
        <v>0</v>
      </c>
      <c r="AI778">
        <v>0</v>
      </c>
      <c r="AJ778">
        <v>0</v>
      </c>
      <c r="AK778">
        <v>3</v>
      </c>
      <c r="AL778">
        <v>0</v>
      </c>
      <c r="AM778">
        <v>0</v>
      </c>
      <c r="AN778">
        <v>0</v>
      </c>
      <c r="AO778">
        <v>5</v>
      </c>
      <c r="AP778">
        <v>0</v>
      </c>
      <c r="AQ778">
        <v>100</v>
      </c>
      <c r="AR778" s="2">
        <v>45803.323622685188</v>
      </c>
      <c r="AS778" s="2">
        <v>46046.87190972222</v>
      </c>
      <c r="AT778" t="s">
        <v>62</v>
      </c>
      <c r="AU778" t="s">
        <v>62</v>
      </c>
      <c r="AV778">
        <v>243</v>
      </c>
    </row>
    <row r="779" spans="1:48" x14ac:dyDescent="0.25">
      <c r="A779">
        <v>831</v>
      </c>
      <c r="B779" t="s">
        <v>3047</v>
      </c>
      <c r="C779" t="s">
        <v>3048</v>
      </c>
      <c r="D779" t="s">
        <v>726</v>
      </c>
      <c r="E779" t="s">
        <v>3049</v>
      </c>
      <c r="F779" t="s">
        <v>3050</v>
      </c>
      <c r="G779" t="s">
        <v>104</v>
      </c>
      <c r="H779" s="1">
        <v>37872</v>
      </c>
      <c r="I779">
        <v>23</v>
      </c>
      <c r="J779">
        <v>2003</v>
      </c>
      <c r="K779" s="1">
        <v>46039</v>
      </c>
      <c r="L779">
        <v>2026</v>
      </c>
      <c r="M779" t="s">
        <v>111</v>
      </c>
      <c r="N779">
        <v>14</v>
      </c>
      <c r="O779" t="s">
        <v>105</v>
      </c>
      <c r="P779" t="s">
        <v>56</v>
      </c>
      <c r="Q779">
        <v>36</v>
      </c>
      <c r="R779">
        <v>5</v>
      </c>
      <c r="S779" t="s">
        <v>92</v>
      </c>
      <c r="T779" t="s">
        <v>93</v>
      </c>
      <c r="U779">
        <v>5</v>
      </c>
      <c r="V779">
        <v>5</v>
      </c>
      <c r="W779">
        <v>5</v>
      </c>
      <c r="X779">
        <v>4</v>
      </c>
      <c r="Y779">
        <v>1</v>
      </c>
      <c r="Z779">
        <v>4</v>
      </c>
      <c r="AA779">
        <v>1.375</v>
      </c>
      <c r="AB779">
        <v>5.5</v>
      </c>
      <c r="AC779" t="s">
        <v>70</v>
      </c>
      <c r="AD779" t="s">
        <v>281</v>
      </c>
      <c r="AE779">
        <v>0</v>
      </c>
      <c r="AF779">
        <v>0</v>
      </c>
      <c r="AG779">
        <v>1</v>
      </c>
      <c r="AH779">
        <v>0</v>
      </c>
      <c r="AI779">
        <v>0</v>
      </c>
      <c r="AJ779">
        <v>0</v>
      </c>
      <c r="AK779">
        <v>1</v>
      </c>
      <c r="AL779">
        <v>0</v>
      </c>
      <c r="AM779">
        <v>0</v>
      </c>
      <c r="AN779">
        <v>2</v>
      </c>
      <c r="AO779">
        <v>2</v>
      </c>
      <c r="AP779">
        <v>2</v>
      </c>
      <c r="AQ779">
        <v>50</v>
      </c>
      <c r="AR779" s="2">
        <v>45740.143645833334</v>
      </c>
      <c r="AS779" s="2">
        <v>46057.296134259261</v>
      </c>
      <c r="AT779" t="s">
        <v>1357</v>
      </c>
      <c r="AU779" t="s">
        <v>1357</v>
      </c>
      <c r="AV779">
        <v>317</v>
      </c>
    </row>
    <row r="780" spans="1:48" x14ac:dyDescent="0.25">
      <c r="A780">
        <v>218</v>
      </c>
      <c r="B780" t="s">
        <v>3051</v>
      </c>
      <c r="C780" t="s">
        <v>496</v>
      </c>
      <c r="D780" t="s">
        <v>3052</v>
      </c>
      <c r="E780" t="s">
        <v>3053</v>
      </c>
      <c r="F780">
        <v>9839866317</v>
      </c>
      <c r="G780" t="s">
        <v>53</v>
      </c>
      <c r="H780" s="1">
        <v>35181</v>
      </c>
      <c r="I780">
        <v>30</v>
      </c>
      <c r="J780">
        <v>1996</v>
      </c>
      <c r="K780" s="1">
        <v>45353</v>
      </c>
      <c r="L780">
        <v>2024</v>
      </c>
      <c r="M780" t="s">
        <v>54</v>
      </c>
      <c r="N780">
        <v>2</v>
      </c>
      <c r="O780" t="s">
        <v>55</v>
      </c>
      <c r="P780" t="s">
        <v>56</v>
      </c>
      <c r="Q780">
        <v>36</v>
      </c>
      <c r="R780">
        <v>1</v>
      </c>
      <c r="S780" t="s">
        <v>57</v>
      </c>
      <c r="T780" t="s">
        <v>58</v>
      </c>
      <c r="U780">
        <v>5</v>
      </c>
      <c r="V780">
        <v>5</v>
      </c>
      <c r="W780">
        <v>5</v>
      </c>
      <c r="X780">
        <v>5</v>
      </c>
      <c r="Y780">
        <v>1</v>
      </c>
      <c r="Z780">
        <v>5</v>
      </c>
      <c r="AA780">
        <v>2.2000000000000002</v>
      </c>
      <c r="AB780">
        <v>11</v>
      </c>
      <c r="AC780" t="s">
        <v>70</v>
      </c>
      <c r="AD780" t="s">
        <v>60</v>
      </c>
      <c r="AE780">
        <v>1</v>
      </c>
      <c r="AF780">
        <v>0</v>
      </c>
      <c r="AG780">
        <v>1</v>
      </c>
      <c r="AH780">
        <v>0</v>
      </c>
      <c r="AI780">
        <v>0</v>
      </c>
      <c r="AJ780">
        <v>1</v>
      </c>
      <c r="AK780">
        <v>0</v>
      </c>
      <c r="AL780">
        <v>0</v>
      </c>
      <c r="AM780">
        <v>1</v>
      </c>
      <c r="AN780">
        <v>1</v>
      </c>
      <c r="AO780">
        <v>4</v>
      </c>
      <c r="AP780">
        <v>1</v>
      </c>
      <c r="AQ780">
        <v>80</v>
      </c>
      <c r="AR780" s="2">
        <v>45733.036817129629</v>
      </c>
      <c r="AS780" s="2">
        <v>46034.017650462964</v>
      </c>
      <c r="AT780" t="s">
        <v>62</v>
      </c>
      <c r="AU780" t="s">
        <v>62</v>
      </c>
      <c r="AV780">
        <v>301</v>
      </c>
    </row>
    <row r="781" spans="1:48" x14ac:dyDescent="0.25">
      <c r="A781">
        <v>544</v>
      </c>
      <c r="B781" t="s">
        <v>3054</v>
      </c>
      <c r="C781" t="s">
        <v>3055</v>
      </c>
      <c r="D781" t="s">
        <v>1464</v>
      </c>
      <c r="E781" t="s">
        <v>3056</v>
      </c>
      <c r="F781" t="s">
        <v>3057</v>
      </c>
      <c r="G781" t="s">
        <v>53</v>
      </c>
      <c r="H781" s="1">
        <v>39344</v>
      </c>
      <c r="I781">
        <v>19</v>
      </c>
      <c r="J781">
        <v>2007</v>
      </c>
      <c r="K781" s="1">
        <v>45610</v>
      </c>
      <c r="L781">
        <v>2024</v>
      </c>
      <c r="M781" t="s">
        <v>54</v>
      </c>
      <c r="N781">
        <v>18</v>
      </c>
      <c r="O781" t="s">
        <v>139</v>
      </c>
      <c r="P781" t="s">
        <v>69</v>
      </c>
      <c r="Q781">
        <v>60</v>
      </c>
      <c r="R781">
        <v>6</v>
      </c>
      <c r="S781" t="s">
        <v>140</v>
      </c>
      <c r="T781" t="s">
        <v>141</v>
      </c>
      <c r="U781">
        <v>5</v>
      </c>
      <c r="V781">
        <v>5</v>
      </c>
      <c r="W781">
        <v>5</v>
      </c>
      <c r="X781">
        <v>4</v>
      </c>
      <c r="Y781">
        <v>1</v>
      </c>
      <c r="Z781">
        <v>3</v>
      </c>
      <c r="AA781">
        <v>2.1666660000000002</v>
      </c>
      <c r="AB781">
        <v>6.5</v>
      </c>
      <c r="AC781" t="s">
        <v>70</v>
      </c>
      <c r="AD781" t="s">
        <v>112</v>
      </c>
      <c r="AE781">
        <v>0</v>
      </c>
      <c r="AF781">
        <v>0</v>
      </c>
      <c r="AG781">
        <v>1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2</v>
      </c>
      <c r="AP781">
        <v>1</v>
      </c>
      <c r="AQ781">
        <v>66.666666666666003</v>
      </c>
      <c r="AR781" s="2">
        <v>45728.644733796296</v>
      </c>
      <c r="AS781" s="2">
        <v>46013.869386574072</v>
      </c>
      <c r="AT781" t="s">
        <v>1357</v>
      </c>
      <c r="AU781" t="s">
        <v>1357</v>
      </c>
      <c r="AV781">
        <v>285</v>
      </c>
    </row>
    <row r="782" spans="1:48" x14ac:dyDescent="0.25">
      <c r="A782">
        <v>680</v>
      </c>
      <c r="B782" t="s">
        <v>3058</v>
      </c>
      <c r="C782" t="s">
        <v>1096</v>
      </c>
      <c r="D782" t="s">
        <v>1135</v>
      </c>
      <c r="E782" t="s">
        <v>3059</v>
      </c>
      <c r="F782" t="s">
        <v>3060</v>
      </c>
      <c r="G782" t="s">
        <v>104</v>
      </c>
      <c r="H782" s="1">
        <v>34947</v>
      </c>
      <c r="I782">
        <v>31</v>
      </c>
      <c r="J782">
        <v>1995</v>
      </c>
      <c r="K782" s="1">
        <v>45630</v>
      </c>
      <c r="L782">
        <v>2024</v>
      </c>
      <c r="M782" t="s">
        <v>54</v>
      </c>
      <c r="N782">
        <v>1</v>
      </c>
      <c r="O782" t="s">
        <v>157</v>
      </c>
      <c r="P782" t="s">
        <v>119</v>
      </c>
      <c r="Q782">
        <v>120</v>
      </c>
      <c r="R782">
        <v>1</v>
      </c>
      <c r="S782" t="s">
        <v>57</v>
      </c>
      <c r="T782" t="s">
        <v>58</v>
      </c>
      <c r="U782">
        <v>5</v>
      </c>
      <c r="V782">
        <v>5</v>
      </c>
      <c r="W782">
        <v>5</v>
      </c>
      <c r="X782">
        <v>5</v>
      </c>
      <c r="Y782">
        <v>1</v>
      </c>
      <c r="Z782">
        <v>5</v>
      </c>
      <c r="AA782">
        <v>2.2999999999999998</v>
      </c>
      <c r="AB782">
        <v>11.5</v>
      </c>
      <c r="AC782" t="s">
        <v>70</v>
      </c>
      <c r="AD782" t="s">
        <v>60</v>
      </c>
      <c r="AE782">
        <v>1</v>
      </c>
      <c r="AF782">
        <v>0</v>
      </c>
      <c r="AG782">
        <v>1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1</v>
      </c>
      <c r="AN782">
        <v>1</v>
      </c>
      <c r="AO782">
        <v>4</v>
      </c>
      <c r="AP782">
        <v>1</v>
      </c>
      <c r="AQ782">
        <v>80</v>
      </c>
      <c r="AR782" s="2">
        <v>45775.010891203703</v>
      </c>
      <c r="AS782" s="2">
        <v>45983.19017361111</v>
      </c>
      <c r="AT782" t="s">
        <v>62</v>
      </c>
      <c r="AU782" t="s">
        <v>62</v>
      </c>
      <c r="AV782">
        <v>208</v>
      </c>
    </row>
    <row r="783" spans="1:48" x14ac:dyDescent="0.25">
      <c r="A783">
        <v>9</v>
      </c>
      <c r="B783" t="s">
        <v>3061</v>
      </c>
      <c r="C783" t="s">
        <v>187</v>
      </c>
      <c r="D783" t="s">
        <v>562</v>
      </c>
      <c r="E783" t="s">
        <v>3062</v>
      </c>
      <c r="F783" t="s">
        <v>3063</v>
      </c>
      <c r="G783" t="s">
        <v>104</v>
      </c>
      <c r="H783" s="1">
        <v>36226</v>
      </c>
      <c r="I783">
        <v>27</v>
      </c>
      <c r="J783">
        <v>1999</v>
      </c>
      <c r="K783" s="1">
        <v>45938</v>
      </c>
      <c r="L783">
        <v>2025</v>
      </c>
      <c r="M783" t="s">
        <v>54</v>
      </c>
      <c r="N783">
        <v>6</v>
      </c>
      <c r="O783" t="s">
        <v>133</v>
      </c>
      <c r="P783" t="s">
        <v>69</v>
      </c>
      <c r="Q783">
        <v>60</v>
      </c>
      <c r="R783">
        <v>2</v>
      </c>
      <c r="S783" t="s">
        <v>85</v>
      </c>
      <c r="T783" t="s">
        <v>86</v>
      </c>
      <c r="U783">
        <v>5</v>
      </c>
      <c r="V783">
        <v>5</v>
      </c>
      <c r="W783">
        <v>5</v>
      </c>
      <c r="X783">
        <v>5</v>
      </c>
      <c r="Y783">
        <v>1</v>
      </c>
      <c r="Z783">
        <v>3</v>
      </c>
      <c r="AA783">
        <v>1</v>
      </c>
      <c r="AB783">
        <v>3</v>
      </c>
      <c r="AC783" t="s">
        <v>70</v>
      </c>
      <c r="AD783" t="s">
        <v>112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2</v>
      </c>
      <c r="AO783">
        <v>1</v>
      </c>
      <c r="AP783">
        <v>2</v>
      </c>
      <c r="AQ783">
        <v>33.333333333333002</v>
      </c>
      <c r="AR783" s="2">
        <v>45789.189027777778</v>
      </c>
      <c r="AS783" s="2">
        <v>46068.944965277777</v>
      </c>
      <c r="AT783" t="s">
        <v>1357</v>
      </c>
      <c r="AU783" t="s">
        <v>1357</v>
      </c>
      <c r="AV783">
        <v>279</v>
      </c>
    </row>
    <row r="784" spans="1:48" x14ac:dyDescent="0.25">
      <c r="A784">
        <v>696</v>
      </c>
      <c r="B784" t="s">
        <v>3064</v>
      </c>
      <c r="C784" t="s">
        <v>114</v>
      </c>
      <c r="D784" t="s">
        <v>3065</v>
      </c>
      <c r="E784" t="s">
        <v>3066</v>
      </c>
      <c r="F784">
        <v>2439318751</v>
      </c>
      <c r="G784" t="s">
        <v>53</v>
      </c>
      <c r="H784" s="1">
        <v>37586</v>
      </c>
      <c r="I784">
        <v>24</v>
      </c>
      <c r="J784">
        <v>2002</v>
      </c>
      <c r="K784" s="1">
        <v>44722</v>
      </c>
      <c r="L784">
        <v>2022</v>
      </c>
      <c r="M784" t="s">
        <v>54</v>
      </c>
      <c r="N784">
        <v>19</v>
      </c>
      <c r="O784" t="s">
        <v>162</v>
      </c>
      <c r="P784" t="s">
        <v>119</v>
      </c>
      <c r="Q784">
        <v>120</v>
      </c>
      <c r="R784">
        <v>7</v>
      </c>
      <c r="S784" t="s">
        <v>163</v>
      </c>
      <c r="T784" t="s">
        <v>164</v>
      </c>
      <c r="U784">
        <v>5</v>
      </c>
      <c r="V784">
        <v>5</v>
      </c>
      <c r="W784">
        <v>5</v>
      </c>
      <c r="X784">
        <v>5</v>
      </c>
      <c r="Y784">
        <v>1</v>
      </c>
      <c r="Z784">
        <v>5</v>
      </c>
      <c r="AA784">
        <v>2.1</v>
      </c>
      <c r="AB784">
        <v>10.5</v>
      </c>
      <c r="AC784" t="s">
        <v>540</v>
      </c>
      <c r="AD784" t="s">
        <v>1061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4</v>
      </c>
      <c r="AL784">
        <v>0</v>
      </c>
      <c r="AM784">
        <v>0</v>
      </c>
      <c r="AN784">
        <v>0</v>
      </c>
      <c r="AO784">
        <v>5</v>
      </c>
      <c r="AP784">
        <v>0</v>
      </c>
      <c r="AQ784">
        <v>100</v>
      </c>
      <c r="AR784" s="2">
        <v>45770.833321759259</v>
      </c>
      <c r="AS784" s="2">
        <v>46075.512395833335</v>
      </c>
      <c r="AT784" t="s">
        <v>62</v>
      </c>
      <c r="AU784" t="s">
        <v>62</v>
      </c>
      <c r="AV784">
        <v>305</v>
      </c>
    </row>
    <row r="785" spans="1:48" x14ac:dyDescent="0.25">
      <c r="A785">
        <v>93</v>
      </c>
      <c r="B785" t="s">
        <v>3067</v>
      </c>
      <c r="C785" t="s">
        <v>1245</v>
      </c>
      <c r="D785" t="s">
        <v>2429</v>
      </c>
      <c r="E785" t="s">
        <v>3068</v>
      </c>
      <c r="F785" t="s">
        <v>3069</v>
      </c>
      <c r="G785" t="s">
        <v>104</v>
      </c>
      <c r="H785" s="1">
        <v>37891</v>
      </c>
      <c r="I785">
        <v>23</v>
      </c>
      <c r="J785">
        <v>2003</v>
      </c>
      <c r="K785" s="1">
        <v>45677</v>
      </c>
      <c r="L785">
        <v>2025</v>
      </c>
      <c r="M785" t="s">
        <v>54</v>
      </c>
      <c r="N785">
        <v>9</v>
      </c>
      <c r="O785" t="s">
        <v>151</v>
      </c>
      <c r="P785" t="s">
        <v>69</v>
      </c>
      <c r="Q785">
        <v>60</v>
      </c>
      <c r="R785">
        <v>3</v>
      </c>
      <c r="S785" t="s">
        <v>126</v>
      </c>
      <c r="T785" t="s">
        <v>127</v>
      </c>
      <c r="U785">
        <v>5</v>
      </c>
      <c r="V785">
        <v>5</v>
      </c>
      <c r="W785">
        <v>5</v>
      </c>
      <c r="X785">
        <v>5</v>
      </c>
      <c r="Y785">
        <v>1</v>
      </c>
      <c r="Z785">
        <v>5</v>
      </c>
      <c r="AA785">
        <v>2.5</v>
      </c>
      <c r="AB785">
        <v>12.5</v>
      </c>
      <c r="AC785" t="s">
        <v>59</v>
      </c>
      <c r="AD785" t="s">
        <v>60</v>
      </c>
      <c r="AE785">
        <v>1</v>
      </c>
      <c r="AF785">
        <v>0</v>
      </c>
      <c r="AG785">
        <v>0</v>
      </c>
      <c r="AH785">
        <v>1</v>
      </c>
      <c r="AI785">
        <v>0</v>
      </c>
      <c r="AJ785">
        <v>1</v>
      </c>
      <c r="AK785">
        <v>1</v>
      </c>
      <c r="AL785">
        <v>0</v>
      </c>
      <c r="AM785">
        <v>1</v>
      </c>
      <c r="AN785">
        <v>0</v>
      </c>
      <c r="AO785">
        <v>5</v>
      </c>
      <c r="AP785">
        <v>0</v>
      </c>
      <c r="AQ785">
        <v>100</v>
      </c>
      <c r="AR785" s="2">
        <v>45771.859039351853</v>
      </c>
      <c r="AS785" s="2">
        <v>46047.952326388891</v>
      </c>
      <c r="AT785" t="s">
        <v>61</v>
      </c>
      <c r="AU785" t="s">
        <v>61</v>
      </c>
      <c r="AV785">
        <v>276</v>
      </c>
    </row>
    <row r="786" spans="1:48" x14ac:dyDescent="0.25">
      <c r="A786">
        <v>394</v>
      </c>
      <c r="B786" t="s">
        <v>3070</v>
      </c>
      <c r="C786" t="s">
        <v>1116</v>
      </c>
      <c r="D786" t="s">
        <v>1078</v>
      </c>
      <c r="E786" t="s">
        <v>3071</v>
      </c>
      <c r="F786" t="s">
        <v>3072</v>
      </c>
      <c r="G786" t="s">
        <v>104</v>
      </c>
      <c r="H786" s="1">
        <v>36109</v>
      </c>
      <c r="I786">
        <v>28</v>
      </c>
      <c r="J786">
        <v>1998</v>
      </c>
      <c r="K786" s="1">
        <v>45502</v>
      </c>
      <c r="L786">
        <v>2024</v>
      </c>
      <c r="M786" t="s">
        <v>54</v>
      </c>
      <c r="N786">
        <v>7</v>
      </c>
      <c r="O786" t="s">
        <v>231</v>
      </c>
      <c r="P786" t="s">
        <v>119</v>
      </c>
      <c r="Q786">
        <v>120</v>
      </c>
      <c r="R786">
        <v>3</v>
      </c>
      <c r="S786" t="s">
        <v>126</v>
      </c>
      <c r="T786" t="s">
        <v>127</v>
      </c>
      <c r="U786">
        <v>5</v>
      </c>
      <c r="V786">
        <v>5</v>
      </c>
      <c r="W786">
        <v>5</v>
      </c>
      <c r="X786">
        <v>5</v>
      </c>
      <c r="Y786">
        <v>1</v>
      </c>
      <c r="Z786">
        <v>5</v>
      </c>
      <c r="AA786">
        <v>2.5</v>
      </c>
      <c r="AB786">
        <v>12.5</v>
      </c>
      <c r="AC786" t="s">
        <v>540</v>
      </c>
      <c r="AD786" t="s">
        <v>112</v>
      </c>
      <c r="AE786">
        <v>0</v>
      </c>
      <c r="AF786">
        <v>0</v>
      </c>
      <c r="AG786">
        <v>0</v>
      </c>
      <c r="AH786">
        <v>2</v>
      </c>
      <c r="AI786">
        <v>0</v>
      </c>
      <c r="AJ786">
        <v>1</v>
      </c>
      <c r="AK786">
        <v>2</v>
      </c>
      <c r="AL786">
        <v>0</v>
      </c>
      <c r="AM786">
        <v>0</v>
      </c>
      <c r="AN786">
        <v>0</v>
      </c>
      <c r="AO786">
        <v>5</v>
      </c>
      <c r="AP786">
        <v>0</v>
      </c>
      <c r="AQ786">
        <v>100</v>
      </c>
      <c r="AR786" s="2">
        <v>45762.473796296297</v>
      </c>
      <c r="AS786" s="2">
        <v>46030.718958333331</v>
      </c>
      <c r="AT786" t="s">
        <v>61</v>
      </c>
      <c r="AU786" t="s">
        <v>61</v>
      </c>
      <c r="AV786">
        <v>268</v>
      </c>
    </row>
    <row r="787" spans="1:48" x14ac:dyDescent="0.25">
      <c r="A787">
        <v>524</v>
      </c>
      <c r="B787" t="s">
        <v>3073</v>
      </c>
      <c r="C787" t="s">
        <v>355</v>
      </c>
      <c r="D787" t="s">
        <v>1607</v>
      </c>
      <c r="E787" t="s">
        <v>3074</v>
      </c>
      <c r="F787" t="s">
        <v>3075</v>
      </c>
      <c r="G787" t="s">
        <v>104</v>
      </c>
      <c r="H787" s="1">
        <v>37483</v>
      </c>
      <c r="I787">
        <v>24</v>
      </c>
      <c r="J787">
        <v>2002</v>
      </c>
      <c r="K787" s="1">
        <v>44811</v>
      </c>
      <c r="L787">
        <v>2022</v>
      </c>
      <c r="M787" t="s">
        <v>54</v>
      </c>
      <c r="N787">
        <v>15</v>
      </c>
      <c r="O787" t="s">
        <v>91</v>
      </c>
      <c r="P787" t="s">
        <v>69</v>
      </c>
      <c r="Q787">
        <v>60</v>
      </c>
      <c r="R787">
        <v>5</v>
      </c>
      <c r="S787" t="s">
        <v>92</v>
      </c>
      <c r="T787" t="s">
        <v>93</v>
      </c>
      <c r="U787">
        <v>5</v>
      </c>
      <c r="V787">
        <v>5</v>
      </c>
      <c r="W787">
        <v>5</v>
      </c>
      <c r="X787">
        <v>5</v>
      </c>
      <c r="Y787">
        <v>1</v>
      </c>
      <c r="Z787">
        <v>3</v>
      </c>
      <c r="AA787">
        <v>1</v>
      </c>
      <c r="AB787">
        <v>3</v>
      </c>
      <c r="AC787" t="s">
        <v>70</v>
      </c>
      <c r="AD787" t="s">
        <v>1061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</v>
      </c>
      <c r="AL787">
        <v>0</v>
      </c>
      <c r="AM787">
        <v>1</v>
      </c>
      <c r="AN787">
        <v>1</v>
      </c>
      <c r="AO787">
        <v>2</v>
      </c>
      <c r="AP787">
        <v>1</v>
      </c>
      <c r="AQ787">
        <v>66.666666666666003</v>
      </c>
      <c r="AR787" s="2">
        <v>45792.796099537038</v>
      </c>
      <c r="AS787" s="2">
        <v>45980.782453703701</v>
      </c>
      <c r="AT787" t="s">
        <v>1357</v>
      </c>
      <c r="AU787" t="s">
        <v>1357</v>
      </c>
      <c r="AV787">
        <v>188</v>
      </c>
    </row>
    <row r="788" spans="1:48" x14ac:dyDescent="0.25">
      <c r="A788">
        <v>127</v>
      </c>
      <c r="B788" t="s">
        <v>3076</v>
      </c>
      <c r="C788" t="s">
        <v>3077</v>
      </c>
      <c r="D788" t="s">
        <v>239</v>
      </c>
      <c r="E788" t="s">
        <v>3078</v>
      </c>
      <c r="F788" t="s">
        <v>3079</v>
      </c>
      <c r="G788" t="s">
        <v>53</v>
      </c>
      <c r="H788" s="1">
        <v>37290</v>
      </c>
      <c r="I788">
        <v>24</v>
      </c>
      <c r="J788">
        <v>2002</v>
      </c>
      <c r="K788" s="1">
        <v>45225</v>
      </c>
      <c r="L788">
        <v>2023</v>
      </c>
      <c r="M788" t="s">
        <v>54</v>
      </c>
      <c r="N788">
        <v>2</v>
      </c>
      <c r="O788" t="s">
        <v>55</v>
      </c>
      <c r="P788" t="s">
        <v>56</v>
      </c>
      <c r="Q788">
        <v>36</v>
      </c>
      <c r="R788">
        <v>1</v>
      </c>
      <c r="S788" t="s">
        <v>57</v>
      </c>
      <c r="T788" t="s">
        <v>58</v>
      </c>
      <c r="U788">
        <v>5</v>
      </c>
      <c r="V788">
        <v>5</v>
      </c>
      <c r="W788">
        <v>5</v>
      </c>
      <c r="X788">
        <v>5</v>
      </c>
      <c r="Y788">
        <v>1</v>
      </c>
      <c r="Z788">
        <v>5</v>
      </c>
      <c r="AA788">
        <v>2</v>
      </c>
      <c r="AB788">
        <v>10</v>
      </c>
      <c r="AC788" t="s">
        <v>70</v>
      </c>
      <c r="AD788" t="s">
        <v>112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2</v>
      </c>
      <c r="AK788">
        <v>1</v>
      </c>
      <c r="AL788">
        <v>0</v>
      </c>
      <c r="AM788">
        <v>0</v>
      </c>
      <c r="AN788">
        <v>1</v>
      </c>
      <c r="AO788">
        <v>4</v>
      </c>
      <c r="AP788">
        <v>1</v>
      </c>
      <c r="AQ788">
        <v>80</v>
      </c>
      <c r="AR788" s="2">
        <v>45867.915497685186</v>
      </c>
      <c r="AS788" s="2">
        <v>46000.341585648152</v>
      </c>
      <c r="AT788" t="s">
        <v>62</v>
      </c>
      <c r="AU788" t="s">
        <v>62</v>
      </c>
      <c r="AV788">
        <v>133</v>
      </c>
    </row>
    <row r="789" spans="1:48" x14ac:dyDescent="0.25">
      <c r="A789">
        <v>630</v>
      </c>
      <c r="B789" t="s">
        <v>3080</v>
      </c>
      <c r="C789" t="s">
        <v>472</v>
      </c>
      <c r="D789" t="s">
        <v>3081</v>
      </c>
      <c r="E789" t="s">
        <v>3082</v>
      </c>
      <c r="F789" t="s">
        <v>3083</v>
      </c>
      <c r="G789" t="s">
        <v>53</v>
      </c>
      <c r="H789" s="1">
        <v>37440</v>
      </c>
      <c r="I789">
        <v>24</v>
      </c>
      <c r="J789">
        <v>2002</v>
      </c>
      <c r="K789" s="1">
        <v>45616</v>
      </c>
      <c r="L789">
        <v>2024</v>
      </c>
      <c r="M789" t="s">
        <v>54</v>
      </c>
      <c r="N789">
        <v>13</v>
      </c>
      <c r="O789" t="s">
        <v>146</v>
      </c>
      <c r="P789" t="s">
        <v>119</v>
      </c>
      <c r="Q789">
        <v>120</v>
      </c>
      <c r="R789">
        <v>5</v>
      </c>
      <c r="S789" t="s">
        <v>92</v>
      </c>
      <c r="T789" t="s">
        <v>93</v>
      </c>
      <c r="U789">
        <v>5</v>
      </c>
      <c r="V789">
        <v>5</v>
      </c>
      <c r="W789">
        <v>5</v>
      </c>
      <c r="X789">
        <v>5</v>
      </c>
      <c r="Y789">
        <v>1</v>
      </c>
      <c r="Z789">
        <v>5</v>
      </c>
      <c r="AA789">
        <v>3.3</v>
      </c>
      <c r="AB789">
        <v>16.5</v>
      </c>
      <c r="AC789" t="s">
        <v>59</v>
      </c>
      <c r="AD789" t="s">
        <v>60</v>
      </c>
      <c r="AE789">
        <v>3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0</v>
      </c>
      <c r="AO789">
        <v>5</v>
      </c>
      <c r="AP789">
        <v>0</v>
      </c>
      <c r="AQ789">
        <v>100</v>
      </c>
      <c r="AR789" s="2">
        <v>45814.697222222225</v>
      </c>
      <c r="AS789" s="2">
        <v>46085.670532407406</v>
      </c>
      <c r="AT789" t="s">
        <v>61</v>
      </c>
      <c r="AU789" t="s">
        <v>61</v>
      </c>
      <c r="AV789">
        <v>271</v>
      </c>
    </row>
    <row r="790" spans="1:48" x14ac:dyDescent="0.25">
      <c r="A790">
        <v>656</v>
      </c>
      <c r="B790" t="s">
        <v>3084</v>
      </c>
      <c r="C790" t="s">
        <v>725</v>
      </c>
      <c r="D790" t="s">
        <v>258</v>
      </c>
      <c r="E790" t="s">
        <v>3085</v>
      </c>
      <c r="F790" t="s">
        <v>3086</v>
      </c>
      <c r="G790" t="s">
        <v>53</v>
      </c>
      <c r="H790" s="1">
        <v>39407</v>
      </c>
      <c r="I790">
        <v>19</v>
      </c>
      <c r="J790">
        <v>2007</v>
      </c>
      <c r="K790" s="1">
        <v>45645</v>
      </c>
      <c r="L790">
        <v>2024</v>
      </c>
      <c r="M790" t="s">
        <v>111</v>
      </c>
      <c r="N790">
        <v>5</v>
      </c>
      <c r="O790" t="s">
        <v>84</v>
      </c>
      <c r="P790" t="s">
        <v>56</v>
      </c>
      <c r="Q790">
        <v>36</v>
      </c>
      <c r="R790">
        <v>2</v>
      </c>
      <c r="S790" t="s">
        <v>85</v>
      </c>
      <c r="T790" t="s">
        <v>86</v>
      </c>
      <c r="U790">
        <v>5</v>
      </c>
      <c r="V790">
        <v>5</v>
      </c>
      <c r="W790">
        <v>5</v>
      </c>
      <c r="X790">
        <v>5</v>
      </c>
      <c r="Y790">
        <v>1</v>
      </c>
      <c r="Z790">
        <v>5</v>
      </c>
      <c r="AA790">
        <v>1.8</v>
      </c>
      <c r="AB790">
        <v>9</v>
      </c>
      <c r="AC790" t="s">
        <v>70</v>
      </c>
      <c r="AD790" t="s">
        <v>1061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2</v>
      </c>
      <c r="AK790">
        <v>2</v>
      </c>
      <c r="AL790">
        <v>0</v>
      </c>
      <c r="AM790">
        <v>0</v>
      </c>
      <c r="AN790">
        <v>1</v>
      </c>
      <c r="AO790">
        <v>4</v>
      </c>
      <c r="AP790">
        <v>1</v>
      </c>
      <c r="AQ790">
        <v>80</v>
      </c>
      <c r="AR790" s="2">
        <v>45722.095486111109</v>
      </c>
      <c r="AS790" s="2">
        <v>46020.691712962966</v>
      </c>
      <c r="AT790" t="s">
        <v>62</v>
      </c>
      <c r="AU790" t="s">
        <v>62</v>
      </c>
      <c r="AV790">
        <v>298</v>
      </c>
    </row>
    <row r="791" spans="1:48" x14ac:dyDescent="0.25">
      <c r="A791">
        <v>608</v>
      </c>
      <c r="B791" t="s">
        <v>3087</v>
      </c>
      <c r="C791" t="s">
        <v>717</v>
      </c>
      <c r="D791" t="s">
        <v>3088</v>
      </c>
      <c r="E791" t="s">
        <v>3089</v>
      </c>
      <c r="F791" t="s">
        <v>3090</v>
      </c>
      <c r="G791" t="s">
        <v>53</v>
      </c>
      <c r="H791" s="1">
        <v>36973</v>
      </c>
      <c r="I791">
        <v>25</v>
      </c>
      <c r="J791">
        <v>2001</v>
      </c>
      <c r="K791" s="1">
        <v>45786</v>
      </c>
      <c r="L791">
        <v>2025</v>
      </c>
      <c r="M791" t="s">
        <v>225</v>
      </c>
      <c r="N791">
        <v>13</v>
      </c>
      <c r="O791" t="s">
        <v>146</v>
      </c>
      <c r="P791" t="s">
        <v>119</v>
      </c>
      <c r="Q791">
        <v>120</v>
      </c>
      <c r="R791">
        <v>5</v>
      </c>
      <c r="S791" t="s">
        <v>92</v>
      </c>
      <c r="T791" t="s">
        <v>93</v>
      </c>
      <c r="U791">
        <v>5</v>
      </c>
      <c r="V791">
        <v>5</v>
      </c>
      <c r="W791">
        <v>5</v>
      </c>
      <c r="X791">
        <v>5</v>
      </c>
      <c r="Y791">
        <v>1</v>
      </c>
      <c r="Z791">
        <v>5</v>
      </c>
      <c r="AA791">
        <v>2.4</v>
      </c>
      <c r="AB791">
        <v>12</v>
      </c>
      <c r="AC791" t="s">
        <v>70</v>
      </c>
      <c r="AD791" t="s">
        <v>60</v>
      </c>
      <c r="AE791">
        <v>1</v>
      </c>
      <c r="AF791">
        <v>0</v>
      </c>
      <c r="AG791">
        <v>2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</v>
      </c>
      <c r="AN791">
        <v>1</v>
      </c>
      <c r="AO791">
        <v>4</v>
      </c>
      <c r="AP791">
        <v>1</v>
      </c>
      <c r="AQ791">
        <v>80</v>
      </c>
      <c r="AR791" s="2">
        <v>45755.490312499998</v>
      </c>
      <c r="AS791" s="2">
        <v>46012.791192129633</v>
      </c>
      <c r="AT791" t="s">
        <v>61</v>
      </c>
      <c r="AU791" t="s">
        <v>61</v>
      </c>
      <c r="AV791">
        <v>257</v>
      </c>
    </row>
    <row r="792" spans="1:48" x14ac:dyDescent="0.25">
      <c r="A792">
        <v>241</v>
      </c>
      <c r="B792" t="s">
        <v>3091</v>
      </c>
      <c r="C792" t="s">
        <v>95</v>
      </c>
      <c r="D792" t="s">
        <v>2379</v>
      </c>
      <c r="E792" t="s">
        <v>3092</v>
      </c>
      <c r="F792" t="s">
        <v>3093</v>
      </c>
      <c r="G792" t="s">
        <v>53</v>
      </c>
      <c r="H792" s="1">
        <v>39067</v>
      </c>
      <c r="I792">
        <v>20</v>
      </c>
      <c r="J792">
        <v>2006</v>
      </c>
      <c r="K792" s="1">
        <v>45430</v>
      </c>
      <c r="L792">
        <v>2024</v>
      </c>
      <c r="M792" t="s">
        <v>54</v>
      </c>
      <c r="N792">
        <v>17</v>
      </c>
      <c r="O792" t="s">
        <v>350</v>
      </c>
      <c r="P792" t="s">
        <v>56</v>
      </c>
      <c r="Q792">
        <v>36</v>
      </c>
      <c r="R792">
        <v>6</v>
      </c>
      <c r="S792" t="s">
        <v>140</v>
      </c>
      <c r="T792" t="s">
        <v>141</v>
      </c>
      <c r="U792">
        <v>5</v>
      </c>
      <c r="V792">
        <v>5</v>
      </c>
      <c r="W792">
        <v>5</v>
      </c>
      <c r="X792">
        <v>5</v>
      </c>
      <c r="Y792">
        <v>1</v>
      </c>
      <c r="Z792">
        <v>2</v>
      </c>
      <c r="AA792">
        <v>3.5</v>
      </c>
      <c r="AB792">
        <v>7</v>
      </c>
      <c r="AC792" t="s">
        <v>281</v>
      </c>
      <c r="AD792" t="s">
        <v>281</v>
      </c>
      <c r="AE792">
        <v>0</v>
      </c>
      <c r="AF792">
        <v>0</v>
      </c>
      <c r="AG792">
        <v>2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2</v>
      </c>
      <c r="AP792">
        <v>0</v>
      </c>
      <c r="AQ792">
        <v>100</v>
      </c>
      <c r="AR792" s="2">
        <v>45859.472604166665</v>
      </c>
      <c r="AS792" s="2">
        <v>46044.043090277781</v>
      </c>
      <c r="AT792" t="s">
        <v>1357</v>
      </c>
      <c r="AU792" t="s">
        <v>1357</v>
      </c>
      <c r="AV792">
        <v>185</v>
      </c>
    </row>
    <row r="793" spans="1:48" x14ac:dyDescent="0.25">
      <c r="A793">
        <v>588</v>
      </c>
      <c r="B793" t="s">
        <v>3094</v>
      </c>
      <c r="C793" t="s">
        <v>2691</v>
      </c>
      <c r="D793" t="s">
        <v>50</v>
      </c>
      <c r="E793" t="s">
        <v>3095</v>
      </c>
      <c r="F793" t="s">
        <v>3096</v>
      </c>
      <c r="G793" t="s">
        <v>104</v>
      </c>
      <c r="H793" s="1">
        <v>35059</v>
      </c>
      <c r="I793">
        <v>31</v>
      </c>
      <c r="J793">
        <v>1995</v>
      </c>
      <c r="K793" s="1">
        <v>45806</v>
      </c>
      <c r="L793">
        <v>2025</v>
      </c>
      <c r="M793" t="s">
        <v>54</v>
      </c>
      <c r="N793">
        <v>7</v>
      </c>
      <c r="O793" t="s">
        <v>231</v>
      </c>
      <c r="P793" t="s">
        <v>119</v>
      </c>
      <c r="Q793">
        <v>120</v>
      </c>
      <c r="R793">
        <v>3</v>
      </c>
      <c r="S793" t="s">
        <v>126</v>
      </c>
      <c r="T793" t="s">
        <v>127</v>
      </c>
      <c r="U793">
        <v>5</v>
      </c>
      <c r="V793">
        <v>5</v>
      </c>
      <c r="W793">
        <v>5</v>
      </c>
      <c r="X793">
        <v>5</v>
      </c>
      <c r="Y793">
        <v>1</v>
      </c>
      <c r="Z793">
        <v>3</v>
      </c>
      <c r="AA793">
        <v>1.666666</v>
      </c>
      <c r="AB793">
        <v>5</v>
      </c>
      <c r="AC793" t="s">
        <v>59</v>
      </c>
      <c r="AD793" t="s">
        <v>112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2</v>
      </c>
      <c r="AN793">
        <v>0</v>
      </c>
      <c r="AO793">
        <v>3</v>
      </c>
      <c r="AP793">
        <v>0</v>
      </c>
      <c r="AQ793">
        <v>100</v>
      </c>
      <c r="AR793" s="2">
        <v>45738.811157407406</v>
      </c>
      <c r="AS793" s="2">
        <v>46077.455185185187</v>
      </c>
      <c r="AT793" t="s">
        <v>1357</v>
      </c>
      <c r="AU793" t="s">
        <v>1357</v>
      </c>
      <c r="AV793">
        <v>339</v>
      </c>
    </row>
    <row r="794" spans="1:48" x14ac:dyDescent="0.25">
      <c r="A794">
        <v>543</v>
      </c>
      <c r="B794" t="s">
        <v>3097</v>
      </c>
      <c r="C794" t="s">
        <v>1245</v>
      </c>
      <c r="D794" t="s">
        <v>3098</v>
      </c>
      <c r="E794" t="s">
        <v>3099</v>
      </c>
      <c r="F794" t="s">
        <v>3100</v>
      </c>
      <c r="G794" t="s">
        <v>104</v>
      </c>
      <c r="H794" s="1">
        <v>37040</v>
      </c>
      <c r="I794">
        <v>25</v>
      </c>
      <c r="J794">
        <v>2001</v>
      </c>
      <c r="K794" s="1">
        <v>45377</v>
      </c>
      <c r="L794">
        <v>2024</v>
      </c>
      <c r="M794" t="s">
        <v>54</v>
      </c>
      <c r="N794">
        <v>18</v>
      </c>
      <c r="O794" t="s">
        <v>139</v>
      </c>
      <c r="P794" t="s">
        <v>69</v>
      </c>
      <c r="Q794">
        <v>60</v>
      </c>
      <c r="R794">
        <v>6</v>
      </c>
      <c r="S794" t="s">
        <v>140</v>
      </c>
      <c r="T794" t="s">
        <v>141</v>
      </c>
      <c r="U794">
        <v>5</v>
      </c>
      <c r="V794">
        <v>5</v>
      </c>
      <c r="W794">
        <v>5</v>
      </c>
      <c r="X794">
        <v>4</v>
      </c>
      <c r="Y794">
        <v>1</v>
      </c>
      <c r="Z794">
        <v>5</v>
      </c>
      <c r="AA794">
        <v>2.5</v>
      </c>
      <c r="AB794">
        <v>12.5</v>
      </c>
      <c r="AC794" t="s">
        <v>70</v>
      </c>
      <c r="AD794" t="s">
        <v>60</v>
      </c>
      <c r="AE794">
        <v>2</v>
      </c>
      <c r="AF794">
        <v>0</v>
      </c>
      <c r="AG794">
        <v>0</v>
      </c>
      <c r="AH794">
        <v>0</v>
      </c>
      <c r="AI794">
        <v>0</v>
      </c>
      <c r="AJ794">
        <v>1</v>
      </c>
      <c r="AK794">
        <v>1</v>
      </c>
      <c r="AL794">
        <v>0</v>
      </c>
      <c r="AM794">
        <v>0</v>
      </c>
      <c r="AN794">
        <v>1</v>
      </c>
      <c r="AO794">
        <v>4</v>
      </c>
      <c r="AP794">
        <v>1</v>
      </c>
      <c r="AQ794">
        <v>80</v>
      </c>
      <c r="AR794" s="2">
        <v>45922.79277777778</v>
      </c>
      <c r="AS794" s="2">
        <v>46084.16609953704</v>
      </c>
      <c r="AT794" t="s">
        <v>61</v>
      </c>
      <c r="AU794" t="s">
        <v>61</v>
      </c>
      <c r="AV794">
        <v>162</v>
      </c>
    </row>
    <row r="795" spans="1:48" x14ac:dyDescent="0.25">
      <c r="A795">
        <v>939</v>
      </c>
      <c r="B795" t="s">
        <v>3101</v>
      </c>
      <c r="C795" t="s">
        <v>2456</v>
      </c>
      <c r="D795" t="s">
        <v>2840</v>
      </c>
      <c r="E795" t="s">
        <v>3102</v>
      </c>
      <c r="F795" t="s">
        <v>3103</v>
      </c>
      <c r="G795" t="s">
        <v>53</v>
      </c>
      <c r="H795" s="1">
        <v>36043</v>
      </c>
      <c r="I795">
        <v>28</v>
      </c>
      <c r="J795">
        <v>1998</v>
      </c>
      <c r="K795" s="1">
        <v>45326</v>
      </c>
      <c r="L795">
        <v>2024</v>
      </c>
      <c r="M795" t="s">
        <v>54</v>
      </c>
      <c r="N795">
        <v>7</v>
      </c>
      <c r="O795" t="s">
        <v>231</v>
      </c>
      <c r="P795" t="s">
        <v>119</v>
      </c>
      <c r="Q795">
        <v>120</v>
      </c>
      <c r="R795">
        <v>3</v>
      </c>
      <c r="S795" t="s">
        <v>126</v>
      </c>
      <c r="T795" t="s">
        <v>127</v>
      </c>
      <c r="U795">
        <v>5</v>
      </c>
      <c r="V795">
        <v>5</v>
      </c>
      <c r="W795">
        <v>5</v>
      </c>
      <c r="X795">
        <v>5</v>
      </c>
      <c r="Y795">
        <v>1</v>
      </c>
      <c r="Z795">
        <v>5</v>
      </c>
      <c r="AA795">
        <v>2.1</v>
      </c>
      <c r="AB795">
        <v>10.5</v>
      </c>
      <c r="AC795" t="s">
        <v>70</v>
      </c>
      <c r="AD795" t="s">
        <v>112</v>
      </c>
      <c r="AE795">
        <v>0</v>
      </c>
      <c r="AF795">
        <v>0</v>
      </c>
      <c r="AG795">
        <v>0</v>
      </c>
      <c r="AH795">
        <v>2</v>
      </c>
      <c r="AI795">
        <v>0</v>
      </c>
      <c r="AJ795">
        <v>1</v>
      </c>
      <c r="AK795">
        <v>1</v>
      </c>
      <c r="AL795">
        <v>0</v>
      </c>
      <c r="AM795">
        <v>0</v>
      </c>
      <c r="AN795">
        <v>1</v>
      </c>
      <c r="AO795">
        <v>4</v>
      </c>
      <c r="AP795">
        <v>1</v>
      </c>
      <c r="AQ795">
        <v>80</v>
      </c>
      <c r="AR795" s="2">
        <v>45726.763611111113</v>
      </c>
      <c r="AS795" s="2">
        <v>45919.774386574078</v>
      </c>
      <c r="AT795" t="s">
        <v>62</v>
      </c>
      <c r="AU795" t="s">
        <v>62</v>
      </c>
      <c r="AV795">
        <v>193</v>
      </c>
    </row>
    <row r="796" spans="1:48" x14ac:dyDescent="0.25">
      <c r="A796">
        <v>153</v>
      </c>
      <c r="B796" t="s">
        <v>3104</v>
      </c>
      <c r="C796" t="s">
        <v>238</v>
      </c>
      <c r="D796" t="s">
        <v>3105</v>
      </c>
      <c r="E796" t="s">
        <v>3106</v>
      </c>
      <c r="F796" t="s">
        <v>3107</v>
      </c>
      <c r="G796" t="s">
        <v>104</v>
      </c>
      <c r="H796" s="1">
        <v>38889</v>
      </c>
      <c r="I796">
        <v>20</v>
      </c>
      <c r="J796">
        <v>2006</v>
      </c>
      <c r="K796" s="1">
        <v>45862</v>
      </c>
      <c r="L796">
        <v>2025</v>
      </c>
      <c r="M796" t="s">
        <v>54</v>
      </c>
      <c r="N796">
        <v>19</v>
      </c>
      <c r="O796" t="s">
        <v>162</v>
      </c>
      <c r="P796" t="s">
        <v>119</v>
      </c>
      <c r="Q796">
        <v>120</v>
      </c>
      <c r="R796">
        <v>7</v>
      </c>
      <c r="S796" t="s">
        <v>163</v>
      </c>
      <c r="T796" t="s">
        <v>164</v>
      </c>
      <c r="U796">
        <v>5</v>
      </c>
      <c r="V796">
        <v>5</v>
      </c>
      <c r="W796">
        <v>5</v>
      </c>
      <c r="X796">
        <v>5</v>
      </c>
      <c r="Y796">
        <v>1</v>
      </c>
      <c r="Z796">
        <v>3</v>
      </c>
      <c r="AA796">
        <v>2.5</v>
      </c>
      <c r="AB796">
        <v>7.5</v>
      </c>
      <c r="AC796" t="s">
        <v>70</v>
      </c>
      <c r="AD796" t="s">
        <v>60</v>
      </c>
      <c r="AE796">
        <v>1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2</v>
      </c>
      <c r="AP796">
        <v>1</v>
      </c>
      <c r="AQ796">
        <v>66.666666666666003</v>
      </c>
      <c r="AR796" s="2">
        <v>45763.229756944442</v>
      </c>
      <c r="AS796" s="2">
        <v>46053.751307870371</v>
      </c>
      <c r="AT796" t="s">
        <v>1357</v>
      </c>
      <c r="AU796" t="s">
        <v>1357</v>
      </c>
      <c r="AV796">
        <v>290</v>
      </c>
    </row>
    <row r="797" spans="1:48" x14ac:dyDescent="0.25">
      <c r="A797">
        <v>290</v>
      </c>
      <c r="B797" t="s">
        <v>3108</v>
      </c>
      <c r="C797" t="s">
        <v>331</v>
      </c>
      <c r="D797" t="s">
        <v>3109</v>
      </c>
      <c r="E797" t="s">
        <v>3110</v>
      </c>
      <c r="F797">
        <f>1-555-866-5939</f>
        <v>-7359</v>
      </c>
      <c r="G797" t="s">
        <v>104</v>
      </c>
      <c r="H797" s="1">
        <v>38399</v>
      </c>
      <c r="I797">
        <v>21</v>
      </c>
      <c r="J797">
        <v>2005</v>
      </c>
      <c r="K797" s="1">
        <v>45978</v>
      </c>
      <c r="L797">
        <v>2025</v>
      </c>
      <c r="M797" t="s">
        <v>54</v>
      </c>
      <c r="N797">
        <v>21</v>
      </c>
      <c r="O797" t="s">
        <v>339</v>
      </c>
      <c r="P797" t="s">
        <v>69</v>
      </c>
      <c r="Q797">
        <v>60</v>
      </c>
      <c r="R797">
        <v>7</v>
      </c>
      <c r="S797" t="s">
        <v>163</v>
      </c>
      <c r="T797" t="s">
        <v>164</v>
      </c>
      <c r="U797">
        <v>5</v>
      </c>
      <c r="V797">
        <v>5</v>
      </c>
      <c r="W797">
        <v>5</v>
      </c>
      <c r="X797">
        <v>5</v>
      </c>
      <c r="Y797">
        <v>1</v>
      </c>
      <c r="Z797">
        <v>5</v>
      </c>
      <c r="AA797">
        <v>2</v>
      </c>
      <c r="AB797">
        <v>10</v>
      </c>
      <c r="AC797" t="s">
        <v>70</v>
      </c>
      <c r="AD797" t="s">
        <v>112</v>
      </c>
      <c r="AE797">
        <v>0</v>
      </c>
      <c r="AF797">
        <v>0</v>
      </c>
      <c r="AG797">
        <v>1</v>
      </c>
      <c r="AH797">
        <v>1</v>
      </c>
      <c r="AI797">
        <v>0</v>
      </c>
      <c r="AJ797">
        <v>1</v>
      </c>
      <c r="AK797">
        <v>0</v>
      </c>
      <c r="AL797">
        <v>0</v>
      </c>
      <c r="AM797">
        <v>1</v>
      </c>
      <c r="AN797">
        <v>1</v>
      </c>
      <c r="AO797">
        <v>4</v>
      </c>
      <c r="AP797">
        <v>1</v>
      </c>
      <c r="AQ797">
        <v>80</v>
      </c>
      <c r="AR797" s="2">
        <v>45807.679618055554</v>
      </c>
      <c r="AS797" s="2">
        <v>46068.26489583333</v>
      </c>
      <c r="AT797" t="s">
        <v>61</v>
      </c>
      <c r="AU797" t="s">
        <v>61</v>
      </c>
      <c r="AV797">
        <v>261</v>
      </c>
    </row>
    <row r="798" spans="1:48" x14ac:dyDescent="0.25">
      <c r="A798">
        <v>160</v>
      </c>
      <c r="B798" t="s">
        <v>3111</v>
      </c>
      <c r="C798" t="s">
        <v>135</v>
      </c>
      <c r="D798" t="s">
        <v>1826</v>
      </c>
      <c r="E798" t="s">
        <v>3112</v>
      </c>
      <c r="F798" t="s">
        <v>3113</v>
      </c>
      <c r="G798" t="s">
        <v>53</v>
      </c>
      <c r="H798" s="1">
        <v>39198</v>
      </c>
      <c r="I798">
        <v>19</v>
      </c>
      <c r="J798">
        <v>2007</v>
      </c>
      <c r="K798" s="1">
        <v>44817</v>
      </c>
      <c r="L798">
        <v>2022</v>
      </c>
      <c r="M798" t="s">
        <v>54</v>
      </c>
      <c r="N798">
        <v>18</v>
      </c>
      <c r="O798" t="s">
        <v>139</v>
      </c>
      <c r="P798" t="s">
        <v>69</v>
      </c>
      <c r="Q798">
        <v>60</v>
      </c>
      <c r="R798">
        <v>6</v>
      </c>
      <c r="S798" t="s">
        <v>140</v>
      </c>
      <c r="T798" t="s">
        <v>141</v>
      </c>
      <c r="U798">
        <v>5</v>
      </c>
      <c r="V798">
        <v>5</v>
      </c>
      <c r="W798">
        <v>5</v>
      </c>
      <c r="X798">
        <v>5</v>
      </c>
      <c r="Y798">
        <v>1</v>
      </c>
      <c r="Z798">
        <v>2</v>
      </c>
      <c r="AA798">
        <v>1.75</v>
      </c>
      <c r="AB798">
        <v>3.5</v>
      </c>
      <c r="AC798" t="s">
        <v>70</v>
      </c>
      <c r="AD798" t="s">
        <v>281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1</v>
      </c>
      <c r="AQ798">
        <v>50</v>
      </c>
      <c r="AR798" s="2">
        <v>45787.98027777778</v>
      </c>
      <c r="AS798" s="2">
        <v>46065.956770833334</v>
      </c>
      <c r="AT798" t="s">
        <v>1357</v>
      </c>
      <c r="AU798" t="s">
        <v>1357</v>
      </c>
      <c r="AV798">
        <v>278</v>
      </c>
    </row>
    <row r="799" spans="1:48" x14ac:dyDescent="0.25">
      <c r="A799">
        <v>683</v>
      </c>
      <c r="B799" t="s">
        <v>3114</v>
      </c>
      <c r="C799" t="s">
        <v>355</v>
      </c>
      <c r="D799" t="s">
        <v>747</v>
      </c>
      <c r="E799" t="s">
        <v>3115</v>
      </c>
      <c r="F799">
        <v>6447836085</v>
      </c>
      <c r="G799" t="s">
        <v>104</v>
      </c>
      <c r="H799" s="1">
        <v>36715</v>
      </c>
      <c r="I799">
        <v>26</v>
      </c>
      <c r="J799">
        <v>2000</v>
      </c>
      <c r="K799" s="1">
        <v>45806</v>
      </c>
      <c r="L799">
        <v>2025</v>
      </c>
      <c r="M799" t="s">
        <v>54</v>
      </c>
      <c r="N799">
        <v>11</v>
      </c>
      <c r="O799" t="s">
        <v>378</v>
      </c>
      <c r="P799" t="s">
        <v>56</v>
      </c>
      <c r="Q799">
        <v>36</v>
      </c>
      <c r="R799">
        <v>4</v>
      </c>
      <c r="S799" t="s">
        <v>77</v>
      </c>
      <c r="T799" t="s">
        <v>78</v>
      </c>
      <c r="U799">
        <v>5</v>
      </c>
      <c r="V799">
        <v>5</v>
      </c>
      <c r="W799">
        <v>5</v>
      </c>
      <c r="X799">
        <v>5</v>
      </c>
      <c r="Y799">
        <v>1</v>
      </c>
      <c r="Z799">
        <v>5</v>
      </c>
      <c r="AA799">
        <v>2.6</v>
      </c>
      <c r="AB799">
        <v>13</v>
      </c>
      <c r="AC799" t="s">
        <v>540</v>
      </c>
      <c r="AD799" t="s">
        <v>112</v>
      </c>
      <c r="AE799">
        <v>0</v>
      </c>
      <c r="AF799">
        <v>0</v>
      </c>
      <c r="AG799">
        <v>0</v>
      </c>
      <c r="AH799">
        <v>2</v>
      </c>
      <c r="AI799">
        <v>0</v>
      </c>
      <c r="AJ799">
        <v>2</v>
      </c>
      <c r="AK799">
        <v>1</v>
      </c>
      <c r="AL799">
        <v>0</v>
      </c>
      <c r="AM799">
        <v>0</v>
      </c>
      <c r="AN799">
        <v>0</v>
      </c>
      <c r="AO799">
        <v>5</v>
      </c>
      <c r="AP799">
        <v>0</v>
      </c>
      <c r="AQ799">
        <v>100</v>
      </c>
      <c r="AR799" s="2">
        <v>45739.811805555553</v>
      </c>
      <c r="AS799" s="2">
        <v>46051.939247685186</v>
      </c>
      <c r="AT799" t="s">
        <v>61</v>
      </c>
      <c r="AU799" t="s">
        <v>61</v>
      </c>
      <c r="AV799">
        <v>312</v>
      </c>
    </row>
    <row r="800" spans="1:48" x14ac:dyDescent="0.25">
      <c r="A800">
        <v>697</v>
      </c>
      <c r="B800" t="s">
        <v>3116</v>
      </c>
      <c r="C800" t="s">
        <v>3117</v>
      </c>
      <c r="D800" t="s">
        <v>3118</v>
      </c>
      <c r="E800" t="s">
        <v>3119</v>
      </c>
      <c r="F800" t="s">
        <v>3120</v>
      </c>
      <c r="G800" t="s">
        <v>53</v>
      </c>
      <c r="H800" s="1">
        <v>37577</v>
      </c>
      <c r="I800">
        <v>24</v>
      </c>
      <c r="J800">
        <v>2002</v>
      </c>
      <c r="K800" s="1">
        <v>44775</v>
      </c>
      <c r="L800">
        <v>2022</v>
      </c>
      <c r="M800" t="s">
        <v>54</v>
      </c>
      <c r="N800">
        <v>12</v>
      </c>
      <c r="O800" t="s">
        <v>76</v>
      </c>
      <c r="P800" t="s">
        <v>69</v>
      </c>
      <c r="Q800">
        <v>60</v>
      </c>
      <c r="R800">
        <v>4</v>
      </c>
      <c r="S800" t="s">
        <v>77</v>
      </c>
      <c r="T800" t="s">
        <v>78</v>
      </c>
      <c r="U800">
        <v>5</v>
      </c>
      <c r="V800">
        <v>5</v>
      </c>
      <c r="W800">
        <v>5</v>
      </c>
      <c r="X800">
        <v>5</v>
      </c>
      <c r="Y800">
        <v>1</v>
      </c>
      <c r="Z800">
        <v>5</v>
      </c>
      <c r="AA800">
        <v>2.2999999999999998</v>
      </c>
      <c r="AB800">
        <v>11.5</v>
      </c>
      <c r="AC800" t="s">
        <v>70</v>
      </c>
      <c r="AD800" t="s">
        <v>60</v>
      </c>
      <c r="AE800">
        <v>1</v>
      </c>
      <c r="AF800">
        <v>0</v>
      </c>
      <c r="AG800">
        <v>0</v>
      </c>
      <c r="AH800">
        <v>1</v>
      </c>
      <c r="AI800">
        <v>0</v>
      </c>
      <c r="AJ800">
        <v>1</v>
      </c>
      <c r="AK800">
        <v>1</v>
      </c>
      <c r="AL800">
        <v>0</v>
      </c>
      <c r="AM800">
        <v>0</v>
      </c>
      <c r="AN800">
        <v>1</v>
      </c>
      <c r="AO800">
        <v>4</v>
      </c>
      <c r="AP800">
        <v>1</v>
      </c>
      <c r="AQ800">
        <v>80</v>
      </c>
      <c r="AR800" s="2">
        <v>45741.679456018515</v>
      </c>
      <c r="AS800" s="2">
        <v>45958.395821759259</v>
      </c>
      <c r="AT800" t="s">
        <v>62</v>
      </c>
      <c r="AU800" t="s">
        <v>62</v>
      </c>
      <c r="AV800">
        <v>217</v>
      </c>
    </row>
    <row r="801" spans="1:48" x14ac:dyDescent="0.25">
      <c r="A801">
        <v>734</v>
      </c>
      <c r="B801" t="s">
        <v>3121</v>
      </c>
      <c r="C801" t="s">
        <v>355</v>
      </c>
      <c r="D801" t="s">
        <v>1979</v>
      </c>
      <c r="E801" t="s">
        <v>3122</v>
      </c>
      <c r="F801" t="s">
        <v>3123</v>
      </c>
      <c r="G801" t="s">
        <v>104</v>
      </c>
      <c r="H801" s="1">
        <v>39010</v>
      </c>
      <c r="I801">
        <v>20</v>
      </c>
      <c r="J801">
        <v>2006</v>
      </c>
      <c r="K801" s="1">
        <v>44927</v>
      </c>
      <c r="L801">
        <v>2023</v>
      </c>
      <c r="M801" t="s">
        <v>111</v>
      </c>
      <c r="N801">
        <v>11</v>
      </c>
      <c r="O801" t="s">
        <v>378</v>
      </c>
      <c r="P801" t="s">
        <v>56</v>
      </c>
      <c r="Q801">
        <v>36</v>
      </c>
      <c r="R801">
        <v>4</v>
      </c>
      <c r="S801" t="s">
        <v>77</v>
      </c>
      <c r="T801" t="s">
        <v>78</v>
      </c>
      <c r="U801">
        <v>5</v>
      </c>
      <c r="V801">
        <v>5</v>
      </c>
      <c r="W801">
        <v>5</v>
      </c>
      <c r="X801">
        <v>5</v>
      </c>
      <c r="Y801">
        <v>1</v>
      </c>
      <c r="Z801">
        <v>2</v>
      </c>
      <c r="AA801">
        <v>1.5</v>
      </c>
      <c r="AB801">
        <v>3</v>
      </c>
      <c r="AC801" t="s">
        <v>70</v>
      </c>
      <c r="AD801" t="s">
        <v>112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1</v>
      </c>
      <c r="AQ801">
        <v>50</v>
      </c>
      <c r="AR801" s="2">
        <v>45736.536423611113</v>
      </c>
      <c r="AS801" s="2">
        <v>46018.162361111114</v>
      </c>
      <c r="AT801" t="s">
        <v>1357</v>
      </c>
      <c r="AU801" t="s">
        <v>1357</v>
      </c>
      <c r="AV801">
        <v>282</v>
      </c>
    </row>
    <row r="802" spans="1:48" x14ac:dyDescent="0.25">
      <c r="A802">
        <v>666</v>
      </c>
      <c r="B802" t="s">
        <v>3124</v>
      </c>
      <c r="C802" t="s">
        <v>290</v>
      </c>
      <c r="D802" t="s">
        <v>3125</v>
      </c>
      <c r="E802" t="s">
        <v>3126</v>
      </c>
      <c r="F802" t="s">
        <v>3127</v>
      </c>
      <c r="G802" t="s">
        <v>53</v>
      </c>
      <c r="H802" s="1">
        <v>37883</v>
      </c>
      <c r="I802">
        <v>23</v>
      </c>
      <c r="J802">
        <v>2003</v>
      </c>
      <c r="K802" s="1">
        <v>44844</v>
      </c>
      <c r="L802">
        <v>2022</v>
      </c>
      <c r="M802" t="s">
        <v>54</v>
      </c>
      <c r="N802">
        <v>11</v>
      </c>
      <c r="O802" t="s">
        <v>378</v>
      </c>
      <c r="P802" t="s">
        <v>56</v>
      </c>
      <c r="Q802">
        <v>36</v>
      </c>
      <c r="R802">
        <v>4</v>
      </c>
      <c r="S802" t="s">
        <v>77</v>
      </c>
      <c r="T802" t="s">
        <v>78</v>
      </c>
      <c r="U802">
        <v>5</v>
      </c>
      <c r="V802">
        <v>5</v>
      </c>
      <c r="W802">
        <v>5</v>
      </c>
      <c r="X802">
        <v>4</v>
      </c>
      <c r="Y802">
        <v>1</v>
      </c>
      <c r="Z802">
        <v>5</v>
      </c>
      <c r="AA802">
        <v>2.8</v>
      </c>
      <c r="AB802">
        <v>14</v>
      </c>
      <c r="AC802" t="s">
        <v>540</v>
      </c>
      <c r="AD802" t="s">
        <v>112</v>
      </c>
      <c r="AE802">
        <v>0</v>
      </c>
      <c r="AF802">
        <v>0</v>
      </c>
      <c r="AG802">
        <v>1</v>
      </c>
      <c r="AH802">
        <v>2</v>
      </c>
      <c r="AI802">
        <v>0</v>
      </c>
      <c r="AJ802">
        <v>1</v>
      </c>
      <c r="AK802">
        <v>1</v>
      </c>
      <c r="AL802">
        <v>0</v>
      </c>
      <c r="AM802">
        <v>0</v>
      </c>
      <c r="AN802">
        <v>0</v>
      </c>
      <c r="AO802">
        <v>5</v>
      </c>
      <c r="AP802">
        <v>0</v>
      </c>
      <c r="AQ802">
        <v>100</v>
      </c>
      <c r="AR802" s="2">
        <v>45775.169756944444</v>
      </c>
      <c r="AS802" s="2">
        <v>45933.007662037038</v>
      </c>
      <c r="AT802" t="s">
        <v>61</v>
      </c>
      <c r="AU802" t="s">
        <v>61</v>
      </c>
      <c r="AV802">
        <v>158</v>
      </c>
    </row>
    <row r="803" spans="1:48" x14ac:dyDescent="0.25">
      <c r="A803">
        <v>457</v>
      </c>
      <c r="B803" t="s">
        <v>3128</v>
      </c>
      <c r="C803" t="s">
        <v>690</v>
      </c>
      <c r="D803" t="s">
        <v>1108</v>
      </c>
      <c r="E803" t="s">
        <v>3129</v>
      </c>
      <c r="F803" t="s">
        <v>3130</v>
      </c>
      <c r="G803" t="s">
        <v>104</v>
      </c>
      <c r="H803" s="1">
        <v>38327</v>
      </c>
      <c r="I803">
        <v>22</v>
      </c>
      <c r="J803">
        <v>2004</v>
      </c>
      <c r="K803" s="1">
        <v>45359</v>
      </c>
      <c r="L803">
        <v>2024</v>
      </c>
      <c r="M803" t="s">
        <v>54</v>
      </c>
      <c r="N803">
        <v>21</v>
      </c>
      <c r="O803" t="s">
        <v>339</v>
      </c>
      <c r="P803" t="s">
        <v>69</v>
      </c>
      <c r="Q803">
        <v>60</v>
      </c>
      <c r="R803">
        <v>7</v>
      </c>
      <c r="S803" t="s">
        <v>163</v>
      </c>
      <c r="T803" t="s">
        <v>164</v>
      </c>
      <c r="U803">
        <v>5</v>
      </c>
      <c r="V803">
        <v>5</v>
      </c>
      <c r="W803">
        <v>5</v>
      </c>
      <c r="X803">
        <v>5</v>
      </c>
      <c r="Y803">
        <v>1</v>
      </c>
      <c r="Z803">
        <v>5</v>
      </c>
      <c r="AA803">
        <v>1.9</v>
      </c>
      <c r="AB803">
        <v>9.5</v>
      </c>
      <c r="AC803" t="s">
        <v>70</v>
      </c>
      <c r="AD803" t="s">
        <v>60</v>
      </c>
      <c r="AE803">
        <v>1</v>
      </c>
      <c r="AF803">
        <v>0</v>
      </c>
      <c r="AG803">
        <v>1</v>
      </c>
      <c r="AH803">
        <v>0</v>
      </c>
      <c r="AI803">
        <v>0</v>
      </c>
      <c r="AJ803">
        <v>0</v>
      </c>
      <c r="AK803">
        <v>1</v>
      </c>
      <c r="AL803">
        <v>0</v>
      </c>
      <c r="AM803">
        <v>0</v>
      </c>
      <c r="AN803">
        <v>2</v>
      </c>
      <c r="AO803">
        <v>3</v>
      </c>
      <c r="AP803">
        <v>2</v>
      </c>
      <c r="AQ803">
        <v>60</v>
      </c>
      <c r="AR803" s="2">
        <v>45729.137766203705</v>
      </c>
      <c r="AS803" s="2">
        <v>46081.172997685186</v>
      </c>
      <c r="AT803" t="s">
        <v>61</v>
      </c>
      <c r="AU803" t="s">
        <v>61</v>
      </c>
      <c r="AV803">
        <v>352</v>
      </c>
    </row>
    <row r="804" spans="1:48" x14ac:dyDescent="0.25">
      <c r="A804">
        <v>743</v>
      </c>
      <c r="B804" t="s">
        <v>3131</v>
      </c>
      <c r="C804" t="s">
        <v>1089</v>
      </c>
      <c r="D804" t="s">
        <v>347</v>
      </c>
      <c r="E804" t="s">
        <v>3132</v>
      </c>
      <c r="F804">
        <f>1-588-610-7983</f>
        <v>-9180</v>
      </c>
      <c r="G804" t="s">
        <v>53</v>
      </c>
      <c r="H804" s="1">
        <v>38549</v>
      </c>
      <c r="I804">
        <v>21</v>
      </c>
      <c r="J804">
        <v>2005</v>
      </c>
      <c r="K804" s="1">
        <v>44891</v>
      </c>
      <c r="L804">
        <v>2022</v>
      </c>
      <c r="M804" t="s">
        <v>54</v>
      </c>
      <c r="N804">
        <v>15</v>
      </c>
      <c r="O804" t="s">
        <v>91</v>
      </c>
      <c r="P804" t="s">
        <v>69</v>
      </c>
      <c r="Q804">
        <v>60</v>
      </c>
      <c r="R804">
        <v>5</v>
      </c>
      <c r="S804" t="s">
        <v>92</v>
      </c>
      <c r="T804" t="s">
        <v>93</v>
      </c>
      <c r="U804">
        <v>5</v>
      </c>
      <c r="V804">
        <v>5</v>
      </c>
      <c r="W804">
        <v>5</v>
      </c>
      <c r="X804">
        <v>4</v>
      </c>
      <c r="Y804">
        <v>1</v>
      </c>
      <c r="Z804">
        <v>1</v>
      </c>
      <c r="AA804">
        <v>4</v>
      </c>
      <c r="AB804">
        <v>4</v>
      </c>
      <c r="AC804" t="s">
        <v>60</v>
      </c>
      <c r="AD804" t="s">
        <v>60</v>
      </c>
      <c r="AE804">
        <v>1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</v>
      </c>
      <c r="AP804">
        <v>0</v>
      </c>
      <c r="AQ804">
        <v>100</v>
      </c>
      <c r="AR804" s="2">
        <v>45848.420694444445</v>
      </c>
      <c r="AS804" s="2">
        <v>45983.744108796294</v>
      </c>
      <c r="AT804" t="s">
        <v>1357</v>
      </c>
      <c r="AU804" t="s">
        <v>1357</v>
      </c>
      <c r="AV804">
        <v>135</v>
      </c>
    </row>
    <row r="805" spans="1:48" x14ac:dyDescent="0.25">
      <c r="A805">
        <v>100</v>
      </c>
      <c r="B805" t="s">
        <v>3133</v>
      </c>
      <c r="C805" t="s">
        <v>191</v>
      </c>
      <c r="D805" t="s">
        <v>3134</v>
      </c>
      <c r="E805" t="s">
        <v>3135</v>
      </c>
      <c r="F805" t="s">
        <v>3136</v>
      </c>
      <c r="G805" t="s">
        <v>53</v>
      </c>
      <c r="H805" s="1">
        <v>34978</v>
      </c>
      <c r="I805">
        <v>31</v>
      </c>
      <c r="J805">
        <v>1995</v>
      </c>
      <c r="K805" s="1">
        <v>44825</v>
      </c>
      <c r="L805">
        <v>2022</v>
      </c>
      <c r="M805" t="s">
        <v>54</v>
      </c>
      <c r="N805">
        <v>21</v>
      </c>
      <c r="O805" t="s">
        <v>339</v>
      </c>
      <c r="P805" t="s">
        <v>69</v>
      </c>
      <c r="Q805">
        <v>60</v>
      </c>
      <c r="R805">
        <v>7</v>
      </c>
      <c r="S805" t="s">
        <v>163</v>
      </c>
      <c r="T805" t="s">
        <v>164</v>
      </c>
      <c r="U805">
        <v>5</v>
      </c>
      <c r="V805">
        <v>5</v>
      </c>
      <c r="W805">
        <v>5</v>
      </c>
      <c r="X805">
        <v>4</v>
      </c>
      <c r="Y805">
        <v>1</v>
      </c>
      <c r="Z805">
        <v>5</v>
      </c>
      <c r="AA805">
        <v>2.2999999999999998</v>
      </c>
      <c r="AB805">
        <v>11.5</v>
      </c>
      <c r="AC805" t="s">
        <v>70</v>
      </c>
      <c r="AD805" t="s">
        <v>60</v>
      </c>
      <c r="AE805">
        <v>1</v>
      </c>
      <c r="AF805">
        <v>0</v>
      </c>
      <c r="AG805">
        <v>1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1</v>
      </c>
      <c r="AN805">
        <v>1</v>
      </c>
      <c r="AO805">
        <v>4</v>
      </c>
      <c r="AP805">
        <v>1</v>
      </c>
      <c r="AQ805">
        <v>80</v>
      </c>
      <c r="AR805" s="2">
        <v>45815.837870370371</v>
      </c>
      <c r="AS805" s="2">
        <v>46010.079594907409</v>
      </c>
      <c r="AT805" t="s">
        <v>62</v>
      </c>
      <c r="AU805" t="s">
        <v>62</v>
      </c>
      <c r="AV805">
        <v>195</v>
      </c>
    </row>
    <row r="806" spans="1:48" x14ac:dyDescent="0.25">
      <c r="A806">
        <v>811</v>
      </c>
      <c r="B806" t="s">
        <v>3137</v>
      </c>
      <c r="C806" t="s">
        <v>3138</v>
      </c>
      <c r="D806" t="s">
        <v>1236</v>
      </c>
      <c r="E806" t="s">
        <v>3139</v>
      </c>
      <c r="F806" t="s">
        <v>3140</v>
      </c>
      <c r="G806" t="s">
        <v>104</v>
      </c>
      <c r="H806" s="1">
        <v>38014</v>
      </c>
      <c r="I806">
        <v>22</v>
      </c>
      <c r="J806">
        <v>2004</v>
      </c>
      <c r="K806" s="1">
        <v>45223</v>
      </c>
      <c r="L806">
        <v>2023</v>
      </c>
      <c r="M806" t="s">
        <v>54</v>
      </c>
      <c r="N806">
        <v>15</v>
      </c>
      <c r="O806" t="s">
        <v>91</v>
      </c>
      <c r="P806" t="s">
        <v>69</v>
      </c>
      <c r="Q806">
        <v>60</v>
      </c>
      <c r="R806">
        <v>5</v>
      </c>
      <c r="S806" t="s">
        <v>92</v>
      </c>
      <c r="T806" t="s">
        <v>93</v>
      </c>
      <c r="U806">
        <v>4</v>
      </c>
      <c r="V806">
        <v>4</v>
      </c>
      <c r="W806">
        <v>4</v>
      </c>
      <c r="X806">
        <v>4</v>
      </c>
      <c r="Y806">
        <v>1</v>
      </c>
      <c r="Z806">
        <v>4</v>
      </c>
      <c r="AA806">
        <v>3.625</v>
      </c>
      <c r="AB806">
        <v>14.5</v>
      </c>
      <c r="AC806" t="s">
        <v>281</v>
      </c>
      <c r="AD806" t="s">
        <v>60</v>
      </c>
      <c r="AE806">
        <v>1</v>
      </c>
      <c r="AF806">
        <v>0</v>
      </c>
      <c r="AG806">
        <v>3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4</v>
      </c>
      <c r="AP806">
        <v>0</v>
      </c>
      <c r="AQ806">
        <v>100</v>
      </c>
      <c r="AR806" s="2">
        <v>45774.941944444443</v>
      </c>
      <c r="AS806" s="2">
        <v>45860.701527777775</v>
      </c>
      <c r="AT806" t="s">
        <v>61</v>
      </c>
      <c r="AU806" t="s">
        <v>61</v>
      </c>
      <c r="AV806">
        <v>86</v>
      </c>
    </row>
    <row r="807" spans="1:48" x14ac:dyDescent="0.25">
      <c r="A807">
        <v>991</v>
      </c>
      <c r="B807" t="s">
        <v>3141</v>
      </c>
      <c r="C807" t="s">
        <v>3142</v>
      </c>
      <c r="D807" t="s">
        <v>1403</v>
      </c>
      <c r="E807" t="s">
        <v>3143</v>
      </c>
      <c r="F807" t="s">
        <v>3144</v>
      </c>
      <c r="G807" t="s">
        <v>53</v>
      </c>
      <c r="H807" s="1">
        <v>35136</v>
      </c>
      <c r="I807">
        <v>30</v>
      </c>
      <c r="J807">
        <v>1996</v>
      </c>
      <c r="K807" s="1">
        <v>44863</v>
      </c>
      <c r="L807">
        <v>2022</v>
      </c>
      <c r="M807" t="s">
        <v>54</v>
      </c>
      <c r="N807">
        <v>9</v>
      </c>
      <c r="O807" t="s">
        <v>151</v>
      </c>
      <c r="P807" t="s">
        <v>69</v>
      </c>
      <c r="Q807">
        <v>60</v>
      </c>
      <c r="R807">
        <v>3</v>
      </c>
      <c r="S807" t="s">
        <v>126</v>
      </c>
      <c r="T807" t="s">
        <v>127</v>
      </c>
      <c r="U807">
        <v>4</v>
      </c>
      <c r="V807">
        <v>4</v>
      </c>
      <c r="W807">
        <v>4</v>
      </c>
      <c r="X807">
        <v>4</v>
      </c>
      <c r="Y807">
        <v>1</v>
      </c>
      <c r="Z807">
        <v>1</v>
      </c>
      <c r="AA807">
        <v>2.5</v>
      </c>
      <c r="AB807">
        <v>2.5</v>
      </c>
      <c r="AC807" t="s">
        <v>540</v>
      </c>
      <c r="AD807" t="s">
        <v>540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0</v>
      </c>
      <c r="AN807">
        <v>0</v>
      </c>
      <c r="AO807">
        <v>1</v>
      </c>
      <c r="AP807">
        <v>0</v>
      </c>
      <c r="AQ807">
        <v>100</v>
      </c>
      <c r="AR807" s="2">
        <v>45743.287685185183</v>
      </c>
      <c r="AS807" s="2">
        <v>46041.966597222221</v>
      </c>
      <c r="AT807" t="s">
        <v>1357</v>
      </c>
      <c r="AU807" t="s">
        <v>1357</v>
      </c>
      <c r="AV807">
        <v>298</v>
      </c>
    </row>
    <row r="808" spans="1:48" x14ac:dyDescent="0.25">
      <c r="A808">
        <v>507</v>
      </c>
      <c r="B808" t="s">
        <v>3145</v>
      </c>
      <c r="C808" t="s">
        <v>395</v>
      </c>
      <c r="D808" t="s">
        <v>1607</v>
      </c>
      <c r="E808" t="s">
        <v>3146</v>
      </c>
      <c r="F808" t="s">
        <v>3147</v>
      </c>
      <c r="G808" t="s">
        <v>104</v>
      </c>
      <c r="H808" s="1">
        <v>37239</v>
      </c>
      <c r="I808">
        <v>25</v>
      </c>
      <c r="J808">
        <v>2001</v>
      </c>
      <c r="K808" s="1">
        <v>44893</v>
      </c>
      <c r="L808">
        <v>2022</v>
      </c>
      <c r="M808" t="s">
        <v>54</v>
      </c>
      <c r="N808">
        <v>16</v>
      </c>
      <c r="O808" t="s">
        <v>280</v>
      </c>
      <c r="P808" t="s">
        <v>119</v>
      </c>
      <c r="Q808">
        <v>120</v>
      </c>
      <c r="R808">
        <v>6</v>
      </c>
      <c r="S808" t="s">
        <v>140</v>
      </c>
      <c r="T808" t="s">
        <v>141</v>
      </c>
      <c r="U808">
        <v>4</v>
      </c>
      <c r="V808">
        <v>4</v>
      </c>
      <c r="W808">
        <v>4</v>
      </c>
      <c r="X808">
        <v>4</v>
      </c>
      <c r="Y808">
        <v>1</v>
      </c>
      <c r="Z808">
        <v>1</v>
      </c>
      <c r="AA808">
        <v>3</v>
      </c>
      <c r="AB808">
        <v>3</v>
      </c>
      <c r="AC808" t="s">
        <v>112</v>
      </c>
      <c r="AD808" t="s">
        <v>112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1</v>
      </c>
      <c r="AP808">
        <v>0</v>
      </c>
      <c r="AQ808">
        <v>100</v>
      </c>
      <c r="AR808" s="2">
        <v>45767.809120370373</v>
      </c>
      <c r="AS808" s="2">
        <v>46080.621446759258</v>
      </c>
      <c r="AT808" t="s">
        <v>1357</v>
      </c>
      <c r="AU808" t="s">
        <v>1357</v>
      </c>
      <c r="AV808">
        <v>313</v>
      </c>
    </row>
    <row r="809" spans="1:48" x14ac:dyDescent="0.25">
      <c r="A809">
        <v>279</v>
      </c>
      <c r="B809" t="s">
        <v>3148</v>
      </c>
      <c r="C809" t="s">
        <v>3149</v>
      </c>
      <c r="D809" t="s">
        <v>562</v>
      </c>
      <c r="E809" t="s">
        <v>3150</v>
      </c>
      <c r="F809" t="s">
        <v>3151</v>
      </c>
      <c r="G809" t="s">
        <v>53</v>
      </c>
      <c r="H809" s="1">
        <v>37750</v>
      </c>
      <c r="I809">
        <v>23</v>
      </c>
      <c r="J809">
        <v>2003</v>
      </c>
      <c r="K809" s="1">
        <v>44686</v>
      </c>
      <c r="L809">
        <v>2022</v>
      </c>
      <c r="M809" t="s">
        <v>54</v>
      </c>
      <c r="N809">
        <v>21</v>
      </c>
      <c r="O809" t="s">
        <v>339</v>
      </c>
      <c r="P809" t="s">
        <v>69</v>
      </c>
      <c r="Q809">
        <v>60</v>
      </c>
      <c r="R809">
        <v>7</v>
      </c>
      <c r="S809" t="s">
        <v>163</v>
      </c>
      <c r="T809" t="s">
        <v>164</v>
      </c>
      <c r="U809">
        <v>4</v>
      </c>
      <c r="V809">
        <v>4</v>
      </c>
      <c r="W809">
        <v>4</v>
      </c>
      <c r="X809">
        <v>4</v>
      </c>
      <c r="Y809">
        <v>1</v>
      </c>
      <c r="Z809">
        <v>4</v>
      </c>
      <c r="AA809">
        <v>2.625</v>
      </c>
      <c r="AB809">
        <v>10.5</v>
      </c>
      <c r="AC809" t="s">
        <v>540</v>
      </c>
      <c r="AD809" t="s">
        <v>60</v>
      </c>
      <c r="AE809">
        <v>1</v>
      </c>
      <c r="AF809">
        <v>0</v>
      </c>
      <c r="AG809">
        <v>0</v>
      </c>
      <c r="AH809">
        <v>0</v>
      </c>
      <c r="AI809">
        <v>0</v>
      </c>
      <c r="AJ809">
        <v>1</v>
      </c>
      <c r="AK809">
        <v>2</v>
      </c>
      <c r="AL809">
        <v>0</v>
      </c>
      <c r="AM809">
        <v>0</v>
      </c>
      <c r="AN809">
        <v>0</v>
      </c>
      <c r="AO809">
        <v>4</v>
      </c>
      <c r="AP809">
        <v>0</v>
      </c>
      <c r="AQ809">
        <v>100</v>
      </c>
      <c r="AR809" s="2">
        <v>45721.888182870367</v>
      </c>
      <c r="AS809" s="2">
        <v>45943.406076388892</v>
      </c>
      <c r="AT809" t="s">
        <v>62</v>
      </c>
      <c r="AU809" t="s">
        <v>62</v>
      </c>
      <c r="AV809">
        <v>222</v>
      </c>
    </row>
    <row r="810" spans="1:48" x14ac:dyDescent="0.25">
      <c r="A810">
        <v>617</v>
      </c>
      <c r="B810" t="s">
        <v>3152</v>
      </c>
      <c r="C810" t="s">
        <v>2385</v>
      </c>
      <c r="D810" t="s">
        <v>820</v>
      </c>
      <c r="E810" t="s">
        <v>3153</v>
      </c>
      <c r="F810" t="s">
        <v>3154</v>
      </c>
      <c r="G810" t="s">
        <v>53</v>
      </c>
      <c r="H810" s="1">
        <v>35802</v>
      </c>
      <c r="I810">
        <v>28</v>
      </c>
      <c r="J810">
        <v>1998</v>
      </c>
      <c r="K810" s="1">
        <v>45156</v>
      </c>
      <c r="L810">
        <v>2023</v>
      </c>
      <c r="M810" t="s">
        <v>225</v>
      </c>
      <c r="N810">
        <v>3</v>
      </c>
      <c r="O810" t="s">
        <v>68</v>
      </c>
      <c r="P810" t="s">
        <v>69</v>
      </c>
      <c r="Q810">
        <v>60</v>
      </c>
      <c r="R810">
        <v>1</v>
      </c>
      <c r="S810" t="s">
        <v>57</v>
      </c>
      <c r="T810" t="s">
        <v>58</v>
      </c>
      <c r="U810">
        <v>4</v>
      </c>
      <c r="V810">
        <v>4</v>
      </c>
      <c r="W810">
        <v>4</v>
      </c>
      <c r="X810">
        <v>4</v>
      </c>
      <c r="Y810">
        <v>1</v>
      </c>
      <c r="Z810">
        <v>4</v>
      </c>
      <c r="AA810">
        <v>1.875</v>
      </c>
      <c r="AB810">
        <v>7.5</v>
      </c>
      <c r="AC810" t="s">
        <v>70</v>
      </c>
      <c r="AD810" t="s">
        <v>112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1</v>
      </c>
      <c r="AK810">
        <v>1</v>
      </c>
      <c r="AL810">
        <v>0</v>
      </c>
      <c r="AM810">
        <v>0</v>
      </c>
      <c r="AN810">
        <v>1</v>
      </c>
      <c r="AO810">
        <v>3</v>
      </c>
      <c r="AP810">
        <v>1</v>
      </c>
      <c r="AQ810">
        <v>75</v>
      </c>
      <c r="AR810" s="2">
        <v>45754.473252314812</v>
      </c>
      <c r="AS810" s="2">
        <v>46066.79886574074</v>
      </c>
      <c r="AT810" t="s">
        <v>61</v>
      </c>
      <c r="AU810" t="s">
        <v>61</v>
      </c>
      <c r="AV810">
        <v>312</v>
      </c>
    </row>
    <row r="811" spans="1:48" x14ac:dyDescent="0.25">
      <c r="A811">
        <v>731</v>
      </c>
      <c r="B811" t="s">
        <v>3155</v>
      </c>
      <c r="C811" t="s">
        <v>854</v>
      </c>
      <c r="D811" t="s">
        <v>3156</v>
      </c>
      <c r="E811" t="s">
        <v>3157</v>
      </c>
      <c r="F811" t="s">
        <v>3158</v>
      </c>
      <c r="G811" t="s">
        <v>104</v>
      </c>
      <c r="H811" s="1">
        <v>38842</v>
      </c>
      <c r="I811">
        <v>20</v>
      </c>
      <c r="J811">
        <v>2006</v>
      </c>
      <c r="K811" s="1">
        <v>45347</v>
      </c>
      <c r="L811">
        <v>2024</v>
      </c>
      <c r="M811" t="s">
        <v>54</v>
      </c>
      <c r="N811">
        <v>7</v>
      </c>
      <c r="O811" t="s">
        <v>231</v>
      </c>
      <c r="P811" t="s">
        <v>119</v>
      </c>
      <c r="Q811">
        <v>120</v>
      </c>
      <c r="R811">
        <v>3</v>
      </c>
      <c r="S811" t="s">
        <v>126</v>
      </c>
      <c r="T811" t="s">
        <v>127</v>
      </c>
      <c r="U811">
        <v>4</v>
      </c>
      <c r="V811">
        <v>4</v>
      </c>
      <c r="W811">
        <v>4</v>
      </c>
      <c r="X811">
        <v>4</v>
      </c>
      <c r="Y811">
        <v>1</v>
      </c>
      <c r="Z811">
        <v>4</v>
      </c>
      <c r="AA811">
        <v>1.875</v>
      </c>
      <c r="AB811">
        <v>7.5</v>
      </c>
      <c r="AC811" t="s">
        <v>70</v>
      </c>
      <c r="AD811" t="s">
        <v>112</v>
      </c>
      <c r="AE811">
        <v>0</v>
      </c>
      <c r="AF811">
        <v>0</v>
      </c>
      <c r="AG811">
        <v>1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1</v>
      </c>
      <c r="AO811">
        <v>3</v>
      </c>
      <c r="AP811">
        <v>1</v>
      </c>
      <c r="AQ811">
        <v>75</v>
      </c>
      <c r="AR811" s="2">
        <v>45875.21607638889</v>
      </c>
      <c r="AS811" s="2">
        <v>46085.805289351854</v>
      </c>
      <c r="AT811" t="s">
        <v>61</v>
      </c>
      <c r="AU811" t="s">
        <v>61</v>
      </c>
      <c r="AV811">
        <v>210</v>
      </c>
    </row>
    <row r="812" spans="1:48" x14ac:dyDescent="0.25">
      <c r="A812">
        <v>789</v>
      </c>
      <c r="B812" t="s">
        <v>3159</v>
      </c>
      <c r="C812" t="s">
        <v>3160</v>
      </c>
      <c r="D812" t="s">
        <v>149</v>
      </c>
      <c r="E812" t="s">
        <v>3161</v>
      </c>
      <c r="F812" t="s">
        <v>3162</v>
      </c>
      <c r="G812" t="s">
        <v>104</v>
      </c>
      <c r="H812" s="1">
        <v>35128</v>
      </c>
      <c r="I812">
        <v>30</v>
      </c>
      <c r="J812">
        <v>1996</v>
      </c>
      <c r="K812" s="1">
        <v>45637</v>
      </c>
      <c r="L812">
        <v>2024</v>
      </c>
      <c r="M812" t="s">
        <v>54</v>
      </c>
      <c r="N812">
        <v>13</v>
      </c>
      <c r="O812" t="s">
        <v>146</v>
      </c>
      <c r="P812" t="s">
        <v>119</v>
      </c>
      <c r="Q812">
        <v>120</v>
      </c>
      <c r="R812">
        <v>5</v>
      </c>
      <c r="S812" t="s">
        <v>92</v>
      </c>
      <c r="T812" t="s">
        <v>93</v>
      </c>
      <c r="U812">
        <v>4</v>
      </c>
      <c r="V812">
        <v>4</v>
      </c>
      <c r="W812">
        <v>4</v>
      </c>
      <c r="X812">
        <v>4</v>
      </c>
      <c r="Y812">
        <v>1</v>
      </c>
      <c r="Z812">
        <v>1</v>
      </c>
      <c r="AA812">
        <v>4</v>
      </c>
      <c r="AB812">
        <v>4</v>
      </c>
      <c r="AC812" t="s">
        <v>60</v>
      </c>
      <c r="AD812" t="s">
        <v>60</v>
      </c>
      <c r="AE812">
        <v>1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0</v>
      </c>
      <c r="AQ812">
        <v>100</v>
      </c>
      <c r="AR812" s="2">
        <v>45829.517812500002</v>
      </c>
      <c r="AS812" s="2">
        <v>46002.54446759259</v>
      </c>
      <c r="AT812" t="s">
        <v>1357</v>
      </c>
      <c r="AU812" t="s">
        <v>1357</v>
      </c>
      <c r="AV812">
        <v>173</v>
      </c>
    </row>
    <row r="813" spans="1:48" x14ac:dyDescent="0.25">
      <c r="A813">
        <v>175</v>
      </c>
      <c r="B813" t="s">
        <v>3163</v>
      </c>
      <c r="C813" t="s">
        <v>1276</v>
      </c>
      <c r="D813" t="s">
        <v>420</v>
      </c>
      <c r="E813" t="s">
        <v>3164</v>
      </c>
      <c r="F813" t="s">
        <v>3165</v>
      </c>
      <c r="G813" t="s">
        <v>104</v>
      </c>
      <c r="H813" s="1">
        <v>36068</v>
      </c>
      <c r="I813">
        <v>28</v>
      </c>
      <c r="J813">
        <v>1998</v>
      </c>
      <c r="K813" s="1">
        <v>45276</v>
      </c>
      <c r="L813">
        <v>2023</v>
      </c>
      <c r="M813" t="s">
        <v>54</v>
      </c>
      <c r="N813">
        <v>20</v>
      </c>
      <c r="O813" t="s">
        <v>180</v>
      </c>
      <c r="P813" t="s">
        <v>56</v>
      </c>
      <c r="Q813">
        <v>36</v>
      </c>
      <c r="R813">
        <v>7</v>
      </c>
      <c r="S813" t="s">
        <v>163</v>
      </c>
      <c r="T813" t="s">
        <v>164</v>
      </c>
      <c r="U813">
        <v>4</v>
      </c>
      <c r="V813">
        <v>4</v>
      </c>
      <c r="W813">
        <v>4</v>
      </c>
      <c r="X813">
        <v>4</v>
      </c>
      <c r="Y813">
        <v>1</v>
      </c>
      <c r="Z813">
        <v>2</v>
      </c>
      <c r="AA813">
        <v>2.5</v>
      </c>
      <c r="AB813">
        <v>5</v>
      </c>
      <c r="AC813" t="s">
        <v>540</v>
      </c>
      <c r="AD813" t="s">
        <v>540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2</v>
      </c>
      <c r="AK813">
        <v>0</v>
      </c>
      <c r="AL813">
        <v>0</v>
      </c>
      <c r="AM813">
        <v>0</v>
      </c>
      <c r="AN813">
        <v>0</v>
      </c>
      <c r="AO813">
        <v>2</v>
      </c>
      <c r="AP813">
        <v>0</v>
      </c>
      <c r="AQ813">
        <v>100</v>
      </c>
      <c r="AR813" s="2">
        <v>45769.539652777778</v>
      </c>
      <c r="AS813" s="2">
        <v>46022.072847222225</v>
      </c>
      <c r="AT813" t="s">
        <v>1357</v>
      </c>
      <c r="AU813" t="s">
        <v>1357</v>
      </c>
      <c r="AV813">
        <v>253</v>
      </c>
    </row>
    <row r="814" spans="1:48" x14ac:dyDescent="0.25">
      <c r="A814">
        <v>973</v>
      </c>
      <c r="B814" t="s">
        <v>3166</v>
      </c>
      <c r="C814" t="s">
        <v>135</v>
      </c>
      <c r="D814" t="s">
        <v>2429</v>
      </c>
      <c r="E814" t="s">
        <v>3167</v>
      </c>
      <c r="F814" t="s">
        <v>3168</v>
      </c>
      <c r="G814" t="s">
        <v>53</v>
      </c>
      <c r="H814" s="1">
        <v>38468</v>
      </c>
      <c r="I814">
        <v>21</v>
      </c>
      <c r="J814">
        <v>2005</v>
      </c>
      <c r="K814" s="1">
        <v>44651</v>
      </c>
      <c r="L814">
        <v>2022</v>
      </c>
      <c r="M814" t="s">
        <v>54</v>
      </c>
      <c r="N814">
        <v>15</v>
      </c>
      <c r="O814" t="s">
        <v>91</v>
      </c>
      <c r="P814" t="s">
        <v>69</v>
      </c>
      <c r="Q814">
        <v>60</v>
      </c>
      <c r="R814">
        <v>5</v>
      </c>
      <c r="S814" t="s">
        <v>92</v>
      </c>
      <c r="T814" t="s">
        <v>93</v>
      </c>
      <c r="U814">
        <v>4</v>
      </c>
      <c r="V814">
        <v>4</v>
      </c>
      <c r="W814">
        <v>4</v>
      </c>
      <c r="X814">
        <v>4</v>
      </c>
      <c r="Y814">
        <v>1</v>
      </c>
      <c r="Z814">
        <v>2</v>
      </c>
      <c r="AA814">
        <v>3</v>
      </c>
      <c r="AB814">
        <v>6</v>
      </c>
      <c r="AC814" t="s">
        <v>112</v>
      </c>
      <c r="AD814" t="s">
        <v>112</v>
      </c>
      <c r="AE814">
        <v>0</v>
      </c>
      <c r="AF814">
        <v>0</v>
      </c>
      <c r="AG814">
        <v>0</v>
      </c>
      <c r="AH814">
        <v>2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2</v>
      </c>
      <c r="AP814">
        <v>0</v>
      </c>
      <c r="AQ814">
        <v>100</v>
      </c>
      <c r="AR814" s="2">
        <v>45836.059004629627</v>
      </c>
      <c r="AS814" s="2">
        <v>46026.132592592592</v>
      </c>
      <c r="AT814" t="s">
        <v>1357</v>
      </c>
      <c r="AU814" t="s">
        <v>1357</v>
      </c>
      <c r="AV814">
        <v>190</v>
      </c>
    </row>
    <row r="815" spans="1:48" x14ac:dyDescent="0.25">
      <c r="A815">
        <v>712</v>
      </c>
      <c r="B815" t="s">
        <v>3169</v>
      </c>
      <c r="C815" t="s">
        <v>725</v>
      </c>
      <c r="D815" t="s">
        <v>936</v>
      </c>
      <c r="E815" t="s">
        <v>3170</v>
      </c>
      <c r="F815" t="s">
        <v>3171</v>
      </c>
      <c r="G815" t="s">
        <v>53</v>
      </c>
      <c r="H815" s="1">
        <v>38387</v>
      </c>
      <c r="I815">
        <v>21</v>
      </c>
      <c r="J815">
        <v>2005</v>
      </c>
      <c r="K815" s="1">
        <v>45941</v>
      </c>
      <c r="L815">
        <v>2025</v>
      </c>
      <c r="M815" t="s">
        <v>111</v>
      </c>
      <c r="N815">
        <v>14</v>
      </c>
      <c r="O815" t="s">
        <v>105</v>
      </c>
      <c r="P815" t="s">
        <v>56</v>
      </c>
      <c r="Q815">
        <v>36</v>
      </c>
      <c r="R815">
        <v>5</v>
      </c>
      <c r="S815" t="s">
        <v>92</v>
      </c>
      <c r="T815" t="s">
        <v>93</v>
      </c>
      <c r="U815">
        <v>4</v>
      </c>
      <c r="V815">
        <v>4</v>
      </c>
      <c r="W815">
        <v>4</v>
      </c>
      <c r="X815">
        <v>4</v>
      </c>
      <c r="Y815">
        <v>1</v>
      </c>
      <c r="Z815">
        <v>4</v>
      </c>
      <c r="AA815">
        <v>1.5</v>
      </c>
      <c r="AB815">
        <v>6</v>
      </c>
      <c r="AC815" t="s">
        <v>70</v>
      </c>
      <c r="AD815" t="s">
        <v>60</v>
      </c>
      <c r="AE815">
        <v>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2</v>
      </c>
      <c r="AN815">
        <v>1</v>
      </c>
      <c r="AO815">
        <v>3</v>
      </c>
      <c r="AP815">
        <v>1</v>
      </c>
      <c r="AQ815">
        <v>75</v>
      </c>
      <c r="AR815" s="2">
        <v>45847.856747685182</v>
      </c>
      <c r="AS815" s="2">
        <v>46016.394467592596</v>
      </c>
      <c r="AT815" t="s">
        <v>61</v>
      </c>
      <c r="AU815" t="s">
        <v>61</v>
      </c>
      <c r="AV815">
        <v>169</v>
      </c>
    </row>
    <row r="816" spans="1:48" x14ac:dyDescent="0.25">
      <c r="A816">
        <v>361</v>
      </c>
      <c r="B816" t="s">
        <v>3172</v>
      </c>
      <c r="C816" t="s">
        <v>3173</v>
      </c>
      <c r="D816" t="s">
        <v>144</v>
      </c>
      <c r="E816" t="s">
        <v>3174</v>
      </c>
      <c r="F816" t="s">
        <v>3175</v>
      </c>
      <c r="G816" t="s">
        <v>104</v>
      </c>
      <c r="H816" s="1">
        <v>35321</v>
      </c>
      <c r="I816">
        <v>30</v>
      </c>
      <c r="J816">
        <v>1996</v>
      </c>
      <c r="K816" s="1">
        <v>45399</v>
      </c>
      <c r="L816">
        <v>2024</v>
      </c>
      <c r="M816" t="s">
        <v>54</v>
      </c>
      <c r="N816">
        <v>12</v>
      </c>
      <c r="O816" t="s">
        <v>76</v>
      </c>
      <c r="P816" t="s">
        <v>69</v>
      </c>
      <c r="Q816">
        <v>60</v>
      </c>
      <c r="R816">
        <v>4</v>
      </c>
      <c r="S816" t="s">
        <v>77</v>
      </c>
      <c r="T816" t="s">
        <v>78</v>
      </c>
      <c r="U816">
        <v>4</v>
      </c>
      <c r="V816">
        <v>4</v>
      </c>
      <c r="W816">
        <v>4</v>
      </c>
      <c r="X816">
        <v>4</v>
      </c>
      <c r="Y816">
        <v>1</v>
      </c>
      <c r="Z816">
        <v>4</v>
      </c>
      <c r="AA816">
        <v>1.75</v>
      </c>
      <c r="AB816">
        <v>7</v>
      </c>
      <c r="AC816" t="s">
        <v>59</v>
      </c>
      <c r="AD816" t="s">
        <v>112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1</v>
      </c>
      <c r="AL816">
        <v>0</v>
      </c>
      <c r="AM816">
        <v>2</v>
      </c>
      <c r="AN816">
        <v>0</v>
      </c>
      <c r="AO816">
        <v>4</v>
      </c>
      <c r="AP816">
        <v>0</v>
      </c>
      <c r="AQ816">
        <v>100</v>
      </c>
      <c r="AR816" s="2">
        <v>45868.276018518518</v>
      </c>
      <c r="AS816" s="2">
        <v>45998.019363425927</v>
      </c>
      <c r="AT816" t="s">
        <v>62</v>
      </c>
      <c r="AU816" t="s">
        <v>62</v>
      </c>
      <c r="AV816">
        <v>130</v>
      </c>
    </row>
    <row r="817" spans="1:48" x14ac:dyDescent="0.25">
      <c r="A817">
        <v>610</v>
      </c>
      <c r="B817" t="s">
        <v>3176</v>
      </c>
      <c r="C817" t="s">
        <v>266</v>
      </c>
      <c r="D817" t="s">
        <v>1593</v>
      </c>
      <c r="E817" t="s">
        <v>3177</v>
      </c>
      <c r="F817">
        <v>8465117295</v>
      </c>
      <c r="G817" t="s">
        <v>53</v>
      </c>
      <c r="H817" s="1">
        <v>37500</v>
      </c>
      <c r="I817">
        <v>24</v>
      </c>
      <c r="J817">
        <v>2002</v>
      </c>
      <c r="K817" s="1">
        <v>45041</v>
      </c>
      <c r="L817">
        <v>2023</v>
      </c>
      <c r="M817" t="s">
        <v>54</v>
      </c>
      <c r="N817">
        <v>2</v>
      </c>
      <c r="O817" t="s">
        <v>55</v>
      </c>
      <c r="P817" t="s">
        <v>56</v>
      </c>
      <c r="Q817">
        <v>36</v>
      </c>
      <c r="R817">
        <v>1</v>
      </c>
      <c r="S817" t="s">
        <v>57</v>
      </c>
      <c r="T817" t="s">
        <v>58</v>
      </c>
      <c r="U817">
        <v>4</v>
      </c>
      <c r="V817">
        <v>4</v>
      </c>
      <c r="W817">
        <v>4</v>
      </c>
      <c r="X817">
        <v>4</v>
      </c>
      <c r="Y817">
        <v>1</v>
      </c>
      <c r="Z817">
        <v>4</v>
      </c>
      <c r="AA817">
        <v>2.125</v>
      </c>
      <c r="AB817">
        <v>8.5</v>
      </c>
      <c r="AC817" t="s">
        <v>59</v>
      </c>
      <c r="AD817" t="s">
        <v>112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1</v>
      </c>
      <c r="AK817">
        <v>1</v>
      </c>
      <c r="AL817">
        <v>0</v>
      </c>
      <c r="AM817">
        <v>1</v>
      </c>
      <c r="AN817">
        <v>0</v>
      </c>
      <c r="AO817">
        <v>4</v>
      </c>
      <c r="AP817">
        <v>0</v>
      </c>
      <c r="AQ817">
        <v>100</v>
      </c>
      <c r="AR817" s="2">
        <v>45783.515625</v>
      </c>
      <c r="AS817" s="2">
        <v>45936.70175925926</v>
      </c>
      <c r="AT817" t="s">
        <v>61</v>
      </c>
      <c r="AU817" t="s">
        <v>61</v>
      </c>
      <c r="AV817">
        <v>153</v>
      </c>
    </row>
    <row r="818" spans="1:48" x14ac:dyDescent="0.25">
      <c r="A818">
        <v>673</v>
      </c>
      <c r="B818" t="s">
        <v>3178</v>
      </c>
      <c r="C818" t="s">
        <v>2262</v>
      </c>
      <c r="D818" t="s">
        <v>3179</v>
      </c>
      <c r="E818" t="s">
        <v>3180</v>
      </c>
      <c r="F818" t="s">
        <v>3181</v>
      </c>
      <c r="G818" t="s">
        <v>53</v>
      </c>
      <c r="H818" s="1">
        <v>35602</v>
      </c>
      <c r="I818">
        <v>29</v>
      </c>
      <c r="J818">
        <v>1997</v>
      </c>
      <c r="K818" s="1">
        <v>45680</v>
      </c>
      <c r="L818">
        <v>2025</v>
      </c>
      <c r="M818" t="s">
        <v>54</v>
      </c>
      <c r="N818">
        <v>3</v>
      </c>
      <c r="O818" t="s">
        <v>68</v>
      </c>
      <c r="P818" t="s">
        <v>69</v>
      </c>
      <c r="Q818">
        <v>60</v>
      </c>
      <c r="R818">
        <v>1</v>
      </c>
      <c r="S818" t="s">
        <v>57</v>
      </c>
      <c r="T818" t="s">
        <v>58</v>
      </c>
      <c r="U818">
        <v>4</v>
      </c>
      <c r="V818">
        <v>4</v>
      </c>
      <c r="W818">
        <v>4</v>
      </c>
      <c r="X818">
        <v>4</v>
      </c>
      <c r="Y818">
        <v>1</v>
      </c>
      <c r="Z818">
        <v>0</v>
      </c>
      <c r="AA818" t="s">
        <v>3182</v>
      </c>
      <c r="AB818" t="s">
        <v>3182</v>
      </c>
      <c r="AC818" t="s">
        <v>3182</v>
      </c>
      <c r="AD818" t="s">
        <v>3182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 s="2">
        <v>45829.199687499997</v>
      </c>
      <c r="AS818" s="2">
        <v>45963.129120370373</v>
      </c>
      <c r="AT818" t="s">
        <v>1357</v>
      </c>
      <c r="AU818" t="s">
        <v>1357</v>
      </c>
      <c r="AV818">
        <v>134</v>
      </c>
    </row>
    <row r="819" spans="1:48" x14ac:dyDescent="0.25">
      <c r="A819">
        <v>340</v>
      </c>
      <c r="B819" t="s">
        <v>3183</v>
      </c>
      <c r="C819" t="s">
        <v>72</v>
      </c>
      <c r="D819" t="s">
        <v>3184</v>
      </c>
      <c r="E819" t="s">
        <v>3185</v>
      </c>
      <c r="F819" t="s">
        <v>3186</v>
      </c>
      <c r="G819" t="s">
        <v>53</v>
      </c>
      <c r="H819" s="1">
        <v>37303</v>
      </c>
      <c r="I819">
        <v>24</v>
      </c>
      <c r="J819">
        <v>2002</v>
      </c>
      <c r="K819" s="1">
        <v>44640</v>
      </c>
      <c r="L819">
        <v>2022</v>
      </c>
      <c r="M819" t="s">
        <v>111</v>
      </c>
      <c r="N819">
        <v>6</v>
      </c>
      <c r="O819" t="s">
        <v>133</v>
      </c>
      <c r="P819" t="s">
        <v>69</v>
      </c>
      <c r="Q819">
        <v>60</v>
      </c>
      <c r="R819">
        <v>2</v>
      </c>
      <c r="S819" t="s">
        <v>85</v>
      </c>
      <c r="T819" t="s">
        <v>86</v>
      </c>
      <c r="U819">
        <v>4</v>
      </c>
      <c r="V819">
        <v>4</v>
      </c>
      <c r="W819">
        <v>4</v>
      </c>
      <c r="X819">
        <v>3</v>
      </c>
      <c r="Y819">
        <v>1</v>
      </c>
      <c r="Z819">
        <v>4</v>
      </c>
      <c r="AA819">
        <v>2.25</v>
      </c>
      <c r="AB819">
        <v>9</v>
      </c>
      <c r="AC819" t="s">
        <v>70</v>
      </c>
      <c r="AD819" t="s">
        <v>60</v>
      </c>
      <c r="AE819">
        <v>1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1</v>
      </c>
      <c r="AL819">
        <v>0</v>
      </c>
      <c r="AM819">
        <v>0</v>
      </c>
      <c r="AN819">
        <v>1</v>
      </c>
      <c r="AO819">
        <v>3</v>
      </c>
      <c r="AP819">
        <v>1</v>
      </c>
      <c r="AQ819">
        <v>75</v>
      </c>
      <c r="AR819" s="2">
        <v>45758.472858796296</v>
      </c>
      <c r="AS819" s="2">
        <v>46056.418842592589</v>
      </c>
      <c r="AT819" t="s">
        <v>62</v>
      </c>
      <c r="AU819" t="s">
        <v>62</v>
      </c>
      <c r="AV819">
        <v>298</v>
      </c>
    </row>
    <row r="820" spans="1:48" x14ac:dyDescent="0.25">
      <c r="A820">
        <v>720</v>
      </c>
      <c r="B820" t="s">
        <v>3187</v>
      </c>
      <c r="C820" t="s">
        <v>472</v>
      </c>
      <c r="D820" t="s">
        <v>1886</v>
      </c>
      <c r="E820" t="s">
        <v>3188</v>
      </c>
      <c r="F820" t="s">
        <v>3189</v>
      </c>
      <c r="G820" t="s">
        <v>53</v>
      </c>
      <c r="H820" s="1">
        <v>39420</v>
      </c>
      <c r="I820">
        <v>19</v>
      </c>
      <c r="J820">
        <v>2007</v>
      </c>
      <c r="K820" s="1">
        <v>45401</v>
      </c>
      <c r="L820">
        <v>2024</v>
      </c>
      <c r="M820" t="s">
        <v>54</v>
      </c>
      <c r="N820">
        <v>18</v>
      </c>
      <c r="O820" t="s">
        <v>139</v>
      </c>
      <c r="P820" t="s">
        <v>69</v>
      </c>
      <c r="Q820">
        <v>60</v>
      </c>
      <c r="R820">
        <v>6</v>
      </c>
      <c r="S820" t="s">
        <v>140</v>
      </c>
      <c r="T820" t="s">
        <v>141</v>
      </c>
      <c r="U820">
        <v>4</v>
      </c>
      <c r="V820">
        <v>4</v>
      </c>
      <c r="W820">
        <v>4</v>
      </c>
      <c r="X820">
        <v>4</v>
      </c>
      <c r="Y820">
        <v>1</v>
      </c>
      <c r="Z820">
        <v>4</v>
      </c>
      <c r="AA820">
        <v>2.75</v>
      </c>
      <c r="AB820">
        <v>11</v>
      </c>
      <c r="AC820" t="s">
        <v>540</v>
      </c>
      <c r="AD820" t="s">
        <v>112</v>
      </c>
      <c r="AE820">
        <v>0</v>
      </c>
      <c r="AF820">
        <v>0</v>
      </c>
      <c r="AG820">
        <v>1</v>
      </c>
      <c r="AH820">
        <v>1</v>
      </c>
      <c r="AI820">
        <v>0</v>
      </c>
      <c r="AJ820">
        <v>1</v>
      </c>
      <c r="AK820">
        <v>1</v>
      </c>
      <c r="AL820">
        <v>0</v>
      </c>
      <c r="AM820">
        <v>0</v>
      </c>
      <c r="AN820">
        <v>0</v>
      </c>
      <c r="AO820">
        <v>4</v>
      </c>
      <c r="AP820">
        <v>0</v>
      </c>
      <c r="AQ820">
        <v>100</v>
      </c>
      <c r="AR820" s="2">
        <v>45729.053310185183</v>
      </c>
      <c r="AS820" s="2">
        <v>45974.615636574075</v>
      </c>
      <c r="AT820" t="s">
        <v>62</v>
      </c>
      <c r="AU820" t="s">
        <v>62</v>
      </c>
      <c r="AV820">
        <v>245</v>
      </c>
    </row>
    <row r="821" spans="1:48" x14ac:dyDescent="0.25">
      <c r="A821">
        <v>923</v>
      </c>
      <c r="B821" t="s">
        <v>3190</v>
      </c>
      <c r="C821" t="s">
        <v>374</v>
      </c>
      <c r="D821" t="s">
        <v>3191</v>
      </c>
      <c r="E821" t="s">
        <v>3192</v>
      </c>
      <c r="F821" t="s">
        <v>3193</v>
      </c>
      <c r="G821" t="s">
        <v>53</v>
      </c>
      <c r="H821" s="1">
        <v>37048</v>
      </c>
      <c r="I821">
        <v>25</v>
      </c>
      <c r="J821">
        <v>2001</v>
      </c>
      <c r="K821" s="1">
        <v>45522</v>
      </c>
      <c r="L821">
        <v>2024</v>
      </c>
      <c r="M821" t="s">
        <v>54</v>
      </c>
      <c r="N821">
        <v>19</v>
      </c>
      <c r="O821" t="s">
        <v>162</v>
      </c>
      <c r="P821" t="s">
        <v>119</v>
      </c>
      <c r="Q821">
        <v>120</v>
      </c>
      <c r="R821">
        <v>7</v>
      </c>
      <c r="S821" t="s">
        <v>163</v>
      </c>
      <c r="T821" t="s">
        <v>164</v>
      </c>
      <c r="U821">
        <v>4</v>
      </c>
      <c r="V821">
        <v>4</v>
      </c>
      <c r="W821">
        <v>4</v>
      </c>
      <c r="X821">
        <v>4</v>
      </c>
      <c r="Y821">
        <v>1</v>
      </c>
      <c r="Z821">
        <v>4</v>
      </c>
      <c r="AA821">
        <v>2.125</v>
      </c>
      <c r="AB821">
        <v>8.5</v>
      </c>
      <c r="AC821" t="s">
        <v>70</v>
      </c>
      <c r="AD821" t="s">
        <v>60</v>
      </c>
      <c r="AE821">
        <v>1</v>
      </c>
      <c r="AF821">
        <v>0</v>
      </c>
      <c r="AG821">
        <v>0</v>
      </c>
      <c r="AH821">
        <v>0</v>
      </c>
      <c r="AI821">
        <v>0</v>
      </c>
      <c r="AJ821">
        <v>1</v>
      </c>
      <c r="AK821">
        <v>1</v>
      </c>
      <c r="AL821">
        <v>0</v>
      </c>
      <c r="AM821">
        <v>0</v>
      </c>
      <c r="AN821">
        <v>1</v>
      </c>
      <c r="AO821">
        <v>3</v>
      </c>
      <c r="AP821">
        <v>1</v>
      </c>
      <c r="AQ821">
        <v>75</v>
      </c>
      <c r="AR821" s="2">
        <v>45722.620949074073</v>
      </c>
      <c r="AS821" s="2">
        <v>46018.209837962961</v>
      </c>
      <c r="AT821" t="s">
        <v>1357</v>
      </c>
      <c r="AU821" t="s">
        <v>1357</v>
      </c>
      <c r="AV821">
        <v>296</v>
      </c>
    </row>
    <row r="822" spans="1:48" x14ac:dyDescent="0.25">
      <c r="A822">
        <v>225</v>
      </c>
      <c r="B822" t="s">
        <v>3194</v>
      </c>
      <c r="C822" t="s">
        <v>627</v>
      </c>
      <c r="D822" t="s">
        <v>3195</v>
      </c>
      <c r="E822" t="s">
        <v>3196</v>
      </c>
      <c r="F822" t="s">
        <v>3197</v>
      </c>
      <c r="G822" t="s">
        <v>104</v>
      </c>
      <c r="H822" s="1">
        <v>38930</v>
      </c>
      <c r="I822">
        <v>20</v>
      </c>
      <c r="J822">
        <v>2006</v>
      </c>
      <c r="K822" s="1">
        <v>45242</v>
      </c>
      <c r="L822">
        <v>2023</v>
      </c>
      <c r="M822" t="s">
        <v>54</v>
      </c>
      <c r="N822">
        <v>15</v>
      </c>
      <c r="O822" t="s">
        <v>91</v>
      </c>
      <c r="P822" t="s">
        <v>69</v>
      </c>
      <c r="Q822">
        <v>60</v>
      </c>
      <c r="R822">
        <v>5</v>
      </c>
      <c r="S822" t="s">
        <v>92</v>
      </c>
      <c r="T822" t="s">
        <v>93</v>
      </c>
      <c r="U822">
        <v>4</v>
      </c>
      <c r="V822">
        <v>4</v>
      </c>
      <c r="W822">
        <v>4</v>
      </c>
      <c r="X822">
        <v>4</v>
      </c>
      <c r="Y822">
        <v>1</v>
      </c>
      <c r="Z822">
        <v>3</v>
      </c>
      <c r="AA822">
        <v>2.5</v>
      </c>
      <c r="AB822">
        <v>7.5</v>
      </c>
      <c r="AC822" t="s">
        <v>1061</v>
      </c>
      <c r="AD822" t="s">
        <v>281</v>
      </c>
      <c r="AE822">
        <v>0</v>
      </c>
      <c r="AF822">
        <v>0</v>
      </c>
      <c r="AG822">
        <v>1</v>
      </c>
      <c r="AH822">
        <v>0</v>
      </c>
      <c r="AI822">
        <v>0</v>
      </c>
      <c r="AJ822">
        <v>0</v>
      </c>
      <c r="AK822">
        <v>2</v>
      </c>
      <c r="AL822">
        <v>0</v>
      </c>
      <c r="AM822">
        <v>0</v>
      </c>
      <c r="AN822">
        <v>0</v>
      </c>
      <c r="AO822">
        <v>3</v>
      </c>
      <c r="AP822">
        <v>0</v>
      </c>
      <c r="AQ822">
        <v>100</v>
      </c>
      <c r="AR822" s="2">
        <v>45754.544270833336</v>
      </c>
      <c r="AS822" s="2">
        <v>45982.037708333337</v>
      </c>
      <c r="AT822" t="s">
        <v>1357</v>
      </c>
      <c r="AU822" t="s">
        <v>1357</v>
      </c>
      <c r="AV822">
        <v>228</v>
      </c>
    </row>
    <row r="823" spans="1:48" x14ac:dyDescent="0.25">
      <c r="A823">
        <v>12</v>
      </c>
      <c r="B823" t="s">
        <v>3198</v>
      </c>
      <c r="C823" t="s">
        <v>191</v>
      </c>
      <c r="D823" t="s">
        <v>347</v>
      </c>
      <c r="E823" t="s">
        <v>3199</v>
      </c>
      <c r="F823" t="s">
        <v>3200</v>
      </c>
      <c r="G823" t="s">
        <v>53</v>
      </c>
      <c r="H823" s="1">
        <v>36404</v>
      </c>
      <c r="I823">
        <v>27</v>
      </c>
      <c r="J823">
        <v>1999</v>
      </c>
      <c r="K823" s="1">
        <v>45773</v>
      </c>
      <c r="L823">
        <v>2025</v>
      </c>
      <c r="M823" t="s">
        <v>54</v>
      </c>
      <c r="N823">
        <v>3</v>
      </c>
      <c r="O823" t="s">
        <v>68</v>
      </c>
      <c r="P823" t="s">
        <v>69</v>
      </c>
      <c r="Q823">
        <v>60</v>
      </c>
      <c r="R823">
        <v>1</v>
      </c>
      <c r="S823" t="s">
        <v>57</v>
      </c>
      <c r="T823" t="s">
        <v>58</v>
      </c>
      <c r="U823">
        <v>4</v>
      </c>
      <c r="V823">
        <v>4</v>
      </c>
      <c r="W823">
        <v>4</v>
      </c>
      <c r="X823">
        <v>4</v>
      </c>
      <c r="Y823">
        <v>1</v>
      </c>
      <c r="Z823">
        <v>1</v>
      </c>
      <c r="AA823">
        <v>3.5</v>
      </c>
      <c r="AB823">
        <v>3.5</v>
      </c>
      <c r="AC823" t="s">
        <v>281</v>
      </c>
      <c r="AD823" t="s">
        <v>281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1</v>
      </c>
      <c r="AP823">
        <v>0</v>
      </c>
      <c r="AQ823">
        <v>100</v>
      </c>
      <c r="AR823" s="2">
        <v>45789.522453703707</v>
      </c>
      <c r="AS823" s="2">
        <v>46055.926817129628</v>
      </c>
      <c r="AT823" t="s">
        <v>1357</v>
      </c>
      <c r="AU823" t="s">
        <v>1357</v>
      </c>
      <c r="AV823">
        <v>266</v>
      </c>
    </row>
    <row r="824" spans="1:48" x14ac:dyDescent="0.25">
      <c r="A824">
        <v>677</v>
      </c>
      <c r="B824" t="s">
        <v>3201</v>
      </c>
      <c r="C824" t="s">
        <v>1480</v>
      </c>
      <c r="D824" t="s">
        <v>510</v>
      </c>
      <c r="E824" t="s">
        <v>3202</v>
      </c>
      <c r="F824" t="s">
        <v>3203</v>
      </c>
      <c r="G824" t="s">
        <v>104</v>
      </c>
      <c r="H824" s="1">
        <v>37105</v>
      </c>
      <c r="I824">
        <v>25</v>
      </c>
      <c r="J824">
        <v>2001</v>
      </c>
      <c r="K824" s="1">
        <v>44751</v>
      </c>
      <c r="L824">
        <v>2022</v>
      </c>
      <c r="M824" t="s">
        <v>111</v>
      </c>
      <c r="N824">
        <v>15</v>
      </c>
      <c r="O824" t="s">
        <v>91</v>
      </c>
      <c r="P824" t="s">
        <v>69</v>
      </c>
      <c r="Q824">
        <v>60</v>
      </c>
      <c r="R824">
        <v>5</v>
      </c>
      <c r="S824" t="s">
        <v>92</v>
      </c>
      <c r="T824" t="s">
        <v>93</v>
      </c>
      <c r="U824">
        <v>4</v>
      </c>
      <c r="V824">
        <v>4</v>
      </c>
      <c r="W824">
        <v>4</v>
      </c>
      <c r="X824">
        <v>3</v>
      </c>
      <c r="Y824">
        <v>1</v>
      </c>
      <c r="Z824">
        <v>4</v>
      </c>
      <c r="AA824">
        <v>2.75</v>
      </c>
      <c r="AB824">
        <v>11</v>
      </c>
      <c r="AC824" t="s">
        <v>1061</v>
      </c>
      <c r="AD824" t="s">
        <v>112</v>
      </c>
      <c r="AE824">
        <v>0</v>
      </c>
      <c r="AF824">
        <v>0</v>
      </c>
      <c r="AG824">
        <v>0</v>
      </c>
      <c r="AH824">
        <v>3</v>
      </c>
      <c r="AI824">
        <v>0</v>
      </c>
      <c r="AJ824">
        <v>0</v>
      </c>
      <c r="AK824">
        <v>1</v>
      </c>
      <c r="AL824">
        <v>0</v>
      </c>
      <c r="AM824">
        <v>0</v>
      </c>
      <c r="AN824">
        <v>0</v>
      </c>
      <c r="AO824">
        <v>4</v>
      </c>
      <c r="AP824">
        <v>0</v>
      </c>
      <c r="AQ824">
        <v>100</v>
      </c>
      <c r="AR824" s="2">
        <v>45736.718564814815</v>
      </c>
      <c r="AS824" s="2">
        <v>45976.45207175926</v>
      </c>
      <c r="AT824" t="s">
        <v>62</v>
      </c>
      <c r="AU824" t="s">
        <v>62</v>
      </c>
      <c r="AV824">
        <v>240</v>
      </c>
    </row>
    <row r="825" spans="1:48" x14ac:dyDescent="0.25">
      <c r="A825">
        <v>412</v>
      </c>
      <c r="B825" t="s">
        <v>3204</v>
      </c>
      <c r="C825" t="s">
        <v>3205</v>
      </c>
      <c r="D825" t="s">
        <v>1068</v>
      </c>
      <c r="E825" t="s">
        <v>3206</v>
      </c>
      <c r="F825" t="s">
        <v>3207</v>
      </c>
      <c r="G825" t="s">
        <v>104</v>
      </c>
      <c r="H825" s="1">
        <v>36486</v>
      </c>
      <c r="I825">
        <v>27</v>
      </c>
      <c r="J825">
        <v>1999</v>
      </c>
      <c r="K825" s="1">
        <v>45670</v>
      </c>
      <c r="L825">
        <v>2025</v>
      </c>
      <c r="M825" t="s">
        <v>54</v>
      </c>
      <c r="N825">
        <v>11</v>
      </c>
      <c r="O825" t="s">
        <v>378</v>
      </c>
      <c r="P825" t="s">
        <v>56</v>
      </c>
      <c r="Q825">
        <v>36</v>
      </c>
      <c r="R825">
        <v>4</v>
      </c>
      <c r="S825" t="s">
        <v>77</v>
      </c>
      <c r="T825" t="s">
        <v>78</v>
      </c>
      <c r="U825">
        <v>4</v>
      </c>
      <c r="V825">
        <v>4</v>
      </c>
      <c r="W825">
        <v>4</v>
      </c>
      <c r="X825">
        <v>4</v>
      </c>
      <c r="Y825">
        <v>1</v>
      </c>
      <c r="Z825">
        <v>3</v>
      </c>
      <c r="AA825">
        <v>3.5</v>
      </c>
      <c r="AB825">
        <v>10.5</v>
      </c>
      <c r="AC825" t="s">
        <v>540</v>
      </c>
      <c r="AD825" t="s">
        <v>60</v>
      </c>
      <c r="AE825">
        <v>2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0</v>
      </c>
      <c r="AM825">
        <v>0</v>
      </c>
      <c r="AN825">
        <v>0</v>
      </c>
      <c r="AO825">
        <v>3</v>
      </c>
      <c r="AP825">
        <v>0</v>
      </c>
      <c r="AQ825">
        <v>100</v>
      </c>
      <c r="AR825" s="2">
        <v>45741.951701388891</v>
      </c>
      <c r="AS825" s="2">
        <v>46049.890740740739</v>
      </c>
      <c r="AT825" t="s">
        <v>1357</v>
      </c>
      <c r="AU825" t="s">
        <v>1357</v>
      </c>
      <c r="AV825">
        <v>308</v>
      </c>
    </row>
    <row r="826" spans="1:48" x14ac:dyDescent="0.25">
      <c r="A826">
        <v>589</v>
      </c>
      <c r="B826" t="s">
        <v>3208</v>
      </c>
      <c r="C826" t="s">
        <v>1015</v>
      </c>
      <c r="D826" t="s">
        <v>3033</v>
      </c>
      <c r="E826" t="s">
        <v>3209</v>
      </c>
      <c r="F826" t="s">
        <v>3210</v>
      </c>
      <c r="G826" t="s">
        <v>53</v>
      </c>
      <c r="H826" s="1">
        <v>36063</v>
      </c>
      <c r="I826">
        <v>28</v>
      </c>
      <c r="J826">
        <v>1998</v>
      </c>
      <c r="K826" s="1">
        <v>44744</v>
      </c>
      <c r="L826">
        <v>2022</v>
      </c>
      <c r="M826" t="s">
        <v>54</v>
      </c>
      <c r="N826">
        <v>12</v>
      </c>
      <c r="O826" t="s">
        <v>76</v>
      </c>
      <c r="P826" t="s">
        <v>69</v>
      </c>
      <c r="Q826">
        <v>60</v>
      </c>
      <c r="R826">
        <v>4</v>
      </c>
      <c r="S826" t="s">
        <v>77</v>
      </c>
      <c r="T826" t="s">
        <v>78</v>
      </c>
      <c r="U826">
        <v>4</v>
      </c>
      <c r="V826">
        <v>4</v>
      </c>
      <c r="W826">
        <v>4</v>
      </c>
      <c r="X826">
        <v>4</v>
      </c>
      <c r="Y826">
        <v>1</v>
      </c>
      <c r="Z826">
        <v>4</v>
      </c>
      <c r="AA826">
        <v>2.875</v>
      </c>
      <c r="AB826">
        <v>11.5</v>
      </c>
      <c r="AC826" t="s">
        <v>540</v>
      </c>
      <c r="AD826" t="s">
        <v>60</v>
      </c>
      <c r="AE826">
        <v>1</v>
      </c>
      <c r="AF826">
        <v>0</v>
      </c>
      <c r="AG826">
        <v>0</v>
      </c>
      <c r="AH826">
        <v>1</v>
      </c>
      <c r="AI826">
        <v>0</v>
      </c>
      <c r="AJ826">
        <v>1</v>
      </c>
      <c r="AK826">
        <v>1</v>
      </c>
      <c r="AL826">
        <v>0</v>
      </c>
      <c r="AM826">
        <v>0</v>
      </c>
      <c r="AN826">
        <v>0</v>
      </c>
      <c r="AO826">
        <v>4</v>
      </c>
      <c r="AP826">
        <v>0</v>
      </c>
      <c r="AQ826">
        <v>100</v>
      </c>
      <c r="AR826" s="2">
        <v>45767.183229166665</v>
      </c>
      <c r="AS826" s="2">
        <v>45927.075659722221</v>
      </c>
      <c r="AT826" t="s">
        <v>62</v>
      </c>
      <c r="AU826" t="s">
        <v>62</v>
      </c>
      <c r="AV826">
        <v>160</v>
      </c>
    </row>
    <row r="827" spans="1:48" x14ac:dyDescent="0.25">
      <c r="A827">
        <v>57</v>
      </c>
      <c r="B827" t="s">
        <v>3211</v>
      </c>
      <c r="C827" t="s">
        <v>1414</v>
      </c>
      <c r="D827" t="s">
        <v>342</v>
      </c>
      <c r="E827" t="s">
        <v>3212</v>
      </c>
      <c r="F827" t="s">
        <v>3213</v>
      </c>
      <c r="G827" t="s">
        <v>53</v>
      </c>
      <c r="H827" s="1">
        <v>35051</v>
      </c>
      <c r="I827">
        <v>31</v>
      </c>
      <c r="J827">
        <v>1995</v>
      </c>
      <c r="K827" s="1">
        <v>45324</v>
      </c>
      <c r="L827">
        <v>2024</v>
      </c>
      <c r="M827" t="s">
        <v>54</v>
      </c>
      <c r="N827">
        <v>2</v>
      </c>
      <c r="O827" t="s">
        <v>55</v>
      </c>
      <c r="P827" t="s">
        <v>56</v>
      </c>
      <c r="Q827">
        <v>36</v>
      </c>
      <c r="R827">
        <v>1</v>
      </c>
      <c r="S827" t="s">
        <v>57</v>
      </c>
      <c r="T827" t="s">
        <v>58</v>
      </c>
      <c r="U827">
        <v>4</v>
      </c>
      <c r="V827">
        <v>4</v>
      </c>
      <c r="W827">
        <v>4</v>
      </c>
      <c r="X827">
        <v>4</v>
      </c>
      <c r="Y827">
        <v>1</v>
      </c>
      <c r="Z827">
        <v>4</v>
      </c>
      <c r="AA827">
        <v>2.625</v>
      </c>
      <c r="AB827">
        <v>10.5</v>
      </c>
      <c r="AC827" t="s">
        <v>540</v>
      </c>
      <c r="AD827" t="s">
        <v>281</v>
      </c>
      <c r="AE827">
        <v>0</v>
      </c>
      <c r="AF827">
        <v>0</v>
      </c>
      <c r="AG827">
        <v>1</v>
      </c>
      <c r="AH827">
        <v>0</v>
      </c>
      <c r="AI827">
        <v>0</v>
      </c>
      <c r="AJ827">
        <v>2</v>
      </c>
      <c r="AK827">
        <v>1</v>
      </c>
      <c r="AL827">
        <v>0</v>
      </c>
      <c r="AM827">
        <v>0</v>
      </c>
      <c r="AN827">
        <v>0</v>
      </c>
      <c r="AO827">
        <v>4</v>
      </c>
      <c r="AP827">
        <v>0</v>
      </c>
      <c r="AQ827">
        <v>100</v>
      </c>
      <c r="AR827" s="2">
        <v>45724.561006944445</v>
      </c>
      <c r="AS827" s="2">
        <v>45949.770266203705</v>
      </c>
      <c r="AT827" t="s">
        <v>61</v>
      </c>
      <c r="AU827" t="s">
        <v>61</v>
      </c>
      <c r="AV827">
        <v>225</v>
      </c>
    </row>
    <row r="828" spans="1:48" x14ac:dyDescent="0.25">
      <c r="A828">
        <v>246</v>
      </c>
      <c r="B828" t="s">
        <v>3214</v>
      </c>
      <c r="C828" t="s">
        <v>501</v>
      </c>
      <c r="D828" t="s">
        <v>756</v>
      </c>
      <c r="E828" t="s">
        <v>3215</v>
      </c>
      <c r="F828" t="s">
        <v>3216</v>
      </c>
      <c r="G828" t="s">
        <v>53</v>
      </c>
      <c r="H828" s="1">
        <v>36483</v>
      </c>
      <c r="I828">
        <v>27</v>
      </c>
      <c r="J828">
        <v>1999</v>
      </c>
      <c r="K828" s="1">
        <v>45672</v>
      </c>
      <c r="L828">
        <v>2025</v>
      </c>
      <c r="M828" t="s">
        <v>54</v>
      </c>
      <c r="N828">
        <v>4</v>
      </c>
      <c r="O828" t="s">
        <v>215</v>
      </c>
      <c r="P828" t="s">
        <v>119</v>
      </c>
      <c r="Q828">
        <v>120</v>
      </c>
      <c r="R828">
        <v>2</v>
      </c>
      <c r="S828" t="s">
        <v>85</v>
      </c>
      <c r="T828" t="s">
        <v>86</v>
      </c>
      <c r="U828">
        <v>4</v>
      </c>
      <c r="V828">
        <v>4</v>
      </c>
      <c r="W828">
        <v>4</v>
      </c>
      <c r="X828">
        <v>4</v>
      </c>
      <c r="Y828">
        <v>1</v>
      </c>
      <c r="Z828">
        <v>2</v>
      </c>
      <c r="AA828">
        <v>1.25</v>
      </c>
      <c r="AB828">
        <v>2.5</v>
      </c>
      <c r="AC828" t="s">
        <v>70</v>
      </c>
      <c r="AD828" t="s">
        <v>540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1</v>
      </c>
      <c r="AQ828">
        <v>50</v>
      </c>
      <c r="AR828" s="2">
        <v>45826.16988425926</v>
      </c>
      <c r="AS828" s="2">
        <v>46000.070636574077</v>
      </c>
      <c r="AT828" t="s">
        <v>1357</v>
      </c>
      <c r="AU828" t="s">
        <v>1357</v>
      </c>
      <c r="AV828">
        <v>174</v>
      </c>
    </row>
    <row r="829" spans="1:48" x14ac:dyDescent="0.25">
      <c r="A829">
        <v>855</v>
      </c>
      <c r="B829" t="s">
        <v>3217</v>
      </c>
      <c r="C829" t="s">
        <v>206</v>
      </c>
      <c r="D829" t="s">
        <v>3218</v>
      </c>
      <c r="E829" t="s">
        <v>3219</v>
      </c>
      <c r="F829" t="s">
        <v>3220</v>
      </c>
      <c r="G829" t="s">
        <v>104</v>
      </c>
      <c r="H829" s="1">
        <v>36045</v>
      </c>
      <c r="I829">
        <v>28</v>
      </c>
      <c r="J829">
        <v>1998</v>
      </c>
      <c r="K829" s="1">
        <v>45651</v>
      </c>
      <c r="L829">
        <v>2024</v>
      </c>
      <c r="M829" t="s">
        <v>54</v>
      </c>
      <c r="N829">
        <v>19</v>
      </c>
      <c r="O829" t="s">
        <v>162</v>
      </c>
      <c r="P829" t="s">
        <v>119</v>
      </c>
      <c r="Q829">
        <v>120</v>
      </c>
      <c r="R829">
        <v>7</v>
      </c>
      <c r="S829" t="s">
        <v>163</v>
      </c>
      <c r="T829" t="s">
        <v>164</v>
      </c>
      <c r="U829">
        <v>4</v>
      </c>
      <c r="V829">
        <v>4</v>
      </c>
      <c r="W829">
        <v>4</v>
      </c>
      <c r="X829">
        <v>4</v>
      </c>
      <c r="Y829">
        <v>1</v>
      </c>
      <c r="Z829">
        <v>2</v>
      </c>
      <c r="AA829">
        <v>2.75</v>
      </c>
      <c r="AB829">
        <v>5.5</v>
      </c>
      <c r="AC829" t="s">
        <v>540</v>
      </c>
      <c r="AD829" t="s">
        <v>112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1</v>
      </c>
      <c r="AK829">
        <v>0</v>
      </c>
      <c r="AL829">
        <v>0</v>
      </c>
      <c r="AM829">
        <v>0</v>
      </c>
      <c r="AN829">
        <v>0</v>
      </c>
      <c r="AO829">
        <v>2</v>
      </c>
      <c r="AP829">
        <v>0</v>
      </c>
      <c r="AQ829">
        <v>100</v>
      </c>
      <c r="AR829" s="2">
        <v>45761.560370370367</v>
      </c>
      <c r="AS829" s="2">
        <v>46018.511261574073</v>
      </c>
      <c r="AT829" t="s">
        <v>1357</v>
      </c>
      <c r="AU829" t="s">
        <v>1357</v>
      </c>
      <c r="AV829">
        <v>257</v>
      </c>
    </row>
    <row r="830" spans="1:48" x14ac:dyDescent="0.25">
      <c r="A830">
        <v>706</v>
      </c>
      <c r="B830" t="s">
        <v>3221</v>
      </c>
      <c r="C830" t="s">
        <v>1031</v>
      </c>
      <c r="D830" t="s">
        <v>3222</v>
      </c>
      <c r="E830" t="s">
        <v>3223</v>
      </c>
      <c r="F830" t="s">
        <v>3224</v>
      </c>
      <c r="G830" t="s">
        <v>104</v>
      </c>
      <c r="H830" s="1">
        <v>39122</v>
      </c>
      <c r="I830">
        <v>19</v>
      </c>
      <c r="J830">
        <v>2007</v>
      </c>
      <c r="K830" s="1">
        <v>44891</v>
      </c>
      <c r="L830">
        <v>2022</v>
      </c>
      <c r="M830" t="s">
        <v>54</v>
      </c>
      <c r="N830">
        <v>18</v>
      </c>
      <c r="O830" t="s">
        <v>139</v>
      </c>
      <c r="P830" t="s">
        <v>69</v>
      </c>
      <c r="Q830">
        <v>60</v>
      </c>
      <c r="R830">
        <v>6</v>
      </c>
      <c r="S830" t="s">
        <v>140</v>
      </c>
      <c r="T830" t="s">
        <v>141</v>
      </c>
      <c r="U830">
        <v>4</v>
      </c>
      <c r="V830">
        <v>4</v>
      </c>
      <c r="W830">
        <v>4</v>
      </c>
      <c r="X830">
        <v>3</v>
      </c>
      <c r="Y830">
        <v>1</v>
      </c>
      <c r="Z830">
        <v>4</v>
      </c>
      <c r="AA830">
        <v>2.25</v>
      </c>
      <c r="AB830">
        <v>9</v>
      </c>
      <c r="AC830" t="s">
        <v>59</v>
      </c>
      <c r="AD830" t="s">
        <v>60</v>
      </c>
      <c r="AE830">
        <v>1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2</v>
      </c>
      <c r="AN830">
        <v>0</v>
      </c>
      <c r="AO830">
        <v>4</v>
      </c>
      <c r="AP830">
        <v>0</v>
      </c>
      <c r="AQ830">
        <v>100</v>
      </c>
      <c r="AR830" s="2">
        <v>45747.293726851851</v>
      </c>
      <c r="AS830" s="2">
        <v>45939.642835648148</v>
      </c>
      <c r="AT830" t="s">
        <v>61</v>
      </c>
      <c r="AU830" t="s">
        <v>61</v>
      </c>
      <c r="AV830">
        <v>192</v>
      </c>
    </row>
    <row r="831" spans="1:48" x14ac:dyDescent="0.25">
      <c r="A831">
        <v>257</v>
      </c>
      <c r="B831" t="s">
        <v>3225</v>
      </c>
      <c r="C831" t="s">
        <v>1714</v>
      </c>
      <c r="D831" t="s">
        <v>2379</v>
      </c>
      <c r="E831" t="s">
        <v>3226</v>
      </c>
      <c r="F831" t="s">
        <v>3227</v>
      </c>
      <c r="G831" t="s">
        <v>53</v>
      </c>
      <c r="H831" s="1">
        <v>36413</v>
      </c>
      <c r="I831">
        <v>27</v>
      </c>
      <c r="J831">
        <v>1999</v>
      </c>
      <c r="K831" s="1">
        <v>45816</v>
      </c>
      <c r="L831">
        <v>2025</v>
      </c>
      <c r="M831" t="s">
        <v>54</v>
      </c>
      <c r="N831">
        <v>13</v>
      </c>
      <c r="O831" t="s">
        <v>146</v>
      </c>
      <c r="P831" t="s">
        <v>119</v>
      </c>
      <c r="Q831">
        <v>120</v>
      </c>
      <c r="R831">
        <v>5</v>
      </c>
      <c r="S831" t="s">
        <v>92</v>
      </c>
      <c r="T831" t="s">
        <v>93</v>
      </c>
      <c r="U831">
        <v>4</v>
      </c>
      <c r="V831">
        <v>4</v>
      </c>
      <c r="W831">
        <v>4</v>
      </c>
      <c r="X831">
        <v>4</v>
      </c>
      <c r="Y831">
        <v>1</v>
      </c>
      <c r="Z831">
        <v>4</v>
      </c>
      <c r="AA831">
        <v>3.125</v>
      </c>
      <c r="AB831">
        <v>12.5</v>
      </c>
      <c r="AC831" t="s">
        <v>540</v>
      </c>
      <c r="AD831" t="s">
        <v>60</v>
      </c>
      <c r="AE831">
        <v>2</v>
      </c>
      <c r="AF831">
        <v>0</v>
      </c>
      <c r="AG831">
        <v>0</v>
      </c>
      <c r="AH831">
        <v>0</v>
      </c>
      <c r="AI831">
        <v>0</v>
      </c>
      <c r="AJ831">
        <v>1</v>
      </c>
      <c r="AK831">
        <v>1</v>
      </c>
      <c r="AL831">
        <v>0</v>
      </c>
      <c r="AM831">
        <v>0</v>
      </c>
      <c r="AN831">
        <v>0</v>
      </c>
      <c r="AO831">
        <v>4</v>
      </c>
      <c r="AP831">
        <v>0</v>
      </c>
      <c r="AQ831">
        <v>100</v>
      </c>
      <c r="AR831" s="2">
        <v>45853.03434027778</v>
      </c>
      <c r="AS831" s="2">
        <v>46067.246446759258</v>
      </c>
      <c r="AT831" t="s">
        <v>61</v>
      </c>
      <c r="AU831" t="s">
        <v>61</v>
      </c>
      <c r="AV831">
        <v>214</v>
      </c>
    </row>
    <row r="832" spans="1:48" x14ac:dyDescent="0.25">
      <c r="A832">
        <v>163</v>
      </c>
      <c r="B832" t="s">
        <v>3228</v>
      </c>
      <c r="C832" t="s">
        <v>1571</v>
      </c>
      <c r="D832" t="s">
        <v>1117</v>
      </c>
      <c r="E832" t="s">
        <v>3229</v>
      </c>
      <c r="F832" t="s">
        <v>3230</v>
      </c>
      <c r="G832" t="s">
        <v>104</v>
      </c>
      <c r="H832" s="1">
        <v>35330</v>
      </c>
      <c r="I832">
        <v>30</v>
      </c>
      <c r="J832">
        <v>1996</v>
      </c>
      <c r="K832" s="1">
        <v>45659</v>
      </c>
      <c r="L832">
        <v>2025</v>
      </c>
      <c r="M832" t="s">
        <v>111</v>
      </c>
      <c r="N832">
        <v>20</v>
      </c>
      <c r="O832" t="s">
        <v>180</v>
      </c>
      <c r="P832" t="s">
        <v>56</v>
      </c>
      <c r="Q832">
        <v>36</v>
      </c>
      <c r="R832">
        <v>7</v>
      </c>
      <c r="S832" t="s">
        <v>163</v>
      </c>
      <c r="T832" t="s">
        <v>164</v>
      </c>
      <c r="U832">
        <v>4</v>
      </c>
      <c r="V832">
        <v>4</v>
      </c>
      <c r="W832">
        <v>4</v>
      </c>
      <c r="X832">
        <v>4</v>
      </c>
      <c r="Y832">
        <v>1</v>
      </c>
      <c r="Z832">
        <v>4</v>
      </c>
      <c r="AA832">
        <v>2.125</v>
      </c>
      <c r="AB832">
        <v>8.5</v>
      </c>
      <c r="AC832" t="s">
        <v>59</v>
      </c>
      <c r="AD832" t="s">
        <v>60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0</v>
      </c>
      <c r="AM832">
        <v>2</v>
      </c>
      <c r="AN832">
        <v>0</v>
      </c>
      <c r="AO832">
        <v>4</v>
      </c>
      <c r="AP832">
        <v>0</v>
      </c>
      <c r="AQ832">
        <v>100</v>
      </c>
      <c r="AR832" s="2">
        <v>45726.13144675926</v>
      </c>
      <c r="AS832" s="2">
        <v>45957.789641203701</v>
      </c>
      <c r="AT832" t="s">
        <v>62</v>
      </c>
      <c r="AU832" t="s">
        <v>62</v>
      </c>
      <c r="AV832">
        <v>231</v>
      </c>
    </row>
    <row r="833" spans="1:48" x14ac:dyDescent="0.25">
      <c r="A833">
        <v>739</v>
      </c>
      <c r="B833" t="s">
        <v>3231</v>
      </c>
      <c r="C833" t="s">
        <v>248</v>
      </c>
      <c r="D833" t="s">
        <v>2596</v>
      </c>
      <c r="E833" t="s">
        <v>3232</v>
      </c>
      <c r="F833" t="s">
        <v>3233</v>
      </c>
      <c r="G833" t="s">
        <v>104</v>
      </c>
      <c r="H833" s="1">
        <v>35984</v>
      </c>
      <c r="I833">
        <v>28</v>
      </c>
      <c r="J833">
        <v>1998</v>
      </c>
      <c r="K833" s="1">
        <v>44957</v>
      </c>
      <c r="L833">
        <v>2023</v>
      </c>
      <c r="M833" t="s">
        <v>54</v>
      </c>
      <c r="N833">
        <v>5</v>
      </c>
      <c r="O833" t="s">
        <v>84</v>
      </c>
      <c r="P833" t="s">
        <v>56</v>
      </c>
      <c r="Q833">
        <v>36</v>
      </c>
      <c r="R833">
        <v>2</v>
      </c>
      <c r="S833" t="s">
        <v>85</v>
      </c>
      <c r="T833" t="s">
        <v>86</v>
      </c>
      <c r="U833">
        <v>4</v>
      </c>
      <c r="V833">
        <v>4</v>
      </c>
      <c r="W833">
        <v>4</v>
      </c>
      <c r="X833">
        <v>4</v>
      </c>
      <c r="Y833">
        <v>1</v>
      </c>
      <c r="Z833">
        <v>4</v>
      </c>
      <c r="AA833">
        <v>3.125</v>
      </c>
      <c r="AB833">
        <v>12.5</v>
      </c>
      <c r="AC833" t="s">
        <v>540</v>
      </c>
      <c r="AD833" t="s">
        <v>60</v>
      </c>
      <c r="AE833">
        <v>2</v>
      </c>
      <c r="AF833">
        <v>0</v>
      </c>
      <c r="AG833">
        <v>0</v>
      </c>
      <c r="AH833">
        <v>0</v>
      </c>
      <c r="AI833">
        <v>0</v>
      </c>
      <c r="AJ833">
        <v>1</v>
      </c>
      <c r="AK833">
        <v>1</v>
      </c>
      <c r="AL833">
        <v>0</v>
      </c>
      <c r="AM833">
        <v>0</v>
      </c>
      <c r="AN833">
        <v>0</v>
      </c>
      <c r="AO833">
        <v>4</v>
      </c>
      <c r="AP833">
        <v>0</v>
      </c>
      <c r="AQ833">
        <v>100</v>
      </c>
      <c r="AR833" s="2">
        <v>45769.962453703702</v>
      </c>
      <c r="AS833" s="2">
        <v>46074.558055555557</v>
      </c>
      <c r="AT833" t="s">
        <v>62</v>
      </c>
      <c r="AU833" t="s">
        <v>62</v>
      </c>
      <c r="AV833">
        <v>305</v>
      </c>
    </row>
    <row r="834" spans="1:48" x14ac:dyDescent="0.25">
      <c r="A834">
        <v>870</v>
      </c>
      <c r="B834" t="s">
        <v>3234</v>
      </c>
      <c r="C834" t="s">
        <v>315</v>
      </c>
      <c r="D834" t="s">
        <v>1645</v>
      </c>
      <c r="E834" t="s">
        <v>3235</v>
      </c>
      <c r="F834" t="s">
        <v>3236</v>
      </c>
      <c r="G834" t="s">
        <v>104</v>
      </c>
      <c r="H834" s="1">
        <v>36751</v>
      </c>
      <c r="I834">
        <v>26</v>
      </c>
      <c r="J834">
        <v>2000</v>
      </c>
      <c r="K834" s="1">
        <v>44673</v>
      </c>
      <c r="L834">
        <v>2022</v>
      </c>
      <c r="M834" t="s">
        <v>54</v>
      </c>
      <c r="N834">
        <v>8</v>
      </c>
      <c r="O834" t="s">
        <v>125</v>
      </c>
      <c r="P834" t="s">
        <v>56</v>
      </c>
      <c r="Q834">
        <v>36</v>
      </c>
      <c r="R834">
        <v>3</v>
      </c>
      <c r="S834" t="s">
        <v>126</v>
      </c>
      <c r="T834" t="s">
        <v>127</v>
      </c>
      <c r="U834">
        <v>4</v>
      </c>
      <c r="V834">
        <v>4</v>
      </c>
      <c r="W834">
        <v>4</v>
      </c>
      <c r="X834">
        <v>4</v>
      </c>
      <c r="Y834">
        <v>1</v>
      </c>
      <c r="Z834">
        <v>4</v>
      </c>
      <c r="AA834">
        <v>1.25</v>
      </c>
      <c r="AB834">
        <v>5</v>
      </c>
      <c r="AC834" t="s">
        <v>70</v>
      </c>
      <c r="AD834" t="s">
        <v>1061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2</v>
      </c>
      <c r="AL834">
        <v>0</v>
      </c>
      <c r="AM834">
        <v>1</v>
      </c>
      <c r="AN834">
        <v>1</v>
      </c>
      <c r="AO834">
        <v>3</v>
      </c>
      <c r="AP834">
        <v>1</v>
      </c>
      <c r="AQ834">
        <v>75</v>
      </c>
      <c r="AR834" s="2">
        <v>45734.760706018518</v>
      </c>
      <c r="AS834" s="2">
        <v>45870.699189814812</v>
      </c>
      <c r="AT834" t="s">
        <v>61</v>
      </c>
      <c r="AU834" t="s">
        <v>61</v>
      </c>
      <c r="AV834">
        <v>136</v>
      </c>
    </row>
    <row r="835" spans="1:48" x14ac:dyDescent="0.25">
      <c r="A835">
        <v>35</v>
      </c>
      <c r="B835" t="s">
        <v>3237</v>
      </c>
      <c r="C835" t="s">
        <v>135</v>
      </c>
      <c r="D835" t="s">
        <v>3238</v>
      </c>
      <c r="E835" t="s">
        <v>3239</v>
      </c>
      <c r="F835" t="s">
        <v>3240</v>
      </c>
      <c r="G835" t="s">
        <v>53</v>
      </c>
      <c r="H835" s="1">
        <v>35850</v>
      </c>
      <c r="I835">
        <v>28</v>
      </c>
      <c r="J835">
        <v>1998</v>
      </c>
      <c r="K835" s="1">
        <v>45610</v>
      </c>
      <c r="L835">
        <v>2024</v>
      </c>
      <c r="M835" t="s">
        <v>54</v>
      </c>
      <c r="N835">
        <v>12</v>
      </c>
      <c r="O835" t="s">
        <v>76</v>
      </c>
      <c r="P835" t="s">
        <v>69</v>
      </c>
      <c r="Q835">
        <v>60</v>
      </c>
      <c r="R835">
        <v>4</v>
      </c>
      <c r="S835" t="s">
        <v>77</v>
      </c>
      <c r="T835" t="s">
        <v>78</v>
      </c>
      <c r="U835">
        <v>4</v>
      </c>
      <c r="V835">
        <v>4</v>
      </c>
      <c r="W835">
        <v>4</v>
      </c>
      <c r="X835">
        <v>4</v>
      </c>
      <c r="Y835">
        <v>1</v>
      </c>
      <c r="Z835">
        <v>3</v>
      </c>
      <c r="AA835">
        <v>1.666666</v>
      </c>
      <c r="AB835">
        <v>5</v>
      </c>
      <c r="AC835" t="s">
        <v>59</v>
      </c>
      <c r="AD835" t="s">
        <v>1061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2</v>
      </c>
      <c r="AL835">
        <v>0</v>
      </c>
      <c r="AM835">
        <v>1</v>
      </c>
      <c r="AN835">
        <v>0</v>
      </c>
      <c r="AO835">
        <v>3</v>
      </c>
      <c r="AP835">
        <v>0</v>
      </c>
      <c r="AQ835">
        <v>100</v>
      </c>
      <c r="AR835" s="2">
        <v>45854.018587962964</v>
      </c>
      <c r="AS835" s="2">
        <v>45950.641782407409</v>
      </c>
      <c r="AT835" t="s">
        <v>1357</v>
      </c>
      <c r="AU835" t="s">
        <v>1357</v>
      </c>
      <c r="AV835">
        <v>96</v>
      </c>
    </row>
    <row r="836" spans="1:48" x14ac:dyDescent="0.25">
      <c r="A836">
        <v>541</v>
      </c>
      <c r="B836" t="s">
        <v>3241</v>
      </c>
      <c r="C836" t="s">
        <v>1885</v>
      </c>
      <c r="D836" t="s">
        <v>3242</v>
      </c>
      <c r="E836" t="s">
        <v>3243</v>
      </c>
      <c r="F836" t="s">
        <v>3244</v>
      </c>
      <c r="G836" t="s">
        <v>53</v>
      </c>
      <c r="H836" s="1">
        <v>35440</v>
      </c>
      <c r="I836">
        <v>29</v>
      </c>
      <c r="J836">
        <v>1997</v>
      </c>
      <c r="K836" s="1">
        <v>45454</v>
      </c>
      <c r="L836">
        <v>2024</v>
      </c>
      <c r="M836" t="s">
        <v>54</v>
      </c>
      <c r="N836">
        <v>8</v>
      </c>
      <c r="O836" t="s">
        <v>125</v>
      </c>
      <c r="P836" t="s">
        <v>56</v>
      </c>
      <c r="Q836">
        <v>36</v>
      </c>
      <c r="R836">
        <v>3</v>
      </c>
      <c r="S836" t="s">
        <v>126</v>
      </c>
      <c r="T836" t="s">
        <v>127</v>
      </c>
      <c r="U836">
        <v>4</v>
      </c>
      <c r="V836">
        <v>4</v>
      </c>
      <c r="W836">
        <v>4</v>
      </c>
      <c r="X836">
        <v>4</v>
      </c>
      <c r="Y836">
        <v>1</v>
      </c>
      <c r="Z836">
        <v>4</v>
      </c>
      <c r="AA836">
        <v>3.375</v>
      </c>
      <c r="AB836">
        <v>13.5</v>
      </c>
      <c r="AC836" t="s">
        <v>540</v>
      </c>
      <c r="AD836" t="s">
        <v>60</v>
      </c>
      <c r="AE836">
        <v>1</v>
      </c>
      <c r="AF836">
        <v>0</v>
      </c>
      <c r="AG836">
        <v>2</v>
      </c>
      <c r="AH836">
        <v>0</v>
      </c>
      <c r="AI836">
        <v>0</v>
      </c>
      <c r="AJ836">
        <v>1</v>
      </c>
      <c r="AK836">
        <v>0</v>
      </c>
      <c r="AL836">
        <v>0</v>
      </c>
      <c r="AM836">
        <v>0</v>
      </c>
      <c r="AN836">
        <v>0</v>
      </c>
      <c r="AO836">
        <v>4</v>
      </c>
      <c r="AP836">
        <v>0</v>
      </c>
      <c r="AQ836">
        <v>100</v>
      </c>
      <c r="AR836" s="2">
        <v>45849.895243055558</v>
      </c>
      <c r="AS836" s="2">
        <v>46038.079155092593</v>
      </c>
      <c r="AT836" t="s">
        <v>61</v>
      </c>
      <c r="AU836" t="s">
        <v>61</v>
      </c>
      <c r="AV836">
        <v>189</v>
      </c>
    </row>
    <row r="837" spans="1:48" x14ac:dyDescent="0.25">
      <c r="A837">
        <v>442</v>
      </c>
      <c r="B837" t="s">
        <v>3245</v>
      </c>
      <c r="C837" t="s">
        <v>627</v>
      </c>
      <c r="D837" t="s">
        <v>576</v>
      </c>
      <c r="E837" t="s">
        <v>3246</v>
      </c>
      <c r="F837" t="s">
        <v>3247</v>
      </c>
      <c r="G837" t="s">
        <v>104</v>
      </c>
      <c r="H837" s="1">
        <v>38420</v>
      </c>
      <c r="I837">
        <v>21</v>
      </c>
      <c r="J837">
        <v>2005</v>
      </c>
      <c r="K837" s="1">
        <v>45438</v>
      </c>
      <c r="L837">
        <v>2024</v>
      </c>
      <c r="M837" t="s">
        <v>54</v>
      </c>
      <c r="N837">
        <v>10</v>
      </c>
      <c r="O837" t="s">
        <v>118</v>
      </c>
      <c r="P837" t="s">
        <v>119</v>
      </c>
      <c r="Q837">
        <v>120</v>
      </c>
      <c r="R837">
        <v>4</v>
      </c>
      <c r="S837" t="s">
        <v>77</v>
      </c>
      <c r="T837" t="s">
        <v>78</v>
      </c>
      <c r="U837">
        <v>4</v>
      </c>
      <c r="V837">
        <v>4</v>
      </c>
      <c r="W837">
        <v>4</v>
      </c>
      <c r="X837">
        <v>4</v>
      </c>
      <c r="Y837">
        <v>1</v>
      </c>
      <c r="Z837">
        <v>4</v>
      </c>
      <c r="AA837">
        <v>2.25</v>
      </c>
      <c r="AB837">
        <v>9</v>
      </c>
      <c r="AC837" t="s">
        <v>70</v>
      </c>
      <c r="AD837" t="s">
        <v>60</v>
      </c>
      <c r="AE837">
        <v>1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1</v>
      </c>
      <c r="AL837">
        <v>0</v>
      </c>
      <c r="AM837">
        <v>0</v>
      </c>
      <c r="AN837">
        <v>1</v>
      </c>
      <c r="AO837">
        <v>3</v>
      </c>
      <c r="AP837">
        <v>1</v>
      </c>
      <c r="AQ837">
        <v>75</v>
      </c>
      <c r="AR837" s="2">
        <v>45833.633217592593</v>
      </c>
      <c r="AS837" s="2">
        <v>46081.041354166664</v>
      </c>
      <c r="AT837" t="s">
        <v>62</v>
      </c>
      <c r="AU837" t="s">
        <v>62</v>
      </c>
      <c r="AV837">
        <v>248</v>
      </c>
    </row>
    <row r="838" spans="1:48" x14ac:dyDescent="0.25">
      <c r="A838">
        <v>239</v>
      </c>
      <c r="B838" t="s">
        <v>3248</v>
      </c>
      <c r="C838" t="s">
        <v>496</v>
      </c>
      <c r="D838" t="s">
        <v>450</v>
      </c>
      <c r="E838" t="s">
        <v>3249</v>
      </c>
      <c r="F838" t="s">
        <v>3250</v>
      </c>
      <c r="G838" t="s">
        <v>53</v>
      </c>
      <c r="H838" s="1">
        <v>38598</v>
      </c>
      <c r="I838">
        <v>21</v>
      </c>
      <c r="J838">
        <v>2005</v>
      </c>
      <c r="K838" s="1">
        <v>46025</v>
      </c>
      <c r="L838">
        <v>2026</v>
      </c>
      <c r="M838" t="s">
        <v>54</v>
      </c>
      <c r="N838">
        <v>21</v>
      </c>
      <c r="O838" t="s">
        <v>339</v>
      </c>
      <c r="P838" t="s">
        <v>69</v>
      </c>
      <c r="Q838">
        <v>60</v>
      </c>
      <c r="R838">
        <v>7</v>
      </c>
      <c r="S838" t="s">
        <v>163</v>
      </c>
      <c r="T838" t="s">
        <v>164</v>
      </c>
      <c r="U838">
        <v>4</v>
      </c>
      <c r="V838">
        <v>4</v>
      </c>
      <c r="W838">
        <v>4</v>
      </c>
      <c r="X838">
        <v>4</v>
      </c>
      <c r="Y838">
        <v>1</v>
      </c>
      <c r="Z838">
        <v>4</v>
      </c>
      <c r="AA838">
        <v>1.75</v>
      </c>
      <c r="AB838">
        <v>7</v>
      </c>
      <c r="AC838" t="s">
        <v>70</v>
      </c>
      <c r="AD838" t="s">
        <v>112</v>
      </c>
      <c r="AE838">
        <v>0</v>
      </c>
      <c r="AF838">
        <v>0</v>
      </c>
      <c r="AG838">
        <v>0</v>
      </c>
      <c r="AH838">
        <v>2</v>
      </c>
      <c r="AI838">
        <v>0</v>
      </c>
      <c r="AJ838">
        <v>0</v>
      </c>
      <c r="AK838">
        <v>0</v>
      </c>
      <c r="AL838">
        <v>0</v>
      </c>
      <c r="AM838">
        <v>1</v>
      </c>
      <c r="AN838">
        <v>1</v>
      </c>
      <c r="AO838">
        <v>3</v>
      </c>
      <c r="AP838">
        <v>1</v>
      </c>
      <c r="AQ838">
        <v>75</v>
      </c>
      <c r="AR838" s="2">
        <v>45756.414189814815</v>
      </c>
      <c r="AS838" s="2">
        <v>46051.213842592595</v>
      </c>
      <c r="AT838" t="s">
        <v>62</v>
      </c>
      <c r="AU838" t="s">
        <v>62</v>
      </c>
      <c r="AV838">
        <v>295</v>
      </c>
    </row>
    <row r="839" spans="1:48" x14ac:dyDescent="0.25">
      <c r="A839">
        <v>520</v>
      </c>
      <c r="B839" t="s">
        <v>3251</v>
      </c>
      <c r="C839" t="s">
        <v>2280</v>
      </c>
      <c r="D839" t="s">
        <v>3252</v>
      </c>
      <c r="E839" t="s">
        <v>3253</v>
      </c>
      <c r="F839" t="s">
        <v>3254</v>
      </c>
      <c r="G839" t="s">
        <v>104</v>
      </c>
      <c r="H839" s="1">
        <v>34777</v>
      </c>
      <c r="I839">
        <v>31</v>
      </c>
      <c r="J839">
        <v>1995</v>
      </c>
      <c r="K839" s="1">
        <v>45557</v>
      </c>
      <c r="L839">
        <v>2024</v>
      </c>
      <c r="M839" t="s">
        <v>54</v>
      </c>
      <c r="N839">
        <v>4</v>
      </c>
      <c r="O839" t="s">
        <v>215</v>
      </c>
      <c r="P839" t="s">
        <v>119</v>
      </c>
      <c r="Q839">
        <v>120</v>
      </c>
      <c r="R839">
        <v>2</v>
      </c>
      <c r="S839" t="s">
        <v>85</v>
      </c>
      <c r="T839" t="s">
        <v>86</v>
      </c>
      <c r="U839">
        <v>4</v>
      </c>
      <c r="V839">
        <v>4</v>
      </c>
      <c r="W839">
        <v>4</v>
      </c>
      <c r="X839">
        <v>4</v>
      </c>
      <c r="Y839">
        <v>1</v>
      </c>
      <c r="Z839">
        <v>4</v>
      </c>
      <c r="AA839">
        <v>2.5</v>
      </c>
      <c r="AB839">
        <v>10</v>
      </c>
      <c r="AC839" t="s">
        <v>59</v>
      </c>
      <c r="AD839" t="s">
        <v>112</v>
      </c>
      <c r="AE839">
        <v>0</v>
      </c>
      <c r="AF839">
        <v>0</v>
      </c>
      <c r="AG839">
        <v>1</v>
      </c>
      <c r="AH839">
        <v>1</v>
      </c>
      <c r="AI839">
        <v>0</v>
      </c>
      <c r="AJ839">
        <v>1</v>
      </c>
      <c r="AK839">
        <v>0</v>
      </c>
      <c r="AL839">
        <v>0</v>
      </c>
      <c r="AM839">
        <v>1</v>
      </c>
      <c r="AN839">
        <v>0</v>
      </c>
      <c r="AO839">
        <v>4</v>
      </c>
      <c r="AP839">
        <v>0</v>
      </c>
      <c r="AQ839">
        <v>100</v>
      </c>
      <c r="AR839" s="2">
        <v>45833.583831018521</v>
      </c>
      <c r="AS839" s="2">
        <v>46036.969861111109</v>
      </c>
      <c r="AT839" t="s">
        <v>61</v>
      </c>
      <c r="AU839" t="s">
        <v>61</v>
      </c>
      <c r="AV839">
        <v>203</v>
      </c>
    </row>
    <row r="840" spans="1:48" x14ac:dyDescent="0.25">
      <c r="A840">
        <v>294</v>
      </c>
      <c r="B840" t="s">
        <v>3255</v>
      </c>
      <c r="C840" t="s">
        <v>1096</v>
      </c>
      <c r="D840" t="s">
        <v>3256</v>
      </c>
      <c r="E840" t="s">
        <v>3257</v>
      </c>
      <c r="F840" t="s">
        <v>3258</v>
      </c>
      <c r="G840" t="s">
        <v>104</v>
      </c>
      <c r="H840" s="1">
        <v>35020</v>
      </c>
      <c r="I840">
        <v>31</v>
      </c>
      <c r="J840">
        <v>1995</v>
      </c>
      <c r="K840" s="1">
        <v>45391</v>
      </c>
      <c r="L840">
        <v>2024</v>
      </c>
      <c r="M840" t="s">
        <v>111</v>
      </c>
      <c r="N840">
        <v>19</v>
      </c>
      <c r="O840" t="s">
        <v>162</v>
      </c>
      <c r="P840" t="s">
        <v>119</v>
      </c>
      <c r="Q840">
        <v>120</v>
      </c>
      <c r="R840">
        <v>7</v>
      </c>
      <c r="S840" t="s">
        <v>163</v>
      </c>
      <c r="T840" t="s">
        <v>164</v>
      </c>
      <c r="U840">
        <v>4</v>
      </c>
      <c r="V840">
        <v>4</v>
      </c>
      <c r="W840">
        <v>4</v>
      </c>
      <c r="X840">
        <v>4</v>
      </c>
      <c r="Y840">
        <v>1</v>
      </c>
      <c r="Z840">
        <v>4</v>
      </c>
      <c r="AA840">
        <v>3.375</v>
      </c>
      <c r="AB840">
        <v>13.5</v>
      </c>
      <c r="AC840" t="s">
        <v>540</v>
      </c>
      <c r="AD840" t="s">
        <v>60</v>
      </c>
      <c r="AE840">
        <v>2</v>
      </c>
      <c r="AF840">
        <v>0</v>
      </c>
      <c r="AG840">
        <v>0</v>
      </c>
      <c r="AH840">
        <v>1</v>
      </c>
      <c r="AI840">
        <v>0</v>
      </c>
      <c r="AJ840">
        <v>1</v>
      </c>
      <c r="AK840">
        <v>0</v>
      </c>
      <c r="AL840">
        <v>0</v>
      </c>
      <c r="AM840">
        <v>0</v>
      </c>
      <c r="AN840">
        <v>0</v>
      </c>
      <c r="AO840">
        <v>4</v>
      </c>
      <c r="AP840">
        <v>0</v>
      </c>
      <c r="AQ840">
        <v>100</v>
      </c>
      <c r="AR840" s="2">
        <v>45747.67292824074</v>
      </c>
      <c r="AS840" s="2">
        <v>45984.479571759257</v>
      </c>
      <c r="AT840" t="s">
        <v>61</v>
      </c>
      <c r="AU840" t="s">
        <v>61</v>
      </c>
      <c r="AV840">
        <v>237</v>
      </c>
    </row>
    <row r="841" spans="1:48" x14ac:dyDescent="0.25">
      <c r="A841">
        <v>50</v>
      </c>
      <c r="B841" t="s">
        <v>3259</v>
      </c>
      <c r="C841" t="s">
        <v>3260</v>
      </c>
      <c r="D841" t="s">
        <v>3261</v>
      </c>
      <c r="E841" t="s">
        <v>3262</v>
      </c>
      <c r="F841" t="s">
        <v>3263</v>
      </c>
      <c r="G841" t="s">
        <v>53</v>
      </c>
      <c r="H841" s="1">
        <v>38517</v>
      </c>
      <c r="I841">
        <v>21</v>
      </c>
      <c r="J841">
        <v>2005</v>
      </c>
      <c r="K841" s="1">
        <v>44645</v>
      </c>
      <c r="L841">
        <v>2022</v>
      </c>
      <c r="M841" t="s">
        <v>111</v>
      </c>
      <c r="N841">
        <v>21</v>
      </c>
      <c r="O841" t="s">
        <v>339</v>
      </c>
      <c r="P841" t="s">
        <v>69</v>
      </c>
      <c r="Q841">
        <v>60</v>
      </c>
      <c r="R841">
        <v>7</v>
      </c>
      <c r="S841" t="s">
        <v>163</v>
      </c>
      <c r="T841" t="s">
        <v>164</v>
      </c>
      <c r="U841">
        <v>4</v>
      </c>
      <c r="V841">
        <v>4</v>
      </c>
      <c r="W841">
        <v>4</v>
      </c>
      <c r="X841">
        <v>4</v>
      </c>
      <c r="Y841">
        <v>1</v>
      </c>
      <c r="Z841">
        <v>4</v>
      </c>
      <c r="AA841">
        <v>1.25</v>
      </c>
      <c r="AB841">
        <v>5</v>
      </c>
      <c r="AC841" t="s">
        <v>70</v>
      </c>
      <c r="AD841" t="s">
        <v>1061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2</v>
      </c>
      <c r="AL841">
        <v>0</v>
      </c>
      <c r="AM841">
        <v>1</v>
      </c>
      <c r="AN841">
        <v>1</v>
      </c>
      <c r="AO841">
        <v>3</v>
      </c>
      <c r="AP841">
        <v>1</v>
      </c>
      <c r="AQ841">
        <v>75</v>
      </c>
      <c r="AR841" s="2">
        <v>45730.14472222222</v>
      </c>
      <c r="AS841" s="2">
        <v>45960.14539351852</v>
      </c>
      <c r="AT841" t="s">
        <v>62</v>
      </c>
      <c r="AU841" t="s">
        <v>62</v>
      </c>
      <c r="AV841">
        <v>230</v>
      </c>
    </row>
    <row r="842" spans="1:48" x14ac:dyDescent="0.25">
      <c r="A842">
        <v>164</v>
      </c>
      <c r="B842" t="s">
        <v>3264</v>
      </c>
      <c r="C842" t="s">
        <v>3265</v>
      </c>
      <c r="D842" t="s">
        <v>1645</v>
      </c>
      <c r="E842" t="s">
        <v>3266</v>
      </c>
      <c r="F842" t="s">
        <v>3267</v>
      </c>
      <c r="G842" t="s">
        <v>53</v>
      </c>
      <c r="H842" s="1">
        <v>36011</v>
      </c>
      <c r="I842">
        <v>28</v>
      </c>
      <c r="J842">
        <v>1998</v>
      </c>
      <c r="K842" s="1">
        <v>46049</v>
      </c>
      <c r="L842">
        <v>2026</v>
      </c>
      <c r="M842" t="s">
        <v>54</v>
      </c>
      <c r="N842">
        <v>1</v>
      </c>
      <c r="O842" t="s">
        <v>157</v>
      </c>
      <c r="P842" t="s">
        <v>119</v>
      </c>
      <c r="Q842">
        <v>120</v>
      </c>
      <c r="R842">
        <v>1</v>
      </c>
      <c r="S842" t="s">
        <v>57</v>
      </c>
      <c r="T842" t="s">
        <v>58</v>
      </c>
      <c r="U842">
        <v>4</v>
      </c>
      <c r="V842">
        <v>4</v>
      </c>
      <c r="W842">
        <v>4</v>
      </c>
      <c r="X842">
        <v>4</v>
      </c>
      <c r="Y842">
        <v>1</v>
      </c>
      <c r="Z842">
        <v>4</v>
      </c>
      <c r="AA842">
        <v>2.625</v>
      </c>
      <c r="AB842">
        <v>10.5</v>
      </c>
      <c r="AC842" t="s">
        <v>59</v>
      </c>
      <c r="AD842" t="s">
        <v>60</v>
      </c>
      <c r="AE842">
        <v>1</v>
      </c>
      <c r="AF842">
        <v>0</v>
      </c>
      <c r="AG842">
        <v>0</v>
      </c>
      <c r="AH842">
        <v>1</v>
      </c>
      <c r="AI842">
        <v>0</v>
      </c>
      <c r="AJ842">
        <v>1</v>
      </c>
      <c r="AK842">
        <v>0</v>
      </c>
      <c r="AL842">
        <v>0</v>
      </c>
      <c r="AM842">
        <v>1</v>
      </c>
      <c r="AN842">
        <v>0</v>
      </c>
      <c r="AO842">
        <v>4</v>
      </c>
      <c r="AP842">
        <v>0</v>
      </c>
      <c r="AQ842">
        <v>100</v>
      </c>
      <c r="AR842" s="2">
        <v>45752.976527777777</v>
      </c>
      <c r="AS842" s="2">
        <v>46055.978946759256</v>
      </c>
      <c r="AT842" t="s">
        <v>61</v>
      </c>
      <c r="AU842" t="s">
        <v>61</v>
      </c>
      <c r="AV842">
        <v>303</v>
      </c>
    </row>
    <row r="843" spans="1:48" x14ac:dyDescent="0.25">
      <c r="A843">
        <v>582</v>
      </c>
      <c r="B843" t="s">
        <v>3268</v>
      </c>
      <c r="C843" t="s">
        <v>741</v>
      </c>
      <c r="D843" t="s">
        <v>419</v>
      </c>
      <c r="E843" t="s">
        <v>3269</v>
      </c>
      <c r="F843" t="s">
        <v>3270</v>
      </c>
      <c r="G843" t="s">
        <v>104</v>
      </c>
      <c r="H843" s="1">
        <v>38492</v>
      </c>
      <c r="I843">
        <v>21</v>
      </c>
      <c r="J843">
        <v>2005</v>
      </c>
      <c r="K843" s="1">
        <v>45120</v>
      </c>
      <c r="L843">
        <v>2023</v>
      </c>
      <c r="M843" t="s">
        <v>54</v>
      </c>
      <c r="N843">
        <v>18</v>
      </c>
      <c r="O843" t="s">
        <v>139</v>
      </c>
      <c r="P843" t="s">
        <v>69</v>
      </c>
      <c r="Q843">
        <v>60</v>
      </c>
      <c r="R843">
        <v>6</v>
      </c>
      <c r="S843" t="s">
        <v>140</v>
      </c>
      <c r="T843" t="s">
        <v>141</v>
      </c>
      <c r="U843">
        <v>4</v>
      </c>
      <c r="V843">
        <v>4</v>
      </c>
      <c r="W843">
        <v>4</v>
      </c>
      <c r="X843">
        <v>4</v>
      </c>
      <c r="Y843">
        <v>1</v>
      </c>
      <c r="Z843">
        <v>4</v>
      </c>
      <c r="AA843">
        <v>2.25</v>
      </c>
      <c r="AB843">
        <v>9</v>
      </c>
      <c r="AC843" t="s">
        <v>59</v>
      </c>
      <c r="AD843" t="s">
        <v>112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2</v>
      </c>
      <c r="AK843">
        <v>0</v>
      </c>
      <c r="AL843">
        <v>0</v>
      </c>
      <c r="AM843">
        <v>1</v>
      </c>
      <c r="AN843">
        <v>0</v>
      </c>
      <c r="AO843">
        <v>4</v>
      </c>
      <c r="AP843">
        <v>0</v>
      </c>
      <c r="AQ843">
        <v>100</v>
      </c>
      <c r="AR843" s="2">
        <v>45788.404097222221</v>
      </c>
      <c r="AS843" s="2">
        <v>46056.227476851855</v>
      </c>
      <c r="AT843" t="s">
        <v>62</v>
      </c>
      <c r="AU843" t="s">
        <v>62</v>
      </c>
      <c r="AV843">
        <v>268</v>
      </c>
    </row>
    <row r="844" spans="1:48" x14ac:dyDescent="0.25">
      <c r="A844">
        <v>943</v>
      </c>
      <c r="B844" t="s">
        <v>3271</v>
      </c>
      <c r="C844" t="s">
        <v>888</v>
      </c>
      <c r="D844" t="s">
        <v>803</v>
      </c>
      <c r="E844" t="s">
        <v>3272</v>
      </c>
      <c r="F844">
        <v>8552738573</v>
      </c>
      <c r="G844" t="s">
        <v>53</v>
      </c>
      <c r="H844" s="1">
        <v>38038</v>
      </c>
      <c r="I844">
        <v>22</v>
      </c>
      <c r="J844">
        <v>2004</v>
      </c>
      <c r="K844" s="1">
        <v>44775</v>
      </c>
      <c r="L844">
        <v>2022</v>
      </c>
      <c r="M844" t="s">
        <v>54</v>
      </c>
      <c r="N844">
        <v>6</v>
      </c>
      <c r="O844" t="s">
        <v>133</v>
      </c>
      <c r="P844" t="s">
        <v>69</v>
      </c>
      <c r="Q844">
        <v>60</v>
      </c>
      <c r="R844">
        <v>2</v>
      </c>
      <c r="S844" t="s">
        <v>85</v>
      </c>
      <c r="T844" t="s">
        <v>86</v>
      </c>
      <c r="U844">
        <v>4</v>
      </c>
      <c r="V844">
        <v>4</v>
      </c>
      <c r="W844">
        <v>4</v>
      </c>
      <c r="X844">
        <v>4</v>
      </c>
      <c r="Y844">
        <v>1</v>
      </c>
      <c r="Z844">
        <v>4</v>
      </c>
      <c r="AA844">
        <v>2</v>
      </c>
      <c r="AB844">
        <v>8</v>
      </c>
      <c r="AC844" t="s">
        <v>70</v>
      </c>
      <c r="AD844" t="s">
        <v>112</v>
      </c>
      <c r="AE844">
        <v>0</v>
      </c>
      <c r="AF844">
        <v>0</v>
      </c>
      <c r="AG844">
        <v>0</v>
      </c>
      <c r="AH844">
        <v>2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1</v>
      </c>
      <c r="AO844">
        <v>3</v>
      </c>
      <c r="AP844">
        <v>1</v>
      </c>
      <c r="AQ844">
        <v>75</v>
      </c>
      <c r="AR844" s="2">
        <v>45839.380231481482</v>
      </c>
      <c r="AS844" s="2">
        <v>46053.516539351855</v>
      </c>
      <c r="AT844" t="s">
        <v>61</v>
      </c>
      <c r="AU844" t="s">
        <v>61</v>
      </c>
      <c r="AV844">
        <v>214</v>
      </c>
    </row>
    <row r="845" spans="1:48" x14ac:dyDescent="0.25">
      <c r="A845">
        <v>75</v>
      </c>
      <c r="B845" t="s">
        <v>3273</v>
      </c>
      <c r="C845" t="s">
        <v>627</v>
      </c>
      <c r="D845" t="s">
        <v>3274</v>
      </c>
      <c r="E845" t="s">
        <v>3275</v>
      </c>
      <c r="F845" t="s">
        <v>3276</v>
      </c>
      <c r="G845" t="s">
        <v>104</v>
      </c>
      <c r="H845" s="1">
        <v>37299</v>
      </c>
      <c r="I845">
        <v>24</v>
      </c>
      <c r="J845">
        <v>2002</v>
      </c>
      <c r="K845" s="1">
        <v>45077</v>
      </c>
      <c r="L845">
        <v>2023</v>
      </c>
      <c r="M845" t="s">
        <v>225</v>
      </c>
      <c r="N845">
        <v>20</v>
      </c>
      <c r="O845" t="s">
        <v>180</v>
      </c>
      <c r="P845" t="s">
        <v>56</v>
      </c>
      <c r="Q845">
        <v>36</v>
      </c>
      <c r="R845">
        <v>7</v>
      </c>
      <c r="S845" t="s">
        <v>163</v>
      </c>
      <c r="T845" t="s">
        <v>164</v>
      </c>
      <c r="U845">
        <v>4</v>
      </c>
      <c r="V845">
        <v>4</v>
      </c>
      <c r="W845">
        <v>4</v>
      </c>
      <c r="X845">
        <v>4</v>
      </c>
      <c r="Y845">
        <v>1</v>
      </c>
      <c r="Z845">
        <v>2</v>
      </c>
      <c r="AA845">
        <v>3</v>
      </c>
      <c r="AB845">
        <v>6</v>
      </c>
      <c r="AC845" t="s">
        <v>540</v>
      </c>
      <c r="AD845" t="s">
        <v>281</v>
      </c>
      <c r="AE845">
        <v>0</v>
      </c>
      <c r="AF845">
        <v>0</v>
      </c>
      <c r="AG845">
        <v>1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2</v>
      </c>
      <c r="AP845">
        <v>0</v>
      </c>
      <c r="AQ845">
        <v>100</v>
      </c>
      <c r="AR845" s="2">
        <v>45851.150034722225</v>
      </c>
      <c r="AS845" s="2">
        <v>45915.563090277778</v>
      </c>
      <c r="AT845" t="s">
        <v>1357</v>
      </c>
      <c r="AU845" t="s">
        <v>1357</v>
      </c>
      <c r="AV845">
        <v>64</v>
      </c>
    </row>
    <row r="846" spans="1:48" x14ac:dyDescent="0.25">
      <c r="A846">
        <v>161</v>
      </c>
      <c r="B846" t="s">
        <v>3277</v>
      </c>
      <c r="C846" t="s">
        <v>611</v>
      </c>
      <c r="D846" t="s">
        <v>149</v>
      </c>
      <c r="E846" t="s">
        <v>3278</v>
      </c>
      <c r="F846" t="s">
        <v>3279</v>
      </c>
      <c r="G846" t="s">
        <v>104</v>
      </c>
      <c r="H846" s="1">
        <v>37168</v>
      </c>
      <c r="I846">
        <v>25</v>
      </c>
      <c r="J846">
        <v>2001</v>
      </c>
      <c r="K846" s="1">
        <v>45543</v>
      </c>
      <c r="L846">
        <v>2024</v>
      </c>
      <c r="M846" t="s">
        <v>54</v>
      </c>
      <c r="N846">
        <v>9</v>
      </c>
      <c r="O846" t="s">
        <v>151</v>
      </c>
      <c r="P846" t="s">
        <v>69</v>
      </c>
      <c r="Q846">
        <v>60</v>
      </c>
      <c r="R846">
        <v>3</v>
      </c>
      <c r="S846" t="s">
        <v>126</v>
      </c>
      <c r="T846" t="s">
        <v>127</v>
      </c>
      <c r="U846">
        <v>4</v>
      </c>
      <c r="V846">
        <v>4</v>
      </c>
      <c r="W846">
        <v>4</v>
      </c>
      <c r="X846">
        <v>4</v>
      </c>
      <c r="Y846">
        <v>1</v>
      </c>
      <c r="Z846">
        <v>4</v>
      </c>
      <c r="AA846">
        <v>3.125</v>
      </c>
      <c r="AB846">
        <v>12.5</v>
      </c>
      <c r="AC846" t="s">
        <v>540</v>
      </c>
      <c r="AD846" t="s">
        <v>60</v>
      </c>
      <c r="AE846">
        <v>2</v>
      </c>
      <c r="AF846">
        <v>0</v>
      </c>
      <c r="AG846">
        <v>0</v>
      </c>
      <c r="AH846">
        <v>0</v>
      </c>
      <c r="AI846">
        <v>0</v>
      </c>
      <c r="AJ846">
        <v>1</v>
      </c>
      <c r="AK846">
        <v>1</v>
      </c>
      <c r="AL846">
        <v>0</v>
      </c>
      <c r="AM846">
        <v>0</v>
      </c>
      <c r="AN846">
        <v>0</v>
      </c>
      <c r="AO846">
        <v>4</v>
      </c>
      <c r="AP846">
        <v>0</v>
      </c>
      <c r="AQ846">
        <v>100</v>
      </c>
      <c r="AR846" s="2">
        <v>45748.590405092589</v>
      </c>
      <c r="AS846" s="2">
        <v>46069.257974537039</v>
      </c>
      <c r="AT846" t="s">
        <v>61</v>
      </c>
      <c r="AU846" t="s">
        <v>61</v>
      </c>
      <c r="AV846">
        <v>321</v>
      </c>
    </row>
    <row r="847" spans="1:48" x14ac:dyDescent="0.25">
      <c r="A847">
        <v>374</v>
      </c>
      <c r="B847" t="s">
        <v>3280</v>
      </c>
      <c r="C847" t="s">
        <v>3281</v>
      </c>
      <c r="D847" t="s">
        <v>1024</v>
      </c>
      <c r="E847" t="s">
        <v>3282</v>
      </c>
      <c r="F847" t="s">
        <v>3283</v>
      </c>
      <c r="G847" t="s">
        <v>53</v>
      </c>
      <c r="H847" s="1">
        <v>36758</v>
      </c>
      <c r="I847">
        <v>26</v>
      </c>
      <c r="J847">
        <v>2000</v>
      </c>
      <c r="K847" s="1">
        <v>45702</v>
      </c>
      <c r="L847">
        <v>2025</v>
      </c>
      <c r="M847" t="s">
        <v>54</v>
      </c>
      <c r="N847">
        <v>21</v>
      </c>
      <c r="O847" t="s">
        <v>339</v>
      </c>
      <c r="P847" t="s">
        <v>69</v>
      </c>
      <c r="Q847">
        <v>60</v>
      </c>
      <c r="R847">
        <v>7</v>
      </c>
      <c r="S847" t="s">
        <v>163</v>
      </c>
      <c r="T847" t="s">
        <v>164</v>
      </c>
      <c r="U847">
        <v>4</v>
      </c>
      <c r="V847">
        <v>4</v>
      </c>
      <c r="W847">
        <v>4</v>
      </c>
      <c r="X847">
        <v>4</v>
      </c>
      <c r="Y847">
        <v>1</v>
      </c>
      <c r="Z847">
        <v>4</v>
      </c>
      <c r="AA847">
        <v>2.375</v>
      </c>
      <c r="AB847">
        <v>9.5</v>
      </c>
      <c r="AC847" t="s">
        <v>70</v>
      </c>
      <c r="AD847" t="s">
        <v>60</v>
      </c>
      <c r="AE847">
        <v>1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1</v>
      </c>
      <c r="AL847">
        <v>0</v>
      </c>
      <c r="AM847">
        <v>0</v>
      </c>
      <c r="AN847">
        <v>1</v>
      </c>
      <c r="AO847">
        <v>3</v>
      </c>
      <c r="AP847">
        <v>1</v>
      </c>
      <c r="AQ847">
        <v>75</v>
      </c>
      <c r="AR847" s="2">
        <v>45928.952893518515</v>
      </c>
      <c r="AS847" s="2">
        <v>46063.83929398148</v>
      </c>
      <c r="AT847" t="s">
        <v>61</v>
      </c>
      <c r="AU847" t="s">
        <v>61</v>
      </c>
      <c r="AV847">
        <v>135</v>
      </c>
    </row>
    <row r="848" spans="1:48" x14ac:dyDescent="0.25">
      <c r="A848">
        <v>273</v>
      </c>
      <c r="B848" t="s">
        <v>3284</v>
      </c>
      <c r="C848" t="s">
        <v>3285</v>
      </c>
      <c r="D848" t="s">
        <v>3286</v>
      </c>
      <c r="E848" t="s">
        <v>3287</v>
      </c>
      <c r="F848" t="s">
        <v>3288</v>
      </c>
      <c r="G848" t="s">
        <v>104</v>
      </c>
      <c r="H848" s="1">
        <v>38584</v>
      </c>
      <c r="I848">
        <v>21</v>
      </c>
      <c r="J848">
        <v>2005</v>
      </c>
      <c r="K848" s="1">
        <v>45270</v>
      </c>
      <c r="L848">
        <v>2023</v>
      </c>
      <c r="M848" t="s">
        <v>54</v>
      </c>
      <c r="N848">
        <v>16</v>
      </c>
      <c r="O848" t="s">
        <v>280</v>
      </c>
      <c r="P848" t="s">
        <v>119</v>
      </c>
      <c r="Q848">
        <v>120</v>
      </c>
      <c r="R848">
        <v>6</v>
      </c>
      <c r="S848" t="s">
        <v>140</v>
      </c>
      <c r="T848" t="s">
        <v>141</v>
      </c>
      <c r="U848">
        <v>4</v>
      </c>
      <c r="V848">
        <v>4</v>
      </c>
      <c r="W848">
        <v>4</v>
      </c>
      <c r="X848">
        <v>4</v>
      </c>
      <c r="Y848">
        <v>1</v>
      </c>
      <c r="Z848">
        <v>4</v>
      </c>
      <c r="AA848">
        <v>2.5</v>
      </c>
      <c r="AB848">
        <v>10</v>
      </c>
      <c r="AC848" t="s">
        <v>59</v>
      </c>
      <c r="AD848" t="s">
        <v>112</v>
      </c>
      <c r="AE848">
        <v>0</v>
      </c>
      <c r="AF848">
        <v>0</v>
      </c>
      <c r="AG848">
        <v>1</v>
      </c>
      <c r="AH848">
        <v>1</v>
      </c>
      <c r="AI848">
        <v>0</v>
      </c>
      <c r="AJ848">
        <v>1</v>
      </c>
      <c r="AK848">
        <v>0</v>
      </c>
      <c r="AL848">
        <v>0</v>
      </c>
      <c r="AM848">
        <v>1</v>
      </c>
      <c r="AN848">
        <v>0</v>
      </c>
      <c r="AO848">
        <v>4</v>
      </c>
      <c r="AP848">
        <v>0</v>
      </c>
      <c r="AQ848">
        <v>100</v>
      </c>
      <c r="AR848" s="2">
        <v>45768.127349537041</v>
      </c>
      <c r="AS848" s="2">
        <v>45838.167615740742</v>
      </c>
      <c r="AT848" t="s">
        <v>61</v>
      </c>
      <c r="AU848" t="s">
        <v>61</v>
      </c>
      <c r="AV848">
        <v>70</v>
      </c>
    </row>
    <row r="849" spans="1:48" x14ac:dyDescent="0.25">
      <c r="A849">
        <v>614</v>
      </c>
      <c r="B849" t="s">
        <v>3289</v>
      </c>
      <c r="C849" t="s">
        <v>669</v>
      </c>
      <c r="D849" t="s">
        <v>3290</v>
      </c>
      <c r="E849" t="s">
        <v>3291</v>
      </c>
      <c r="F849">
        <v>7048010414</v>
      </c>
      <c r="G849" t="s">
        <v>53</v>
      </c>
      <c r="H849" s="1">
        <v>36044</v>
      </c>
      <c r="I849">
        <v>28</v>
      </c>
      <c r="J849">
        <v>1998</v>
      </c>
      <c r="K849" s="1">
        <v>44873</v>
      </c>
      <c r="L849">
        <v>2022</v>
      </c>
      <c r="M849" t="s">
        <v>54</v>
      </c>
      <c r="N849">
        <v>15</v>
      </c>
      <c r="O849" t="s">
        <v>91</v>
      </c>
      <c r="P849" t="s">
        <v>69</v>
      </c>
      <c r="Q849">
        <v>60</v>
      </c>
      <c r="R849">
        <v>5</v>
      </c>
      <c r="S849" t="s">
        <v>92</v>
      </c>
      <c r="T849" t="s">
        <v>93</v>
      </c>
      <c r="U849">
        <v>4</v>
      </c>
      <c r="V849">
        <v>4</v>
      </c>
      <c r="W849">
        <v>4</v>
      </c>
      <c r="X849">
        <v>4</v>
      </c>
      <c r="Y849">
        <v>1</v>
      </c>
      <c r="Z849">
        <v>4</v>
      </c>
      <c r="AA849">
        <v>1.625</v>
      </c>
      <c r="AB849">
        <v>6.5</v>
      </c>
      <c r="AC849" t="s">
        <v>70</v>
      </c>
      <c r="AD849" t="s">
        <v>60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1</v>
      </c>
      <c r="AK849">
        <v>0</v>
      </c>
      <c r="AL849">
        <v>0</v>
      </c>
      <c r="AM849">
        <v>0</v>
      </c>
      <c r="AN849">
        <v>2</v>
      </c>
      <c r="AO849">
        <v>2</v>
      </c>
      <c r="AP849">
        <v>2</v>
      </c>
      <c r="AQ849">
        <v>50</v>
      </c>
      <c r="AR849" s="2">
        <v>45767.143287037034</v>
      </c>
      <c r="AS849" s="2">
        <v>45934.85119212963</v>
      </c>
      <c r="AT849" t="s">
        <v>62</v>
      </c>
      <c r="AU849" t="s">
        <v>62</v>
      </c>
      <c r="AV849">
        <v>167</v>
      </c>
    </row>
    <row r="850" spans="1:48" x14ac:dyDescent="0.25">
      <c r="A850">
        <v>634</v>
      </c>
      <c r="B850" t="s">
        <v>3292</v>
      </c>
      <c r="C850" t="s">
        <v>1276</v>
      </c>
      <c r="D850" t="s">
        <v>3293</v>
      </c>
      <c r="E850" t="s">
        <v>3294</v>
      </c>
      <c r="F850" t="s">
        <v>3295</v>
      </c>
      <c r="G850" t="s">
        <v>104</v>
      </c>
      <c r="H850" s="1">
        <v>35339</v>
      </c>
      <c r="I850">
        <v>30</v>
      </c>
      <c r="J850">
        <v>1996</v>
      </c>
      <c r="K850" s="1">
        <v>45479</v>
      </c>
      <c r="L850">
        <v>2024</v>
      </c>
      <c r="M850" t="s">
        <v>54</v>
      </c>
      <c r="N850">
        <v>9</v>
      </c>
      <c r="O850" t="s">
        <v>151</v>
      </c>
      <c r="P850" t="s">
        <v>69</v>
      </c>
      <c r="Q850">
        <v>60</v>
      </c>
      <c r="R850">
        <v>3</v>
      </c>
      <c r="S850" t="s">
        <v>126</v>
      </c>
      <c r="T850" t="s">
        <v>127</v>
      </c>
      <c r="U850">
        <v>4</v>
      </c>
      <c r="V850">
        <v>4</v>
      </c>
      <c r="W850">
        <v>4</v>
      </c>
      <c r="X850">
        <v>4</v>
      </c>
      <c r="Y850">
        <v>1</v>
      </c>
      <c r="Z850">
        <v>2</v>
      </c>
      <c r="AA850">
        <v>3.75</v>
      </c>
      <c r="AB850">
        <v>7.5</v>
      </c>
      <c r="AC850" t="s">
        <v>281</v>
      </c>
      <c r="AD850" t="s">
        <v>60</v>
      </c>
      <c r="AE850">
        <v>1</v>
      </c>
      <c r="AF850">
        <v>0</v>
      </c>
      <c r="AG850">
        <v>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2</v>
      </c>
      <c r="AP850">
        <v>0</v>
      </c>
      <c r="AQ850">
        <v>100</v>
      </c>
      <c r="AR850" s="2">
        <v>45801.857604166667</v>
      </c>
      <c r="AS850" s="2">
        <v>46012.859918981485</v>
      </c>
      <c r="AT850" t="s">
        <v>1357</v>
      </c>
      <c r="AU850" t="s">
        <v>1357</v>
      </c>
      <c r="AV850">
        <v>211</v>
      </c>
    </row>
    <row r="851" spans="1:48" x14ac:dyDescent="0.25">
      <c r="A851">
        <v>431</v>
      </c>
      <c r="B851" t="s">
        <v>3296</v>
      </c>
      <c r="C851" t="s">
        <v>725</v>
      </c>
      <c r="D851" t="s">
        <v>860</v>
      </c>
      <c r="E851" t="s">
        <v>3297</v>
      </c>
      <c r="F851" t="s">
        <v>3298</v>
      </c>
      <c r="G851" t="s">
        <v>53</v>
      </c>
      <c r="H851" s="1">
        <v>39071</v>
      </c>
      <c r="I851">
        <v>20</v>
      </c>
      <c r="J851">
        <v>2006</v>
      </c>
      <c r="K851" s="1">
        <v>45322</v>
      </c>
      <c r="L851">
        <v>2024</v>
      </c>
      <c r="M851" t="s">
        <v>54</v>
      </c>
      <c r="N851">
        <v>11</v>
      </c>
      <c r="O851" t="s">
        <v>378</v>
      </c>
      <c r="P851" t="s">
        <v>56</v>
      </c>
      <c r="Q851">
        <v>36</v>
      </c>
      <c r="R851">
        <v>4</v>
      </c>
      <c r="S851" t="s">
        <v>77</v>
      </c>
      <c r="T851" t="s">
        <v>78</v>
      </c>
      <c r="U851">
        <v>4</v>
      </c>
      <c r="V851">
        <v>4</v>
      </c>
      <c r="W851">
        <v>4</v>
      </c>
      <c r="X851">
        <v>4</v>
      </c>
      <c r="Y851">
        <v>1</v>
      </c>
      <c r="Z851">
        <v>4</v>
      </c>
      <c r="AA851">
        <v>2.125</v>
      </c>
      <c r="AB851">
        <v>8.5</v>
      </c>
      <c r="AC851" t="s">
        <v>59</v>
      </c>
      <c r="AD851" t="s">
        <v>281</v>
      </c>
      <c r="AE851">
        <v>0</v>
      </c>
      <c r="AF851">
        <v>0</v>
      </c>
      <c r="AG851">
        <v>1</v>
      </c>
      <c r="AH851">
        <v>0</v>
      </c>
      <c r="AI851">
        <v>0</v>
      </c>
      <c r="AJ851">
        <v>0</v>
      </c>
      <c r="AK851">
        <v>2</v>
      </c>
      <c r="AL851">
        <v>0</v>
      </c>
      <c r="AM851">
        <v>1</v>
      </c>
      <c r="AN851">
        <v>0</v>
      </c>
      <c r="AO851">
        <v>4</v>
      </c>
      <c r="AP851">
        <v>0</v>
      </c>
      <c r="AQ851">
        <v>100</v>
      </c>
      <c r="AR851" s="2">
        <v>45881.357905092591</v>
      </c>
      <c r="AS851" s="2">
        <v>46041.62568287037</v>
      </c>
      <c r="AT851" t="s">
        <v>61</v>
      </c>
      <c r="AU851" t="s">
        <v>61</v>
      </c>
      <c r="AV851">
        <v>160</v>
      </c>
    </row>
    <row r="852" spans="1:48" x14ac:dyDescent="0.25">
      <c r="A852">
        <v>564</v>
      </c>
      <c r="B852" t="s">
        <v>3299</v>
      </c>
      <c r="C852" t="s">
        <v>3300</v>
      </c>
      <c r="D852" t="s">
        <v>1696</v>
      </c>
      <c r="E852" t="s">
        <v>3301</v>
      </c>
      <c r="F852" t="s">
        <v>3302</v>
      </c>
      <c r="G852" t="s">
        <v>104</v>
      </c>
      <c r="H852" s="1">
        <v>37468</v>
      </c>
      <c r="I852">
        <v>24</v>
      </c>
      <c r="J852">
        <v>2002</v>
      </c>
      <c r="K852" s="1">
        <v>46003</v>
      </c>
      <c r="L852">
        <v>2025</v>
      </c>
      <c r="M852" t="s">
        <v>54</v>
      </c>
      <c r="N852">
        <v>19</v>
      </c>
      <c r="O852" t="s">
        <v>162</v>
      </c>
      <c r="P852" t="s">
        <v>119</v>
      </c>
      <c r="Q852">
        <v>120</v>
      </c>
      <c r="R852">
        <v>7</v>
      </c>
      <c r="S852" t="s">
        <v>163</v>
      </c>
      <c r="T852" t="s">
        <v>164</v>
      </c>
      <c r="U852">
        <v>4</v>
      </c>
      <c r="V852">
        <v>4</v>
      </c>
      <c r="W852">
        <v>4</v>
      </c>
      <c r="X852">
        <v>4</v>
      </c>
      <c r="Y852">
        <v>1</v>
      </c>
      <c r="Z852">
        <v>4</v>
      </c>
      <c r="AA852">
        <v>1.75</v>
      </c>
      <c r="AB852">
        <v>7</v>
      </c>
      <c r="AC852" t="s">
        <v>70</v>
      </c>
      <c r="AD852" t="s">
        <v>112</v>
      </c>
      <c r="AE852">
        <v>0</v>
      </c>
      <c r="AF852">
        <v>0</v>
      </c>
      <c r="AG852">
        <v>0</v>
      </c>
      <c r="AH852">
        <v>2</v>
      </c>
      <c r="AI852">
        <v>0</v>
      </c>
      <c r="AJ852">
        <v>0</v>
      </c>
      <c r="AK852">
        <v>0</v>
      </c>
      <c r="AL852">
        <v>0</v>
      </c>
      <c r="AM852">
        <v>1</v>
      </c>
      <c r="AN852">
        <v>1</v>
      </c>
      <c r="AO852">
        <v>3</v>
      </c>
      <c r="AP852">
        <v>1</v>
      </c>
      <c r="AQ852">
        <v>75</v>
      </c>
      <c r="AR852" s="2">
        <v>45842.748518518521</v>
      </c>
      <c r="AS852" s="2">
        <v>46002.81386574074</v>
      </c>
      <c r="AT852" t="s">
        <v>62</v>
      </c>
      <c r="AU852" t="s">
        <v>62</v>
      </c>
      <c r="AV852">
        <v>160</v>
      </c>
    </row>
    <row r="853" spans="1:48" x14ac:dyDescent="0.25">
      <c r="A853">
        <v>957</v>
      </c>
      <c r="B853" t="s">
        <v>3303</v>
      </c>
      <c r="C853" t="s">
        <v>385</v>
      </c>
      <c r="D853" t="s">
        <v>3304</v>
      </c>
      <c r="E853" t="s">
        <v>3305</v>
      </c>
      <c r="F853" t="s">
        <v>3306</v>
      </c>
      <c r="G853" t="s">
        <v>53</v>
      </c>
      <c r="H853" s="1">
        <v>36982</v>
      </c>
      <c r="I853">
        <v>25</v>
      </c>
      <c r="J853">
        <v>2001</v>
      </c>
      <c r="K853" s="1">
        <v>44689</v>
      </c>
      <c r="L853">
        <v>2022</v>
      </c>
      <c r="M853" t="s">
        <v>111</v>
      </c>
      <c r="N853">
        <v>18</v>
      </c>
      <c r="O853" t="s">
        <v>139</v>
      </c>
      <c r="P853" t="s">
        <v>69</v>
      </c>
      <c r="Q853">
        <v>60</v>
      </c>
      <c r="R853">
        <v>6</v>
      </c>
      <c r="S853" t="s">
        <v>140</v>
      </c>
      <c r="T853" t="s">
        <v>141</v>
      </c>
      <c r="U853">
        <v>4</v>
      </c>
      <c r="V853">
        <v>4</v>
      </c>
      <c r="W853">
        <v>4</v>
      </c>
      <c r="X853">
        <v>4</v>
      </c>
      <c r="Y853">
        <v>1</v>
      </c>
      <c r="Z853">
        <v>4</v>
      </c>
      <c r="AA853">
        <v>3.5</v>
      </c>
      <c r="AB853">
        <v>14</v>
      </c>
      <c r="AC853" t="s">
        <v>112</v>
      </c>
      <c r="AD853" t="s">
        <v>60</v>
      </c>
      <c r="AE853">
        <v>2</v>
      </c>
      <c r="AF853">
        <v>0</v>
      </c>
      <c r="AG853">
        <v>0</v>
      </c>
      <c r="AH853">
        <v>2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4</v>
      </c>
      <c r="AP853">
        <v>0</v>
      </c>
      <c r="AQ853">
        <v>100</v>
      </c>
      <c r="AR853" s="2">
        <v>45899.317916666667</v>
      </c>
      <c r="AS853" s="2">
        <v>45947.449826388889</v>
      </c>
      <c r="AT853" t="s">
        <v>61</v>
      </c>
      <c r="AU853" t="s">
        <v>61</v>
      </c>
      <c r="AV853">
        <v>48</v>
      </c>
    </row>
    <row r="854" spans="1:48" x14ac:dyDescent="0.25">
      <c r="A854">
        <v>509</v>
      </c>
      <c r="B854" t="s">
        <v>3307</v>
      </c>
      <c r="C854" t="s">
        <v>3003</v>
      </c>
      <c r="D854" t="s">
        <v>803</v>
      </c>
      <c r="E854" t="s">
        <v>3308</v>
      </c>
      <c r="F854" t="s">
        <v>3309</v>
      </c>
      <c r="G854" t="s">
        <v>104</v>
      </c>
      <c r="H854" s="1">
        <v>39279</v>
      </c>
      <c r="I854">
        <v>19</v>
      </c>
      <c r="J854">
        <v>2007</v>
      </c>
      <c r="K854" s="1">
        <v>45150</v>
      </c>
      <c r="L854">
        <v>2023</v>
      </c>
      <c r="M854" t="s">
        <v>111</v>
      </c>
      <c r="N854">
        <v>21</v>
      </c>
      <c r="O854" t="s">
        <v>339</v>
      </c>
      <c r="P854" t="s">
        <v>69</v>
      </c>
      <c r="Q854">
        <v>60</v>
      </c>
      <c r="R854">
        <v>7</v>
      </c>
      <c r="S854" t="s">
        <v>163</v>
      </c>
      <c r="T854" t="s">
        <v>164</v>
      </c>
      <c r="U854">
        <v>4</v>
      </c>
      <c r="V854">
        <v>4</v>
      </c>
      <c r="W854">
        <v>4</v>
      </c>
      <c r="X854">
        <v>3</v>
      </c>
      <c r="Y854">
        <v>1</v>
      </c>
      <c r="Z854">
        <v>4</v>
      </c>
      <c r="AA854">
        <v>2</v>
      </c>
      <c r="AB854">
        <v>8</v>
      </c>
      <c r="AC854" t="s">
        <v>59</v>
      </c>
      <c r="AD854" t="s">
        <v>281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1</v>
      </c>
      <c r="AK854">
        <v>0</v>
      </c>
      <c r="AL854">
        <v>0</v>
      </c>
      <c r="AM854">
        <v>2</v>
      </c>
      <c r="AN854">
        <v>0</v>
      </c>
      <c r="AO854">
        <v>4</v>
      </c>
      <c r="AP854">
        <v>0</v>
      </c>
      <c r="AQ854">
        <v>100</v>
      </c>
      <c r="AR854" s="2">
        <v>45817.971064814818</v>
      </c>
      <c r="AS854" s="2">
        <v>45915.804120370369</v>
      </c>
      <c r="AT854" t="s">
        <v>62</v>
      </c>
      <c r="AU854" t="s">
        <v>62</v>
      </c>
      <c r="AV854">
        <v>98</v>
      </c>
    </row>
    <row r="855" spans="1:48" x14ac:dyDescent="0.25">
      <c r="A855">
        <v>6</v>
      </c>
      <c r="B855" t="s">
        <v>3310</v>
      </c>
      <c r="C855" t="s">
        <v>135</v>
      </c>
      <c r="D855" t="s">
        <v>596</v>
      </c>
      <c r="E855" t="s">
        <v>3311</v>
      </c>
      <c r="F855" t="s">
        <v>3312</v>
      </c>
      <c r="G855" t="s">
        <v>53</v>
      </c>
      <c r="H855" s="1">
        <v>36517</v>
      </c>
      <c r="I855">
        <v>27</v>
      </c>
      <c r="J855">
        <v>1999</v>
      </c>
      <c r="K855" s="1">
        <v>44855</v>
      </c>
      <c r="L855">
        <v>2022</v>
      </c>
      <c r="M855" t="s">
        <v>54</v>
      </c>
      <c r="N855">
        <v>21</v>
      </c>
      <c r="O855" t="s">
        <v>339</v>
      </c>
      <c r="P855" t="s">
        <v>69</v>
      </c>
      <c r="Q855">
        <v>60</v>
      </c>
      <c r="R855">
        <v>7</v>
      </c>
      <c r="S855" t="s">
        <v>163</v>
      </c>
      <c r="T855" t="s">
        <v>164</v>
      </c>
      <c r="U855">
        <v>4</v>
      </c>
      <c r="V855">
        <v>4</v>
      </c>
      <c r="W855">
        <v>4</v>
      </c>
      <c r="X855">
        <v>4</v>
      </c>
      <c r="Y855">
        <v>1</v>
      </c>
      <c r="Z855">
        <v>4</v>
      </c>
      <c r="AA855">
        <v>2</v>
      </c>
      <c r="AB855">
        <v>8</v>
      </c>
      <c r="AC855" t="s">
        <v>70</v>
      </c>
      <c r="AD855" t="s">
        <v>112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2</v>
      </c>
      <c r="AK855">
        <v>0</v>
      </c>
      <c r="AL855">
        <v>0</v>
      </c>
      <c r="AM855">
        <v>0</v>
      </c>
      <c r="AN855">
        <v>1</v>
      </c>
      <c r="AO855">
        <v>3</v>
      </c>
      <c r="AP855">
        <v>1</v>
      </c>
      <c r="AQ855">
        <v>75</v>
      </c>
      <c r="AR855" s="2">
        <v>45963.730370370373</v>
      </c>
      <c r="AS855" s="2">
        <v>46043.882418981484</v>
      </c>
      <c r="AT855" t="s">
        <v>61</v>
      </c>
      <c r="AU855" t="s">
        <v>61</v>
      </c>
      <c r="AV855">
        <v>80</v>
      </c>
    </row>
    <row r="856" spans="1:48" x14ac:dyDescent="0.25">
      <c r="A856">
        <v>198</v>
      </c>
      <c r="B856" t="s">
        <v>3313</v>
      </c>
      <c r="C856" t="s">
        <v>2477</v>
      </c>
      <c r="D856" t="s">
        <v>3252</v>
      </c>
      <c r="E856" t="s">
        <v>3314</v>
      </c>
      <c r="F856" t="s">
        <v>3315</v>
      </c>
      <c r="G856" t="s">
        <v>53</v>
      </c>
      <c r="H856" s="1">
        <v>35536</v>
      </c>
      <c r="I856">
        <v>29</v>
      </c>
      <c r="J856">
        <v>1997</v>
      </c>
      <c r="K856" s="1">
        <v>45461</v>
      </c>
      <c r="L856">
        <v>2024</v>
      </c>
      <c r="M856" t="s">
        <v>54</v>
      </c>
      <c r="N856">
        <v>3</v>
      </c>
      <c r="O856" t="s">
        <v>68</v>
      </c>
      <c r="P856" t="s">
        <v>69</v>
      </c>
      <c r="Q856">
        <v>60</v>
      </c>
      <c r="R856">
        <v>1</v>
      </c>
      <c r="S856" t="s">
        <v>57</v>
      </c>
      <c r="T856" t="s">
        <v>58</v>
      </c>
      <c r="U856">
        <v>4</v>
      </c>
      <c r="V856">
        <v>4</v>
      </c>
      <c r="W856">
        <v>4</v>
      </c>
      <c r="X856">
        <v>3</v>
      </c>
      <c r="Y856">
        <v>1</v>
      </c>
      <c r="Z856">
        <v>4</v>
      </c>
      <c r="AA856">
        <v>1.875</v>
      </c>
      <c r="AB856">
        <v>7.5</v>
      </c>
      <c r="AC856" t="s">
        <v>70</v>
      </c>
      <c r="AD856" t="s">
        <v>60</v>
      </c>
      <c r="AE856">
        <v>1</v>
      </c>
      <c r="AF856">
        <v>0</v>
      </c>
      <c r="AG856">
        <v>0</v>
      </c>
      <c r="AH856">
        <v>0</v>
      </c>
      <c r="AI856">
        <v>0</v>
      </c>
      <c r="AJ856">
        <v>1</v>
      </c>
      <c r="AK856">
        <v>0</v>
      </c>
      <c r="AL856">
        <v>0</v>
      </c>
      <c r="AM856">
        <v>1</v>
      </c>
      <c r="AN856">
        <v>1</v>
      </c>
      <c r="AO856">
        <v>3</v>
      </c>
      <c r="AP856">
        <v>1</v>
      </c>
      <c r="AQ856">
        <v>75</v>
      </c>
      <c r="AR856" s="2">
        <v>45901.571782407409</v>
      </c>
      <c r="AS856" s="2">
        <v>45988.219618055555</v>
      </c>
      <c r="AT856" t="s">
        <v>62</v>
      </c>
      <c r="AU856" t="s">
        <v>62</v>
      </c>
      <c r="AV856">
        <v>87</v>
      </c>
    </row>
    <row r="857" spans="1:48" x14ac:dyDescent="0.25">
      <c r="A857">
        <v>685</v>
      </c>
      <c r="B857" t="s">
        <v>3316</v>
      </c>
      <c r="C857" t="s">
        <v>1414</v>
      </c>
      <c r="D857" t="s">
        <v>3317</v>
      </c>
      <c r="E857" t="s">
        <v>3318</v>
      </c>
      <c r="F857" t="s">
        <v>3319</v>
      </c>
      <c r="G857" t="s">
        <v>53</v>
      </c>
      <c r="H857" s="1">
        <v>37226</v>
      </c>
      <c r="I857">
        <v>25</v>
      </c>
      <c r="J857">
        <v>2001</v>
      </c>
      <c r="K857" s="1">
        <v>45154</v>
      </c>
      <c r="L857">
        <v>2023</v>
      </c>
      <c r="M857" t="s">
        <v>54</v>
      </c>
      <c r="N857">
        <v>21</v>
      </c>
      <c r="O857" t="s">
        <v>339</v>
      </c>
      <c r="P857" t="s">
        <v>69</v>
      </c>
      <c r="Q857">
        <v>60</v>
      </c>
      <c r="R857">
        <v>7</v>
      </c>
      <c r="S857" t="s">
        <v>163</v>
      </c>
      <c r="T857" t="s">
        <v>164</v>
      </c>
      <c r="U857">
        <v>4</v>
      </c>
      <c r="V857">
        <v>4</v>
      </c>
      <c r="W857">
        <v>4</v>
      </c>
      <c r="X857">
        <v>4</v>
      </c>
      <c r="Y857">
        <v>1</v>
      </c>
      <c r="Z857">
        <v>4</v>
      </c>
      <c r="AA857">
        <v>3.5</v>
      </c>
      <c r="AB857">
        <v>14</v>
      </c>
      <c r="AC857" t="s">
        <v>112</v>
      </c>
      <c r="AD857" t="s">
        <v>60</v>
      </c>
      <c r="AE857">
        <v>2</v>
      </c>
      <c r="AF857">
        <v>0</v>
      </c>
      <c r="AG857">
        <v>0</v>
      </c>
      <c r="AH857">
        <v>2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4</v>
      </c>
      <c r="AP857">
        <v>0</v>
      </c>
      <c r="AQ857">
        <v>100</v>
      </c>
      <c r="AR857" s="2">
        <v>45725.41474537037</v>
      </c>
      <c r="AS857" s="2">
        <v>45947.773946759262</v>
      </c>
      <c r="AT857" t="s">
        <v>62</v>
      </c>
      <c r="AU857" t="s">
        <v>62</v>
      </c>
      <c r="AV857">
        <v>222</v>
      </c>
    </row>
    <row r="858" spans="1:48" x14ac:dyDescent="0.25">
      <c r="A858">
        <v>117</v>
      </c>
      <c r="B858" t="s">
        <v>3320</v>
      </c>
      <c r="C858" t="s">
        <v>172</v>
      </c>
      <c r="D858" t="s">
        <v>410</v>
      </c>
      <c r="E858" t="s">
        <v>3321</v>
      </c>
      <c r="F858" t="s">
        <v>3322</v>
      </c>
      <c r="G858" t="s">
        <v>104</v>
      </c>
      <c r="H858" s="1">
        <v>36950</v>
      </c>
      <c r="I858">
        <v>25</v>
      </c>
      <c r="J858">
        <v>2001</v>
      </c>
      <c r="K858" s="1">
        <v>44851</v>
      </c>
      <c r="L858">
        <v>2022</v>
      </c>
      <c r="M858" t="s">
        <v>54</v>
      </c>
      <c r="N858">
        <v>5</v>
      </c>
      <c r="O858" t="s">
        <v>84</v>
      </c>
      <c r="P858" t="s">
        <v>56</v>
      </c>
      <c r="Q858">
        <v>36</v>
      </c>
      <c r="R858">
        <v>2</v>
      </c>
      <c r="S858" t="s">
        <v>85</v>
      </c>
      <c r="T858" t="s">
        <v>86</v>
      </c>
      <c r="U858">
        <v>4</v>
      </c>
      <c r="V858">
        <v>4</v>
      </c>
      <c r="W858">
        <v>4</v>
      </c>
      <c r="X858">
        <v>3</v>
      </c>
      <c r="Y858">
        <v>1</v>
      </c>
      <c r="Z858">
        <v>2</v>
      </c>
      <c r="AA858">
        <v>1</v>
      </c>
      <c r="AB858">
        <v>2</v>
      </c>
      <c r="AC858" t="s">
        <v>59</v>
      </c>
      <c r="AD858" t="s">
        <v>59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2</v>
      </c>
      <c r="AN858">
        <v>0</v>
      </c>
      <c r="AO858">
        <v>2</v>
      </c>
      <c r="AP858">
        <v>0</v>
      </c>
      <c r="AQ858">
        <v>100</v>
      </c>
      <c r="AR858" s="2">
        <v>45742.766736111109</v>
      </c>
      <c r="AS858" s="2">
        <v>45985.2106712963</v>
      </c>
      <c r="AT858" t="s">
        <v>1357</v>
      </c>
      <c r="AU858" t="s">
        <v>1357</v>
      </c>
      <c r="AV858">
        <v>243</v>
      </c>
    </row>
    <row r="859" spans="1:48" x14ac:dyDescent="0.25">
      <c r="A859">
        <v>967</v>
      </c>
      <c r="B859" t="s">
        <v>3323</v>
      </c>
      <c r="C859" t="s">
        <v>741</v>
      </c>
      <c r="D859" t="s">
        <v>3324</v>
      </c>
      <c r="E859" t="s">
        <v>3325</v>
      </c>
      <c r="F859" t="s">
        <v>3326</v>
      </c>
      <c r="G859" t="s">
        <v>104</v>
      </c>
      <c r="H859" s="1">
        <v>37348</v>
      </c>
      <c r="I859">
        <v>24</v>
      </c>
      <c r="J859">
        <v>2002</v>
      </c>
      <c r="K859" s="1">
        <v>45511</v>
      </c>
      <c r="L859">
        <v>2024</v>
      </c>
      <c r="M859" t="s">
        <v>54</v>
      </c>
      <c r="N859">
        <v>10</v>
      </c>
      <c r="O859" t="s">
        <v>118</v>
      </c>
      <c r="P859" t="s">
        <v>119</v>
      </c>
      <c r="Q859">
        <v>120</v>
      </c>
      <c r="R859">
        <v>4</v>
      </c>
      <c r="S859" t="s">
        <v>77</v>
      </c>
      <c r="T859" t="s">
        <v>78</v>
      </c>
      <c r="U859">
        <v>4</v>
      </c>
      <c r="V859">
        <v>4</v>
      </c>
      <c r="W859">
        <v>4</v>
      </c>
      <c r="X859">
        <v>4</v>
      </c>
      <c r="Y859">
        <v>1</v>
      </c>
      <c r="Z859">
        <v>4</v>
      </c>
      <c r="AA859">
        <v>2.25</v>
      </c>
      <c r="AB859">
        <v>9</v>
      </c>
      <c r="AC859" t="s">
        <v>59</v>
      </c>
      <c r="AD859" t="s">
        <v>60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2</v>
      </c>
      <c r="AL859">
        <v>0</v>
      </c>
      <c r="AM859">
        <v>1</v>
      </c>
      <c r="AN859">
        <v>0</v>
      </c>
      <c r="AO859">
        <v>4</v>
      </c>
      <c r="AP859">
        <v>0</v>
      </c>
      <c r="AQ859">
        <v>100</v>
      </c>
      <c r="AR859" s="2">
        <v>45751.970775462964</v>
      </c>
      <c r="AS859" s="2">
        <v>46054.326238425929</v>
      </c>
      <c r="AT859" t="s">
        <v>62</v>
      </c>
      <c r="AU859" t="s">
        <v>62</v>
      </c>
      <c r="AV859">
        <v>303</v>
      </c>
    </row>
    <row r="860" spans="1:48" x14ac:dyDescent="0.25">
      <c r="A860">
        <v>171</v>
      </c>
      <c r="B860" t="s">
        <v>3327</v>
      </c>
      <c r="C860" t="s">
        <v>1784</v>
      </c>
      <c r="D860" t="s">
        <v>2987</v>
      </c>
      <c r="E860" t="s">
        <v>3328</v>
      </c>
      <c r="F860" t="s">
        <v>3329</v>
      </c>
      <c r="G860" t="s">
        <v>53</v>
      </c>
      <c r="H860" s="1">
        <v>36976</v>
      </c>
      <c r="I860">
        <v>25</v>
      </c>
      <c r="J860">
        <v>2001</v>
      </c>
      <c r="K860" s="1">
        <v>45218</v>
      </c>
      <c r="L860">
        <v>2023</v>
      </c>
      <c r="M860" t="s">
        <v>54</v>
      </c>
      <c r="N860">
        <v>11</v>
      </c>
      <c r="O860" t="s">
        <v>378</v>
      </c>
      <c r="P860" t="s">
        <v>56</v>
      </c>
      <c r="Q860">
        <v>36</v>
      </c>
      <c r="R860">
        <v>4</v>
      </c>
      <c r="S860" t="s">
        <v>77</v>
      </c>
      <c r="T860" t="s">
        <v>78</v>
      </c>
      <c r="U860">
        <v>4</v>
      </c>
      <c r="V860">
        <v>4</v>
      </c>
      <c r="W860">
        <v>4</v>
      </c>
      <c r="X860">
        <v>4</v>
      </c>
      <c r="Y860">
        <v>1</v>
      </c>
      <c r="Z860">
        <v>4</v>
      </c>
      <c r="AA860">
        <v>3</v>
      </c>
      <c r="AB860">
        <v>12</v>
      </c>
      <c r="AC860" t="s">
        <v>1061</v>
      </c>
      <c r="AD860" t="s">
        <v>112</v>
      </c>
      <c r="AE860">
        <v>0</v>
      </c>
      <c r="AF860">
        <v>0</v>
      </c>
      <c r="AG860">
        <v>2</v>
      </c>
      <c r="AH860">
        <v>1</v>
      </c>
      <c r="AI860">
        <v>0</v>
      </c>
      <c r="AJ860">
        <v>0</v>
      </c>
      <c r="AK860">
        <v>1</v>
      </c>
      <c r="AL860">
        <v>0</v>
      </c>
      <c r="AM860">
        <v>0</v>
      </c>
      <c r="AN860">
        <v>0</v>
      </c>
      <c r="AO860">
        <v>4</v>
      </c>
      <c r="AP860">
        <v>0</v>
      </c>
      <c r="AQ860">
        <v>100</v>
      </c>
      <c r="AR860" s="2">
        <v>45747.971979166665</v>
      </c>
      <c r="AS860" s="2">
        <v>45889.738368055558</v>
      </c>
      <c r="AT860" t="s">
        <v>61</v>
      </c>
      <c r="AU860" t="s">
        <v>61</v>
      </c>
      <c r="AV860">
        <v>142</v>
      </c>
    </row>
    <row r="861" spans="1:48" x14ac:dyDescent="0.25">
      <c r="A861">
        <v>158</v>
      </c>
      <c r="B861" t="s">
        <v>3330</v>
      </c>
      <c r="C861" t="s">
        <v>3331</v>
      </c>
      <c r="D861" t="s">
        <v>400</v>
      </c>
      <c r="E861" t="s">
        <v>3332</v>
      </c>
      <c r="F861" t="s">
        <v>3333</v>
      </c>
      <c r="G861" t="s">
        <v>104</v>
      </c>
      <c r="H861" s="1">
        <v>35174</v>
      </c>
      <c r="I861">
        <v>30</v>
      </c>
      <c r="J861">
        <v>1996</v>
      </c>
      <c r="K861" s="1">
        <v>44771</v>
      </c>
      <c r="L861">
        <v>2022</v>
      </c>
      <c r="M861" t="s">
        <v>111</v>
      </c>
      <c r="N861">
        <v>5</v>
      </c>
      <c r="O861" t="s">
        <v>84</v>
      </c>
      <c r="P861" t="s">
        <v>56</v>
      </c>
      <c r="Q861">
        <v>36</v>
      </c>
      <c r="R861">
        <v>2</v>
      </c>
      <c r="S861" t="s">
        <v>85</v>
      </c>
      <c r="T861" t="s">
        <v>86</v>
      </c>
      <c r="U861">
        <v>4</v>
      </c>
      <c r="V861">
        <v>4</v>
      </c>
      <c r="W861">
        <v>4</v>
      </c>
      <c r="X861">
        <v>4</v>
      </c>
      <c r="Y861">
        <v>1</v>
      </c>
      <c r="Z861">
        <v>1</v>
      </c>
      <c r="AA861">
        <v>3.5</v>
      </c>
      <c r="AB861">
        <v>3.5</v>
      </c>
      <c r="AC861" t="s">
        <v>281</v>
      </c>
      <c r="AD861" t="s">
        <v>281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1</v>
      </c>
      <c r="AP861">
        <v>0</v>
      </c>
      <c r="AQ861">
        <v>100</v>
      </c>
      <c r="AR861" s="2">
        <v>45875.185254629629</v>
      </c>
      <c r="AS861" s="2">
        <v>46034.091828703706</v>
      </c>
      <c r="AT861" t="s">
        <v>1357</v>
      </c>
      <c r="AU861" t="s">
        <v>1357</v>
      </c>
      <c r="AV861">
        <v>159</v>
      </c>
    </row>
    <row r="862" spans="1:48" x14ac:dyDescent="0.25">
      <c r="A862">
        <v>742</v>
      </c>
      <c r="B862" t="s">
        <v>3334</v>
      </c>
      <c r="C862" t="s">
        <v>72</v>
      </c>
      <c r="D862" t="s">
        <v>253</v>
      </c>
      <c r="E862" t="s">
        <v>3335</v>
      </c>
      <c r="F862" t="s">
        <v>3336</v>
      </c>
      <c r="G862" t="s">
        <v>53</v>
      </c>
      <c r="H862" s="1">
        <v>36655</v>
      </c>
      <c r="I862">
        <v>26</v>
      </c>
      <c r="J862">
        <v>2000</v>
      </c>
      <c r="K862" s="1">
        <v>44769</v>
      </c>
      <c r="L862">
        <v>2022</v>
      </c>
      <c r="M862" t="s">
        <v>54</v>
      </c>
      <c r="N862">
        <v>21</v>
      </c>
      <c r="O862" t="s">
        <v>339</v>
      </c>
      <c r="P862" t="s">
        <v>69</v>
      </c>
      <c r="Q862">
        <v>60</v>
      </c>
      <c r="R862">
        <v>7</v>
      </c>
      <c r="S862" t="s">
        <v>163</v>
      </c>
      <c r="T862" t="s">
        <v>164</v>
      </c>
      <c r="U862">
        <v>4</v>
      </c>
      <c r="V862">
        <v>4</v>
      </c>
      <c r="W862">
        <v>4</v>
      </c>
      <c r="X862">
        <v>4</v>
      </c>
      <c r="Y862">
        <v>1</v>
      </c>
      <c r="Z862">
        <v>1</v>
      </c>
      <c r="AA862">
        <v>2</v>
      </c>
      <c r="AB862">
        <v>2</v>
      </c>
      <c r="AC862" t="s">
        <v>1061</v>
      </c>
      <c r="AD862" t="s">
        <v>1061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</v>
      </c>
      <c r="AL862">
        <v>0</v>
      </c>
      <c r="AM862">
        <v>0</v>
      </c>
      <c r="AN862">
        <v>0</v>
      </c>
      <c r="AO862">
        <v>1</v>
      </c>
      <c r="AP862">
        <v>0</v>
      </c>
      <c r="AQ862">
        <v>100</v>
      </c>
      <c r="AR862" s="2">
        <v>45727.317777777775</v>
      </c>
      <c r="AS862" s="2">
        <v>45909.026400462964</v>
      </c>
      <c r="AT862" t="s">
        <v>1357</v>
      </c>
      <c r="AU862" t="s">
        <v>1357</v>
      </c>
      <c r="AV862">
        <v>182</v>
      </c>
    </row>
    <row r="863" spans="1:48" x14ac:dyDescent="0.25">
      <c r="A863">
        <v>717</v>
      </c>
      <c r="B863" t="s">
        <v>3337</v>
      </c>
      <c r="C863" t="s">
        <v>2337</v>
      </c>
      <c r="D863" t="s">
        <v>3338</v>
      </c>
      <c r="E863" t="s">
        <v>3339</v>
      </c>
      <c r="F863" t="s">
        <v>3340</v>
      </c>
      <c r="G863" t="s">
        <v>53</v>
      </c>
      <c r="H863" s="1">
        <v>37828</v>
      </c>
      <c r="I863">
        <v>23</v>
      </c>
      <c r="J863">
        <v>2003</v>
      </c>
      <c r="K863" s="1">
        <v>44826</v>
      </c>
      <c r="L863">
        <v>2022</v>
      </c>
      <c r="M863" t="s">
        <v>54</v>
      </c>
      <c r="N863">
        <v>8</v>
      </c>
      <c r="O863" t="s">
        <v>125</v>
      </c>
      <c r="P863" t="s">
        <v>56</v>
      </c>
      <c r="Q863">
        <v>36</v>
      </c>
      <c r="R863">
        <v>3</v>
      </c>
      <c r="S863" t="s">
        <v>126</v>
      </c>
      <c r="T863" t="s">
        <v>127</v>
      </c>
      <c r="U863">
        <v>4</v>
      </c>
      <c r="V863">
        <v>4</v>
      </c>
      <c r="W863">
        <v>4</v>
      </c>
      <c r="X863">
        <v>4</v>
      </c>
      <c r="Y863">
        <v>1</v>
      </c>
      <c r="Z863">
        <v>2</v>
      </c>
      <c r="AA863">
        <v>1.75</v>
      </c>
      <c r="AB863">
        <v>3.5</v>
      </c>
      <c r="AC863" t="s">
        <v>59</v>
      </c>
      <c r="AD863" t="s">
        <v>540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1</v>
      </c>
      <c r="AN863">
        <v>0</v>
      </c>
      <c r="AO863">
        <v>2</v>
      </c>
      <c r="AP863">
        <v>0</v>
      </c>
      <c r="AQ863">
        <v>100</v>
      </c>
      <c r="AR863" s="2">
        <v>45786.457835648151</v>
      </c>
      <c r="AS863" s="2">
        <v>46015.120289351849</v>
      </c>
      <c r="AT863" t="s">
        <v>1357</v>
      </c>
      <c r="AU863" t="s">
        <v>1357</v>
      </c>
      <c r="AV863">
        <v>229</v>
      </c>
    </row>
    <row r="864" spans="1:48" x14ac:dyDescent="0.25">
      <c r="A864">
        <v>878</v>
      </c>
      <c r="B864" t="s">
        <v>3341</v>
      </c>
      <c r="C864" t="s">
        <v>1714</v>
      </c>
      <c r="D864" t="s">
        <v>1314</v>
      </c>
      <c r="E864" t="s">
        <v>3342</v>
      </c>
      <c r="F864" t="s">
        <v>3343</v>
      </c>
      <c r="G864" t="s">
        <v>53</v>
      </c>
      <c r="H864" s="1">
        <v>39380</v>
      </c>
      <c r="I864">
        <v>19</v>
      </c>
      <c r="J864">
        <v>2007</v>
      </c>
      <c r="K864" s="1">
        <v>44905</v>
      </c>
      <c r="L864">
        <v>2022</v>
      </c>
      <c r="M864" t="s">
        <v>111</v>
      </c>
      <c r="N864">
        <v>12</v>
      </c>
      <c r="O864" t="s">
        <v>76</v>
      </c>
      <c r="P864" t="s">
        <v>69</v>
      </c>
      <c r="Q864">
        <v>60</v>
      </c>
      <c r="R864">
        <v>4</v>
      </c>
      <c r="S864" t="s">
        <v>77</v>
      </c>
      <c r="T864" t="s">
        <v>78</v>
      </c>
      <c r="U864">
        <v>4</v>
      </c>
      <c r="V864">
        <v>4</v>
      </c>
      <c r="W864">
        <v>4</v>
      </c>
      <c r="X864">
        <v>3</v>
      </c>
      <c r="Y864">
        <v>1</v>
      </c>
      <c r="Z864">
        <v>4</v>
      </c>
      <c r="AA864">
        <v>1.75</v>
      </c>
      <c r="AB864">
        <v>7</v>
      </c>
      <c r="AC864" t="s">
        <v>70</v>
      </c>
      <c r="AD864" t="s">
        <v>112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2</v>
      </c>
      <c r="AL864">
        <v>0</v>
      </c>
      <c r="AM864">
        <v>0</v>
      </c>
      <c r="AN864">
        <v>1</v>
      </c>
      <c r="AO864">
        <v>3</v>
      </c>
      <c r="AP864">
        <v>1</v>
      </c>
      <c r="AQ864">
        <v>75</v>
      </c>
      <c r="AR864" s="2">
        <v>45887.120162037034</v>
      </c>
      <c r="AS864" s="2">
        <v>46038.02</v>
      </c>
      <c r="AT864" t="s">
        <v>61</v>
      </c>
      <c r="AU864" t="s">
        <v>61</v>
      </c>
      <c r="AV864">
        <v>151</v>
      </c>
    </row>
    <row r="865" spans="1:48" x14ac:dyDescent="0.25">
      <c r="A865">
        <v>952</v>
      </c>
      <c r="B865" t="s">
        <v>3344</v>
      </c>
      <c r="C865" t="s">
        <v>252</v>
      </c>
      <c r="D865" t="s">
        <v>3345</v>
      </c>
      <c r="E865" t="s">
        <v>3346</v>
      </c>
      <c r="F865">
        <f>1-418-576-9208</f>
        <v>-10201</v>
      </c>
      <c r="G865" t="s">
        <v>53</v>
      </c>
      <c r="H865" s="1">
        <v>38557</v>
      </c>
      <c r="I865">
        <v>21</v>
      </c>
      <c r="J865">
        <v>2005</v>
      </c>
      <c r="K865" s="1">
        <v>44976</v>
      </c>
      <c r="L865">
        <v>2023</v>
      </c>
      <c r="M865" t="s">
        <v>54</v>
      </c>
      <c r="N865">
        <v>20</v>
      </c>
      <c r="O865" t="s">
        <v>180</v>
      </c>
      <c r="P865" t="s">
        <v>56</v>
      </c>
      <c r="Q865">
        <v>36</v>
      </c>
      <c r="R865">
        <v>7</v>
      </c>
      <c r="S865" t="s">
        <v>163</v>
      </c>
      <c r="T865" t="s">
        <v>164</v>
      </c>
      <c r="U865">
        <v>4</v>
      </c>
      <c r="V865">
        <v>4</v>
      </c>
      <c r="W865">
        <v>4</v>
      </c>
      <c r="X865">
        <v>4</v>
      </c>
      <c r="Y865">
        <v>1</v>
      </c>
      <c r="Z865">
        <v>4</v>
      </c>
      <c r="AA865">
        <v>3.125</v>
      </c>
      <c r="AB865">
        <v>12.5</v>
      </c>
      <c r="AC865" t="s">
        <v>1061</v>
      </c>
      <c r="AD865" t="s">
        <v>281</v>
      </c>
      <c r="AE865">
        <v>0</v>
      </c>
      <c r="AF865">
        <v>0</v>
      </c>
      <c r="AG865">
        <v>3</v>
      </c>
      <c r="AH865">
        <v>0</v>
      </c>
      <c r="AI865">
        <v>0</v>
      </c>
      <c r="AJ865">
        <v>0</v>
      </c>
      <c r="AK865">
        <v>1</v>
      </c>
      <c r="AL865">
        <v>0</v>
      </c>
      <c r="AM865">
        <v>0</v>
      </c>
      <c r="AN865">
        <v>0</v>
      </c>
      <c r="AO865">
        <v>4</v>
      </c>
      <c r="AP865">
        <v>0</v>
      </c>
      <c r="AQ865">
        <v>100</v>
      </c>
      <c r="AR865" s="2">
        <v>45852.555891203701</v>
      </c>
      <c r="AS865" s="2">
        <v>46051.973252314812</v>
      </c>
      <c r="AT865" t="s">
        <v>62</v>
      </c>
      <c r="AU865" t="s">
        <v>62</v>
      </c>
      <c r="AV865">
        <v>199</v>
      </c>
    </row>
    <row r="866" spans="1:48" x14ac:dyDescent="0.25">
      <c r="A866">
        <v>907</v>
      </c>
      <c r="B866" t="s">
        <v>3347</v>
      </c>
      <c r="C866" t="s">
        <v>648</v>
      </c>
      <c r="D866" t="s">
        <v>2379</v>
      </c>
      <c r="E866" t="s">
        <v>3348</v>
      </c>
      <c r="F866" t="s">
        <v>3349</v>
      </c>
      <c r="G866" t="s">
        <v>104</v>
      </c>
      <c r="H866" s="1">
        <v>37010</v>
      </c>
      <c r="I866">
        <v>25</v>
      </c>
      <c r="J866">
        <v>2001</v>
      </c>
      <c r="K866" s="1">
        <v>44669</v>
      </c>
      <c r="L866">
        <v>2022</v>
      </c>
      <c r="M866" t="s">
        <v>54</v>
      </c>
      <c r="N866">
        <v>8</v>
      </c>
      <c r="O866" t="s">
        <v>125</v>
      </c>
      <c r="P866" t="s">
        <v>56</v>
      </c>
      <c r="Q866">
        <v>36</v>
      </c>
      <c r="R866">
        <v>3</v>
      </c>
      <c r="S866" t="s">
        <v>126</v>
      </c>
      <c r="T866" t="s">
        <v>127</v>
      </c>
      <c r="U866">
        <v>4</v>
      </c>
      <c r="V866">
        <v>4</v>
      </c>
      <c r="W866">
        <v>4</v>
      </c>
      <c r="X866">
        <v>4</v>
      </c>
      <c r="Y866">
        <v>1</v>
      </c>
      <c r="Z866">
        <v>1</v>
      </c>
      <c r="AA866">
        <v>3.5</v>
      </c>
      <c r="AB866">
        <v>3.5</v>
      </c>
      <c r="AC866" t="s">
        <v>281</v>
      </c>
      <c r="AD866" t="s">
        <v>281</v>
      </c>
      <c r="AE866">
        <v>0</v>
      </c>
      <c r="AF866">
        <v>0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1</v>
      </c>
      <c r="AP866">
        <v>0</v>
      </c>
      <c r="AQ866">
        <v>100</v>
      </c>
      <c r="AR866" s="2">
        <v>45750.527858796297</v>
      </c>
      <c r="AS866" s="2">
        <v>46008.886574074073</v>
      </c>
      <c r="AT866" t="s">
        <v>1357</v>
      </c>
      <c r="AU866" t="s">
        <v>1357</v>
      </c>
      <c r="AV866">
        <v>258</v>
      </c>
    </row>
    <row r="867" spans="1:48" x14ac:dyDescent="0.25">
      <c r="A867">
        <v>232</v>
      </c>
      <c r="B867" t="s">
        <v>3350</v>
      </c>
      <c r="C867" t="s">
        <v>1414</v>
      </c>
      <c r="D867" t="s">
        <v>611</v>
      </c>
      <c r="E867" t="s">
        <v>3351</v>
      </c>
      <c r="F867" t="s">
        <v>3352</v>
      </c>
      <c r="G867" t="s">
        <v>53</v>
      </c>
      <c r="H867" s="1">
        <v>35557</v>
      </c>
      <c r="I867">
        <v>29</v>
      </c>
      <c r="J867">
        <v>1997</v>
      </c>
      <c r="K867" s="1">
        <v>46022</v>
      </c>
      <c r="L867">
        <v>2025</v>
      </c>
      <c r="M867" t="s">
        <v>54</v>
      </c>
      <c r="N867">
        <v>3</v>
      </c>
      <c r="O867" t="s">
        <v>68</v>
      </c>
      <c r="P867" t="s">
        <v>69</v>
      </c>
      <c r="Q867">
        <v>60</v>
      </c>
      <c r="R867">
        <v>1</v>
      </c>
      <c r="S867" t="s">
        <v>57</v>
      </c>
      <c r="T867" t="s">
        <v>58</v>
      </c>
      <c r="U867">
        <v>4</v>
      </c>
      <c r="V867">
        <v>4</v>
      </c>
      <c r="W867">
        <v>4</v>
      </c>
      <c r="X867">
        <v>4</v>
      </c>
      <c r="Y867">
        <v>1</v>
      </c>
      <c r="Z867">
        <v>4</v>
      </c>
      <c r="AA867">
        <v>0.75</v>
      </c>
      <c r="AB867">
        <v>3</v>
      </c>
      <c r="AC867" t="s">
        <v>70</v>
      </c>
      <c r="AD867" t="s">
        <v>1061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1</v>
      </c>
      <c r="AN867">
        <v>2</v>
      </c>
      <c r="AO867">
        <v>2</v>
      </c>
      <c r="AP867">
        <v>2</v>
      </c>
      <c r="AQ867">
        <v>50</v>
      </c>
      <c r="AR867" s="2">
        <v>45917.375740740739</v>
      </c>
      <c r="AS867" s="2">
        <v>45949.742384259262</v>
      </c>
      <c r="AT867" t="s">
        <v>62</v>
      </c>
      <c r="AU867" t="s">
        <v>62</v>
      </c>
      <c r="AV867">
        <v>32</v>
      </c>
    </row>
    <row r="868" spans="1:48" x14ac:dyDescent="0.25">
      <c r="A868">
        <v>969</v>
      </c>
      <c r="B868" t="s">
        <v>3353</v>
      </c>
      <c r="C868" t="s">
        <v>1184</v>
      </c>
      <c r="D868" t="s">
        <v>1910</v>
      </c>
      <c r="E868" t="s">
        <v>3354</v>
      </c>
      <c r="F868" t="s">
        <v>3355</v>
      </c>
      <c r="G868" t="s">
        <v>53</v>
      </c>
      <c r="H868" s="1">
        <v>35923</v>
      </c>
      <c r="I868">
        <v>28</v>
      </c>
      <c r="J868">
        <v>1998</v>
      </c>
      <c r="K868" s="1">
        <v>45176</v>
      </c>
      <c r="L868">
        <v>2023</v>
      </c>
      <c r="M868" t="s">
        <v>111</v>
      </c>
      <c r="N868">
        <v>3</v>
      </c>
      <c r="O868" t="s">
        <v>68</v>
      </c>
      <c r="P868" t="s">
        <v>69</v>
      </c>
      <c r="Q868">
        <v>60</v>
      </c>
      <c r="R868">
        <v>1</v>
      </c>
      <c r="S868" t="s">
        <v>57</v>
      </c>
      <c r="T868" t="s">
        <v>58</v>
      </c>
      <c r="U868">
        <v>4</v>
      </c>
      <c r="V868">
        <v>4</v>
      </c>
      <c r="W868">
        <v>4</v>
      </c>
      <c r="X868">
        <v>4</v>
      </c>
      <c r="Y868">
        <v>1</v>
      </c>
      <c r="Z868">
        <v>2</v>
      </c>
      <c r="AA868">
        <v>3.25</v>
      </c>
      <c r="AB868">
        <v>6.5</v>
      </c>
      <c r="AC868" t="s">
        <v>540</v>
      </c>
      <c r="AD868" t="s">
        <v>60</v>
      </c>
      <c r="AE868">
        <v>1</v>
      </c>
      <c r="AF868">
        <v>0</v>
      </c>
      <c r="AG868">
        <v>0</v>
      </c>
      <c r="AH868">
        <v>0</v>
      </c>
      <c r="AI868">
        <v>0</v>
      </c>
      <c r="AJ868">
        <v>1</v>
      </c>
      <c r="AK868">
        <v>0</v>
      </c>
      <c r="AL868">
        <v>0</v>
      </c>
      <c r="AM868">
        <v>0</v>
      </c>
      <c r="AN868">
        <v>0</v>
      </c>
      <c r="AO868">
        <v>2</v>
      </c>
      <c r="AP868">
        <v>0</v>
      </c>
      <c r="AQ868">
        <v>100</v>
      </c>
      <c r="AR868" s="2">
        <v>45797.038113425922</v>
      </c>
      <c r="AS868" s="2">
        <v>45976.046747685185</v>
      </c>
      <c r="AT868" t="s">
        <v>1357</v>
      </c>
      <c r="AU868" t="s">
        <v>1357</v>
      </c>
      <c r="AV868">
        <v>179</v>
      </c>
    </row>
    <row r="869" spans="1:48" x14ac:dyDescent="0.25">
      <c r="A869">
        <v>459</v>
      </c>
      <c r="B869" t="s">
        <v>3356</v>
      </c>
      <c r="C869" t="s">
        <v>331</v>
      </c>
      <c r="D869" t="s">
        <v>1329</v>
      </c>
      <c r="E869" t="s">
        <v>3357</v>
      </c>
      <c r="F869" t="s">
        <v>3358</v>
      </c>
      <c r="G869" t="s">
        <v>104</v>
      </c>
      <c r="H869" s="1">
        <v>36118</v>
      </c>
      <c r="I869">
        <v>28</v>
      </c>
      <c r="J869">
        <v>1998</v>
      </c>
      <c r="K869" s="1">
        <v>44891</v>
      </c>
      <c r="L869">
        <v>2022</v>
      </c>
      <c r="M869" t="s">
        <v>54</v>
      </c>
      <c r="N869">
        <v>6</v>
      </c>
      <c r="O869" t="s">
        <v>133</v>
      </c>
      <c r="P869" t="s">
        <v>69</v>
      </c>
      <c r="Q869">
        <v>60</v>
      </c>
      <c r="R869">
        <v>2</v>
      </c>
      <c r="S869" t="s">
        <v>85</v>
      </c>
      <c r="T869" t="s">
        <v>86</v>
      </c>
      <c r="U869">
        <v>4</v>
      </c>
      <c r="V869">
        <v>4</v>
      </c>
      <c r="W869">
        <v>4</v>
      </c>
      <c r="X869">
        <v>4</v>
      </c>
      <c r="Y869">
        <v>1</v>
      </c>
      <c r="Z869">
        <v>2</v>
      </c>
      <c r="AA869">
        <v>2</v>
      </c>
      <c r="AB869">
        <v>4</v>
      </c>
      <c r="AC869" t="s">
        <v>70</v>
      </c>
      <c r="AD869" t="s">
        <v>60</v>
      </c>
      <c r="AE869">
        <v>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1</v>
      </c>
      <c r="AQ869">
        <v>50</v>
      </c>
      <c r="AR869" s="2">
        <v>45802.613726851851</v>
      </c>
      <c r="AS869" s="2">
        <v>46072.656064814815</v>
      </c>
      <c r="AT869" t="s">
        <v>1357</v>
      </c>
      <c r="AU869" t="s">
        <v>1357</v>
      </c>
      <c r="AV869">
        <v>270</v>
      </c>
    </row>
    <row r="870" spans="1:48" x14ac:dyDescent="0.25">
      <c r="A870">
        <v>72</v>
      </c>
      <c r="B870" t="s">
        <v>3359</v>
      </c>
      <c r="C870" t="s">
        <v>3360</v>
      </c>
      <c r="D870" t="s">
        <v>3361</v>
      </c>
      <c r="E870" t="s">
        <v>3362</v>
      </c>
      <c r="F870" t="s">
        <v>3363</v>
      </c>
      <c r="G870" t="s">
        <v>53</v>
      </c>
      <c r="H870" s="1">
        <v>39116</v>
      </c>
      <c r="I870">
        <v>19</v>
      </c>
      <c r="J870">
        <v>2007</v>
      </c>
      <c r="K870" s="1">
        <v>45078</v>
      </c>
      <c r="L870">
        <v>2023</v>
      </c>
      <c r="M870" t="s">
        <v>54</v>
      </c>
      <c r="N870">
        <v>19</v>
      </c>
      <c r="O870" t="s">
        <v>162</v>
      </c>
      <c r="P870" t="s">
        <v>119</v>
      </c>
      <c r="Q870">
        <v>120</v>
      </c>
      <c r="R870">
        <v>7</v>
      </c>
      <c r="S870" t="s">
        <v>163</v>
      </c>
      <c r="T870" t="s">
        <v>164</v>
      </c>
      <c r="U870">
        <v>4</v>
      </c>
      <c r="V870">
        <v>4</v>
      </c>
      <c r="W870">
        <v>4</v>
      </c>
      <c r="X870">
        <v>4</v>
      </c>
      <c r="Y870">
        <v>1</v>
      </c>
      <c r="Z870">
        <v>4</v>
      </c>
      <c r="AA870">
        <v>3.125</v>
      </c>
      <c r="AB870">
        <v>12.5</v>
      </c>
      <c r="AC870" t="s">
        <v>1061</v>
      </c>
      <c r="AD870" t="s">
        <v>60</v>
      </c>
      <c r="AE870">
        <v>1</v>
      </c>
      <c r="AF870">
        <v>0</v>
      </c>
      <c r="AG870">
        <v>1</v>
      </c>
      <c r="AH870">
        <v>1</v>
      </c>
      <c r="AI870">
        <v>0</v>
      </c>
      <c r="AJ870">
        <v>0</v>
      </c>
      <c r="AK870">
        <v>1</v>
      </c>
      <c r="AL870">
        <v>0</v>
      </c>
      <c r="AM870">
        <v>0</v>
      </c>
      <c r="AN870">
        <v>0</v>
      </c>
      <c r="AO870">
        <v>4</v>
      </c>
      <c r="AP870">
        <v>0</v>
      </c>
      <c r="AQ870">
        <v>100</v>
      </c>
      <c r="AR870" s="2">
        <v>45910.143020833333</v>
      </c>
      <c r="AS870" s="2">
        <v>46018.065682870372</v>
      </c>
      <c r="AT870" t="s">
        <v>61</v>
      </c>
      <c r="AU870" t="s">
        <v>61</v>
      </c>
      <c r="AV870">
        <v>108</v>
      </c>
    </row>
    <row r="871" spans="1:48" x14ac:dyDescent="0.25">
      <c r="A871">
        <v>667</v>
      </c>
      <c r="B871" t="s">
        <v>3364</v>
      </c>
      <c r="C871" t="s">
        <v>3365</v>
      </c>
      <c r="D871" t="s">
        <v>3366</v>
      </c>
      <c r="E871" t="s">
        <v>3367</v>
      </c>
      <c r="F871" t="s">
        <v>3368</v>
      </c>
      <c r="G871" t="s">
        <v>104</v>
      </c>
      <c r="H871" s="1">
        <v>37893</v>
      </c>
      <c r="I871">
        <v>23</v>
      </c>
      <c r="J871">
        <v>2003</v>
      </c>
      <c r="K871" s="1">
        <v>45385</v>
      </c>
      <c r="L871">
        <v>2024</v>
      </c>
      <c r="M871" t="s">
        <v>54</v>
      </c>
      <c r="N871">
        <v>1</v>
      </c>
      <c r="O871" t="s">
        <v>157</v>
      </c>
      <c r="P871" t="s">
        <v>119</v>
      </c>
      <c r="Q871">
        <v>120</v>
      </c>
      <c r="R871">
        <v>1</v>
      </c>
      <c r="S871" t="s">
        <v>57</v>
      </c>
      <c r="T871" t="s">
        <v>58</v>
      </c>
      <c r="U871">
        <v>4</v>
      </c>
      <c r="V871">
        <v>4</v>
      </c>
      <c r="W871">
        <v>4</v>
      </c>
      <c r="X871">
        <v>4</v>
      </c>
      <c r="Y871">
        <v>1</v>
      </c>
      <c r="Z871">
        <v>4</v>
      </c>
      <c r="AA871">
        <v>3.25</v>
      </c>
      <c r="AB871">
        <v>13</v>
      </c>
      <c r="AC871" t="s">
        <v>1061</v>
      </c>
      <c r="AD871" t="s">
        <v>60</v>
      </c>
      <c r="AE871">
        <v>1</v>
      </c>
      <c r="AF871">
        <v>0</v>
      </c>
      <c r="AG871">
        <v>2</v>
      </c>
      <c r="AH871">
        <v>0</v>
      </c>
      <c r="AI871">
        <v>0</v>
      </c>
      <c r="AJ871">
        <v>0</v>
      </c>
      <c r="AK871">
        <v>1</v>
      </c>
      <c r="AL871">
        <v>0</v>
      </c>
      <c r="AM871">
        <v>0</v>
      </c>
      <c r="AN871">
        <v>0</v>
      </c>
      <c r="AO871">
        <v>4</v>
      </c>
      <c r="AP871">
        <v>0</v>
      </c>
      <c r="AQ871">
        <v>100</v>
      </c>
      <c r="AR871" s="2">
        <v>45748.85670138889</v>
      </c>
      <c r="AS871" s="2">
        <v>45955.700868055559</v>
      </c>
      <c r="AT871" t="s">
        <v>62</v>
      </c>
      <c r="AU871" t="s">
        <v>62</v>
      </c>
      <c r="AV871">
        <v>207</v>
      </c>
    </row>
    <row r="872" spans="1:48" x14ac:dyDescent="0.25">
      <c r="A872">
        <v>205</v>
      </c>
      <c r="B872" t="s">
        <v>3369</v>
      </c>
      <c r="C872" t="s">
        <v>3331</v>
      </c>
      <c r="D872" t="s">
        <v>342</v>
      </c>
      <c r="E872" t="s">
        <v>3370</v>
      </c>
      <c r="F872" t="s">
        <v>3371</v>
      </c>
      <c r="G872" t="s">
        <v>104</v>
      </c>
      <c r="H872" s="1">
        <v>37078</v>
      </c>
      <c r="I872">
        <v>25</v>
      </c>
      <c r="J872">
        <v>2001</v>
      </c>
      <c r="K872" s="1">
        <v>45546</v>
      </c>
      <c r="L872">
        <v>2024</v>
      </c>
      <c r="M872" t="s">
        <v>54</v>
      </c>
      <c r="N872">
        <v>12</v>
      </c>
      <c r="O872" t="s">
        <v>76</v>
      </c>
      <c r="P872" t="s">
        <v>69</v>
      </c>
      <c r="Q872">
        <v>60</v>
      </c>
      <c r="R872">
        <v>4</v>
      </c>
      <c r="S872" t="s">
        <v>77</v>
      </c>
      <c r="T872" t="s">
        <v>78</v>
      </c>
      <c r="U872">
        <v>4</v>
      </c>
      <c r="V872">
        <v>4</v>
      </c>
      <c r="W872">
        <v>4</v>
      </c>
      <c r="X872">
        <v>4</v>
      </c>
      <c r="Y872">
        <v>1</v>
      </c>
      <c r="Z872">
        <v>4</v>
      </c>
      <c r="AA872">
        <v>2.75</v>
      </c>
      <c r="AB872">
        <v>11</v>
      </c>
      <c r="AC872" t="s">
        <v>70</v>
      </c>
      <c r="AD872" t="s">
        <v>60</v>
      </c>
      <c r="AE872">
        <v>1</v>
      </c>
      <c r="AF872">
        <v>0</v>
      </c>
      <c r="AG872">
        <v>2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3</v>
      </c>
      <c r="AP872">
        <v>1</v>
      </c>
      <c r="AQ872">
        <v>75</v>
      </c>
      <c r="AR872" s="2">
        <v>45816.195162037038</v>
      </c>
      <c r="AS872" s="2">
        <v>45972.066423611112</v>
      </c>
      <c r="AT872" t="s">
        <v>62</v>
      </c>
      <c r="AU872" t="s">
        <v>62</v>
      </c>
      <c r="AV872">
        <v>156</v>
      </c>
    </row>
    <row r="873" spans="1:48" x14ac:dyDescent="0.25">
      <c r="A873">
        <v>157</v>
      </c>
      <c r="B873" t="s">
        <v>3372</v>
      </c>
      <c r="C873" t="s">
        <v>277</v>
      </c>
      <c r="D873" t="s">
        <v>3286</v>
      </c>
      <c r="E873" t="s">
        <v>3373</v>
      </c>
      <c r="F873">
        <v>3513627136</v>
      </c>
      <c r="G873" t="s">
        <v>53</v>
      </c>
      <c r="H873" s="1">
        <v>35253</v>
      </c>
      <c r="I873">
        <v>30</v>
      </c>
      <c r="J873">
        <v>1996</v>
      </c>
      <c r="K873" s="1">
        <v>45162</v>
      </c>
      <c r="L873">
        <v>2023</v>
      </c>
      <c r="M873" t="s">
        <v>54</v>
      </c>
      <c r="N873">
        <v>12</v>
      </c>
      <c r="O873" t="s">
        <v>76</v>
      </c>
      <c r="P873" t="s">
        <v>69</v>
      </c>
      <c r="Q873">
        <v>60</v>
      </c>
      <c r="R873">
        <v>4</v>
      </c>
      <c r="S873" t="s">
        <v>77</v>
      </c>
      <c r="T873" t="s">
        <v>78</v>
      </c>
      <c r="U873">
        <v>4</v>
      </c>
      <c r="V873">
        <v>4</v>
      </c>
      <c r="W873">
        <v>4</v>
      </c>
      <c r="X873">
        <v>4</v>
      </c>
      <c r="Y873">
        <v>1</v>
      </c>
      <c r="Z873">
        <v>1</v>
      </c>
      <c r="AA873">
        <v>3</v>
      </c>
      <c r="AB873">
        <v>3</v>
      </c>
      <c r="AC873" t="s">
        <v>112</v>
      </c>
      <c r="AD873" t="s">
        <v>112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1</v>
      </c>
      <c r="AP873">
        <v>0</v>
      </c>
      <c r="AQ873">
        <v>100</v>
      </c>
      <c r="AR873" s="2">
        <v>45738.667500000003</v>
      </c>
      <c r="AS873" s="2">
        <v>45955.542847222219</v>
      </c>
      <c r="AT873" t="s">
        <v>1357</v>
      </c>
      <c r="AU873" t="s">
        <v>1357</v>
      </c>
      <c r="AV873">
        <v>217</v>
      </c>
    </row>
    <row r="874" spans="1:48" x14ac:dyDescent="0.25">
      <c r="A874">
        <v>692</v>
      </c>
      <c r="B874" t="s">
        <v>3374</v>
      </c>
      <c r="C874" t="s">
        <v>1116</v>
      </c>
      <c r="D874" t="s">
        <v>342</v>
      </c>
      <c r="E874" t="s">
        <v>3375</v>
      </c>
      <c r="F874" t="s">
        <v>3376</v>
      </c>
      <c r="G874" t="s">
        <v>104</v>
      </c>
      <c r="H874" s="1">
        <v>37354</v>
      </c>
      <c r="I874">
        <v>24</v>
      </c>
      <c r="J874">
        <v>2002</v>
      </c>
      <c r="K874" s="1">
        <v>45082</v>
      </c>
      <c r="L874">
        <v>2023</v>
      </c>
      <c r="M874" t="s">
        <v>54</v>
      </c>
      <c r="N874">
        <v>12</v>
      </c>
      <c r="O874" t="s">
        <v>76</v>
      </c>
      <c r="P874" t="s">
        <v>69</v>
      </c>
      <c r="Q874">
        <v>60</v>
      </c>
      <c r="R874">
        <v>4</v>
      </c>
      <c r="S874" t="s">
        <v>77</v>
      </c>
      <c r="T874" t="s">
        <v>78</v>
      </c>
      <c r="U874">
        <v>4</v>
      </c>
      <c r="V874">
        <v>4</v>
      </c>
      <c r="W874">
        <v>4</v>
      </c>
      <c r="X874">
        <v>4</v>
      </c>
      <c r="Y874">
        <v>1</v>
      </c>
      <c r="Z874">
        <v>4</v>
      </c>
      <c r="AA874">
        <v>1.75</v>
      </c>
      <c r="AB874">
        <v>7</v>
      </c>
      <c r="AC874" t="s">
        <v>70</v>
      </c>
      <c r="AD874" t="s">
        <v>112</v>
      </c>
      <c r="AE874">
        <v>0</v>
      </c>
      <c r="AF874">
        <v>0</v>
      </c>
      <c r="AG874">
        <v>0</v>
      </c>
      <c r="AH874">
        <v>2</v>
      </c>
      <c r="AI874">
        <v>0</v>
      </c>
      <c r="AJ874">
        <v>0</v>
      </c>
      <c r="AK874">
        <v>0</v>
      </c>
      <c r="AL874">
        <v>0</v>
      </c>
      <c r="AM874">
        <v>1</v>
      </c>
      <c r="AN874">
        <v>1</v>
      </c>
      <c r="AO874">
        <v>3</v>
      </c>
      <c r="AP874">
        <v>1</v>
      </c>
      <c r="AQ874">
        <v>75</v>
      </c>
      <c r="AR874" s="2">
        <v>45732.08085648148</v>
      </c>
      <c r="AS874" s="2">
        <v>46048.917013888888</v>
      </c>
      <c r="AT874" t="s">
        <v>61</v>
      </c>
      <c r="AU874" t="s">
        <v>61</v>
      </c>
      <c r="AV874">
        <v>316</v>
      </c>
    </row>
    <row r="875" spans="1:48" x14ac:dyDescent="0.25">
      <c r="A875">
        <v>322</v>
      </c>
      <c r="B875" t="s">
        <v>3377</v>
      </c>
      <c r="C875" t="s">
        <v>690</v>
      </c>
      <c r="D875" t="s">
        <v>1769</v>
      </c>
      <c r="E875" t="s">
        <v>3378</v>
      </c>
      <c r="F875" t="s">
        <v>3379</v>
      </c>
      <c r="G875" t="s">
        <v>104</v>
      </c>
      <c r="H875" s="1">
        <v>38755</v>
      </c>
      <c r="I875">
        <v>20</v>
      </c>
      <c r="J875">
        <v>2006</v>
      </c>
      <c r="K875" s="1">
        <v>45120</v>
      </c>
      <c r="L875">
        <v>2023</v>
      </c>
      <c r="M875" t="s">
        <v>111</v>
      </c>
      <c r="N875">
        <v>3</v>
      </c>
      <c r="O875" t="s">
        <v>68</v>
      </c>
      <c r="P875" t="s">
        <v>69</v>
      </c>
      <c r="Q875">
        <v>60</v>
      </c>
      <c r="R875">
        <v>1</v>
      </c>
      <c r="S875" t="s">
        <v>57</v>
      </c>
      <c r="T875" t="s">
        <v>58</v>
      </c>
      <c r="U875">
        <v>4</v>
      </c>
      <c r="V875">
        <v>4</v>
      </c>
      <c r="W875">
        <v>4</v>
      </c>
      <c r="X875">
        <v>3</v>
      </c>
      <c r="Y875">
        <v>1</v>
      </c>
      <c r="Z875">
        <v>4</v>
      </c>
      <c r="AA875">
        <v>3.25</v>
      </c>
      <c r="AB875">
        <v>13</v>
      </c>
      <c r="AC875" t="s">
        <v>540</v>
      </c>
      <c r="AD875" t="s">
        <v>60</v>
      </c>
      <c r="AE875">
        <v>1</v>
      </c>
      <c r="AF875">
        <v>0</v>
      </c>
      <c r="AG875">
        <v>1</v>
      </c>
      <c r="AH875">
        <v>1</v>
      </c>
      <c r="AI875">
        <v>0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4</v>
      </c>
      <c r="AP875">
        <v>0</v>
      </c>
      <c r="AQ875">
        <v>100</v>
      </c>
      <c r="AR875" s="2">
        <v>45924.214004629626</v>
      </c>
      <c r="AS875" s="2">
        <v>46073.401805555557</v>
      </c>
      <c r="AT875" t="s">
        <v>62</v>
      </c>
      <c r="AU875" t="s">
        <v>62</v>
      </c>
      <c r="AV875">
        <v>149</v>
      </c>
    </row>
    <row r="876" spans="1:48" x14ac:dyDescent="0.25">
      <c r="A876">
        <v>97</v>
      </c>
      <c r="B876" t="s">
        <v>3380</v>
      </c>
      <c r="C876" t="s">
        <v>547</v>
      </c>
      <c r="D876" t="s">
        <v>514</v>
      </c>
      <c r="E876" t="s">
        <v>3381</v>
      </c>
      <c r="F876" t="s">
        <v>3382</v>
      </c>
      <c r="G876" t="s">
        <v>104</v>
      </c>
      <c r="H876" s="1">
        <v>37125</v>
      </c>
      <c r="I876">
        <v>25</v>
      </c>
      <c r="J876">
        <v>2001</v>
      </c>
      <c r="K876" s="1">
        <v>44756</v>
      </c>
      <c r="L876">
        <v>2022</v>
      </c>
      <c r="M876" t="s">
        <v>54</v>
      </c>
      <c r="N876">
        <v>16</v>
      </c>
      <c r="O876" t="s">
        <v>280</v>
      </c>
      <c r="P876" t="s">
        <v>119</v>
      </c>
      <c r="Q876">
        <v>120</v>
      </c>
      <c r="R876">
        <v>6</v>
      </c>
      <c r="S876" t="s">
        <v>140</v>
      </c>
      <c r="T876" t="s">
        <v>141</v>
      </c>
      <c r="U876">
        <v>4</v>
      </c>
      <c r="V876">
        <v>4</v>
      </c>
      <c r="W876">
        <v>4</v>
      </c>
      <c r="X876">
        <v>4</v>
      </c>
      <c r="Y876">
        <v>1</v>
      </c>
      <c r="Z876">
        <v>4</v>
      </c>
      <c r="AA876">
        <v>2.75</v>
      </c>
      <c r="AB876">
        <v>11</v>
      </c>
      <c r="AC876" t="s">
        <v>59</v>
      </c>
      <c r="AD876" t="s">
        <v>60</v>
      </c>
      <c r="AE876">
        <v>2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1</v>
      </c>
      <c r="AN876">
        <v>0</v>
      </c>
      <c r="AO876">
        <v>4</v>
      </c>
      <c r="AP876">
        <v>0</v>
      </c>
      <c r="AQ876">
        <v>100</v>
      </c>
      <c r="AR876" s="2">
        <v>45752.060057870367</v>
      </c>
      <c r="AS876" s="2">
        <v>45958.026006944441</v>
      </c>
      <c r="AT876" t="s">
        <v>61</v>
      </c>
      <c r="AU876" t="s">
        <v>61</v>
      </c>
      <c r="AV876">
        <v>206</v>
      </c>
    </row>
    <row r="877" spans="1:48" x14ac:dyDescent="0.25">
      <c r="A877">
        <v>325</v>
      </c>
      <c r="B877" t="s">
        <v>3383</v>
      </c>
      <c r="C877" t="s">
        <v>1329</v>
      </c>
      <c r="D877" t="s">
        <v>1670</v>
      </c>
      <c r="E877" t="s">
        <v>3384</v>
      </c>
      <c r="F877" t="s">
        <v>3385</v>
      </c>
      <c r="G877" t="s">
        <v>53</v>
      </c>
      <c r="H877" s="1">
        <v>36345</v>
      </c>
      <c r="I877">
        <v>27</v>
      </c>
      <c r="J877">
        <v>1999</v>
      </c>
      <c r="K877" s="1">
        <v>45924</v>
      </c>
      <c r="L877">
        <v>2025</v>
      </c>
      <c r="M877" t="s">
        <v>54</v>
      </c>
      <c r="N877">
        <v>2</v>
      </c>
      <c r="O877" t="s">
        <v>55</v>
      </c>
      <c r="P877" t="s">
        <v>56</v>
      </c>
      <c r="Q877">
        <v>36</v>
      </c>
      <c r="R877">
        <v>1</v>
      </c>
      <c r="S877" t="s">
        <v>57</v>
      </c>
      <c r="T877" t="s">
        <v>58</v>
      </c>
      <c r="U877">
        <v>4</v>
      </c>
      <c r="V877">
        <v>4</v>
      </c>
      <c r="W877">
        <v>4</v>
      </c>
      <c r="X877">
        <v>4</v>
      </c>
      <c r="Y877">
        <v>1</v>
      </c>
      <c r="Z877">
        <v>4</v>
      </c>
      <c r="AA877">
        <v>1.875</v>
      </c>
      <c r="AB877">
        <v>7.5</v>
      </c>
      <c r="AC877" t="s">
        <v>70</v>
      </c>
      <c r="AD877" t="s">
        <v>60</v>
      </c>
      <c r="AE877">
        <v>1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0</v>
      </c>
      <c r="AL877">
        <v>0</v>
      </c>
      <c r="AM877">
        <v>1</v>
      </c>
      <c r="AN877">
        <v>1</v>
      </c>
      <c r="AO877">
        <v>3</v>
      </c>
      <c r="AP877">
        <v>1</v>
      </c>
      <c r="AQ877">
        <v>75</v>
      </c>
      <c r="AR877" s="2">
        <v>45770.942731481482</v>
      </c>
      <c r="AS877" s="2">
        <v>46034.734907407408</v>
      </c>
      <c r="AT877" t="s">
        <v>61</v>
      </c>
      <c r="AU877" t="s">
        <v>61</v>
      </c>
      <c r="AV877">
        <v>264</v>
      </c>
    </row>
    <row r="878" spans="1:48" x14ac:dyDescent="0.25">
      <c r="A878">
        <v>774</v>
      </c>
      <c r="B878" t="s">
        <v>3386</v>
      </c>
      <c r="C878" t="s">
        <v>873</v>
      </c>
      <c r="D878" t="s">
        <v>177</v>
      </c>
      <c r="E878" t="s">
        <v>3387</v>
      </c>
      <c r="F878" t="s">
        <v>3388</v>
      </c>
      <c r="G878" t="s">
        <v>53</v>
      </c>
      <c r="H878" s="1">
        <v>36541</v>
      </c>
      <c r="I878">
        <v>26</v>
      </c>
      <c r="J878">
        <v>2000</v>
      </c>
      <c r="K878" s="1">
        <v>44771</v>
      </c>
      <c r="L878">
        <v>2022</v>
      </c>
      <c r="M878" t="s">
        <v>111</v>
      </c>
      <c r="N878">
        <v>5</v>
      </c>
      <c r="O878" t="s">
        <v>84</v>
      </c>
      <c r="P878" t="s">
        <v>56</v>
      </c>
      <c r="Q878">
        <v>36</v>
      </c>
      <c r="R878">
        <v>2</v>
      </c>
      <c r="S878" t="s">
        <v>85</v>
      </c>
      <c r="T878" t="s">
        <v>86</v>
      </c>
      <c r="U878">
        <v>4</v>
      </c>
      <c r="V878">
        <v>4</v>
      </c>
      <c r="W878">
        <v>4</v>
      </c>
      <c r="X878">
        <v>4</v>
      </c>
      <c r="Y878">
        <v>1</v>
      </c>
      <c r="Z878">
        <v>4</v>
      </c>
      <c r="AA878">
        <v>2.125</v>
      </c>
      <c r="AB878">
        <v>8.5</v>
      </c>
      <c r="AC878" t="s">
        <v>70</v>
      </c>
      <c r="AD878" t="s">
        <v>60</v>
      </c>
      <c r="AE878">
        <v>1</v>
      </c>
      <c r="AF878">
        <v>0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</v>
      </c>
      <c r="AN878">
        <v>1</v>
      </c>
      <c r="AO878">
        <v>3</v>
      </c>
      <c r="AP878">
        <v>1</v>
      </c>
      <c r="AQ878">
        <v>75</v>
      </c>
      <c r="AR878" s="2">
        <v>45826.672789351855</v>
      </c>
      <c r="AS878" s="2">
        <v>46062.058645833335</v>
      </c>
      <c r="AT878" t="s">
        <v>61</v>
      </c>
      <c r="AU878" t="s">
        <v>61</v>
      </c>
      <c r="AV878">
        <v>236</v>
      </c>
    </row>
    <row r="879" spans="1:48" x14ac:dyDescent="0.25">
      <c r="A879">
        <v>611</v>
      </c>
      <c r="B879" t="s">
        <v>3389</v>
      </c>
      <c r="C879" t="s">
        <v>95</v>
      </c>
      <c r="D879" t="s">
        <v>1996</v>
      </c>
      <c r="E879" t="s">
        <v>3390</v>
      </c>
      <c r="F879">
        <v>7742260880</v>
      </c>
      <c r="G879" t="s">
        <v>53</v>
      </c>
      <c r="H879" s="1">
        <v>35092</v>
      </c>
      <c r="I879">
        <v>30</v>
      </c>
      <c r="J879">
        <v>1996</v>
      </c>
      <c r="K879" s="1">
        <v>44763</v>
      </c>
      <c r="L879">
        <v>2022</v>
      </c>
      <c r="M879" t="s">
        <v>54</v>
      </c>
      <c r="N879">
        <v>8</v>
      </c>
      <c r="O879" t="s">
        <v>125</v>
      </c>
      <c r="P879" t="s">
        <v>56</v>
      </c>
      <c r="Q879">
        <v>36</v>
      </c>
      <c r="R879">
        <v>3</v>
      </c>
      <c r="S879" t="s">
        <v>126</v>
      </c>
      <c r="T879" t="s">
        <v>127</v>
      </c>
      <c r="U879">
        <v>4</v>
      </c>
      <c r="V879">
        <v>4</v>
      </c>
      <c r="W879">
        <v>4</v>
      </c>
      <c r="X879">
        <v>4</v>
      </c>
      <c r="Y879">
        <v>1</v>
      </c>
      <c r="Z879">
        <v>4</v>
      </c>
      <c r="AA879">
        <v>2.25</v>
      </c>
      <c r="AB879">
        <v>9</v>
      </c>
      <c r="AC879" t="s">
        <v>59</v>
      </c>
      <c r="AD879" t="s">
        <v>60</v>
      </c>
      <c r="AE879">
        <v>1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2</v>
      </c>
      <c r="AN879">
        <v>0</v>
      </c>
      <c r="AO879">
        <v>4</v>
      </c>
      <c r="AP879">
        <v>0</v>
      </c>
      <c r="AQ879">
        <v>100</v>
      </c>
      <c r="AR879" s="2">
        <v>45742.245069444441</v>
      </c>
      <c r="AS879" s="2">
        <v>45946.907824074071</v>
      </c>
      <c r="AT879" t="s">
        <v>62</v>
      </c>
      <c r="AU879" t="s">
        <v>62</v>
      </c>
      <c r="AV879">
        <v>204</v>
      </c>
    </row>
    <row r="880" spans="1:48" x14ac:dyDescent="0.25">
      <c r="A880">
        <v>904</v>
      </c>
      <c r="B880" t="s">
        <v>3391</v>
      </c>
      <c r="C880" t="s">
        <v>3392</v>
      </c>
      <c r="D880" t="s">
        <v>3393</v>
      </c>
      <c r="E880" t="s">
        <v>3394</v>
      </c>
      <c r="F880" t="s">
        <v>3395</v>
      </c>
      <c r="G880" t="s">
        <v>53</v>
      </c>
      <c r="H880" s="1">
        <v>37762</v>
      </c>
      <c r="I880">
        <v>23</v>
      </c>
      <c r="J880">
        <v>2003</v>
      </c>
      <c r="K880" s="1">
        <v>45102</v>
      </c>
      <c r="L880">
        <v>2023</v>
      </c>
      <c r="M880" t="s">
        <v>54</v>
      </c>
      <c r="N880">
        <v>19</v>
      </c>
      <c r="O880" t="s">
        <v>162</v>
      </c>
      <c r="P880" t="s">
        <v>119</v>
      </c>
      <c r="Q880">
        <v>120</v>
      </c>
      <c r="R880">
        <v>7</v>
      </c>
      <c r="S880" t="s">
        <v>163</v>
      </c>
      <c r="T880" t="s">
        <v>164</v>
      </c>
      <c r="U880">
        <v>4</v>
      </c>
      <c r="V880">
        <v>4</v>
      </c>
      <c r="W880">
        <v>4</v>
      </c>
      <c r="X880">
        <v>4</v>
      </c>
      <c r="Y880">
        <v>1</v>
      </c>
      <c r="Z880">
        <v>4</v>
      </c>
      <c r="AA880">
        <v>2.75</v>
      </c>
      <c r="AB880">
        <v>11</v>
      </c>
      <c r="AC880" t="s">
        <v>540</v>
      </c>
      <c r="AD880" t="s">
        <v>60</v>
      </c>
      <c r="AE880">
        <v>1</v>
      </c>
      <c r="AF880">
        <v>0</v>
      </c>
      <c r="AG880">
        <v>0</v>
      </c>
      <c r="AH880">
        <v>0</v>
      </c>
      <c r="AI880">
        <v>0</v>
      </c>
      <c r="AJ880">
        <v>2</v>
      </c>
      <c r="AK880">
        <v>1</v>
      </c>
      <c r="AL880">
        <v>0</v>
      </c>
      <c r="AM880">
        <v>0</v>
      </c>
      <c r="AN880">
        <v>0</v>
      </c>
      <c r="AO880">
        <v>4</v>
      </c>
      <c r="AP880">
        <v>0</v>
      </c>
      <c r="AQ880">
        <v>100</v>
      </c>
      <c r="AR880" s="2">
        <v>45774.101180555554</v>
      </c>
      <c r="AS880" s="2">
        <v>46070.08935185185</v>
      </c>
      <c r="AT880" t="s">
        <v>61</v>
      </c>
      <c r="AU880" t="s">
        <v>61</v>
      </c>
      <c r="AV880">
        <v>296</v>
      </c>
    </row>
    <row r="881" spans="1:48" x14ac:dyDescent="0.25">
      <c r="A881">
        <v>832</v>
      </c>
      <c r="B881" t="s">
        <v>3396</v>
      </c>
      <c r="C881" t="s">
        <v>2487</v>
      </c>
      <c r="D881" t="s">
        <v>3397</v>
      </c>
      <c r="E881" t="s">
        <v>3398</v>
      </c>
      <c r="F881" t="s">
        <v>3399</v>
      </c>
      <c r="G881" t="s">
        <v>53</v>
      </c>
      <c r="H881" s="1">
        <v>39403</v>
      </c>
      <c r="I881">
        <v>19</v>
      </c>
      <c r="J881">
        <v>2007</v>
      </c>
      <c r="K881" s="1">
        <v>45610</v>
      </c>
      <c r="L881">
        <v>2024</v>
      </c>
      <c r="M881" t="s">
        <v>54</v>
      </c>
      <c r="N881">
        <v>9</v>
      </c>
      <c r="O881" t="s">
        <v>151</v>
      </c>
      <c r="P881" t="s">
        <v>69</v>
      </c>
      <c r="Q881">
        <v>60</v>
      </c>
      <c r="R881">
        <v>3</v>
      </c>
      <c r="S881" t="s">
        <v>126</v>
      </c>
      <c r="T881" t="s">
        <v>127</v>
      </c>
      <c r="U881">
        <v>4</v>
      </c>
      <c r="V881">
        <v>4</v>
      </c>
      <c r="W881">
        <v>4</v>
      </c>
      <c r="X881">
        <v>4</v>
      </c>
      <c r="Y881">
        <v>1</v>
      </c>
      <c r="Z881">
        <v>4</v>
      </c>
      <c r="AA881">
        <v>1.75</v>
      </c>
      <c r="AB881">
        <v>7</v>
      </c>
      <c r="AC881" t="s">
        <v>59</v>
      </c>
      <c r="AD881" t="s">
        <v>112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1</v>
      </c>
      <c r="AL881">
        <v>0</v>
      </c>
      <c r="AM881">
        <v>2</v>
      </c>
      <c r="AN881">
        <v>0</v>
      </c>
      <c r="AO881">
        <v>4</v>
      </c>
      <c r="AP881">
        <v>0</v>
      </c>
      <c r="AQ881">
        <v>100</v>
      </c>
      <c r="AR881" s="2">
        <v>45739.344976851855</v>
      </c>
      <c r="AS881" s="2">
        <v>45958.108032407406</v>
      </c>
      <c r="AT881" t="s">
        <v>61</v>
      </c>
      <c r="AU881" t="s">
        <v>61</v>
      </c>
      <c r="AV881">
        <v>219</v>
      </c>
    </row>
    <row r="882" spans="1:48" x14ac:dyDescent="0.25">
      <c r="A882">
        <v>34</v>
      </c>
      <c r="B882" t="s">
        <v>3400</v>
      </c>
      <c r="C882" t="s">
        <v>970</v>
      </c>
      <c r="D882" t="s">
        <v>3401</v>
      </c>
      <c r="E882" t="s">
        <v>3402</v>
      </c>
      <c r="F882" t="s">
        <v>3403</v>
      </c>
      <c r="G882" t="s">
        <v>53</v>
      </c>
      <c r="H882" s="1">
        <v>36848</v>
      </c>
      <c r="I882">
        <v>26</v>
      </c>
      <c r="J882">
        <v>2000</v>
      </c>
      <c r="K882" s="1">
        <v>45309</v>
      </c>
      <c r="L882">
        <v>2024</v>
      </c>
      <c r="M882" t="s">
        <v>54</v>
      </c>
      <c r="N882">
        <v>5</v>
      </c>
      <c r="O882" t="s">
        <v>84</v>
      </c>
      <c r="P882" t="s">
        <v>56</v>
      </c>
      <c r="Q882">
        <v>36</v>
      </c>
      <c r="R882">
        <v>2</v>
      </c>
      <c r="S882" t="s">
        <v>85</v>
      </c>
      <c r="T882" t="s">
        <v>86</v>
      </c>
      <c r="U882">
        <v>4</v>
      </c>
      <c r="V882">
        <v>4</v>
      </c>
      <c r="W882">
        <v>4</v>
      </c>
      <c r="X882">
        <v>3</v>
      </c>
      <c r="Y882">
        <v>1</v>
      </c>
      <c r="Z882">
        <v>2</v>
      </c>
      <c r="AA882">
        <v>3.75</v>
      </c>
      <c r="AB882">
        <v>7.5</v>
      </c>
      <c r="AC882" t="s">
        <v>281</v>
      </c>
      <c r="AD882" t="s">
        <v>60</v>
      </c>
      <c r="AE882">
        <v>1</v>
      </c>
      <c r="AF882">
        <v>0</v>
      </c>
      <c r="AG882">
        <v>1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2</v>
      </c>
      <c r="AP882">
        <v>0</v>
      </c>
      <c r="AQ882">
        <v>100</v>
      </c>
      <c r="AR882" s="2">
        <v>45838.554861111108</v>
      </c>
      <c r="AS882" s="2">
        <v>46050.02983796296</v>
      </c>
      <c r="AT882" t="s">
        <v>1357</v>
      </c>
      <c r="AU882" t="s">
        <v>1357</v>
      </c>
      <c r="AV882">
        <v>212</v>
      </c>
    </row>
    <row r="883" spans="1:48" x14ac:dyDescent="0.25">
      <c r="A883">
        <v>300</v>
      </c>
      <c r="B883" t="s">
        <v>3404</v>
      </c>
      <c r="C883" t="s">
        <v>3405</v>
      </c>
      <c r="D883" t="s">
        <v>3406</v>
      </c>
      <c r="E883" t="s">
        <v>3407</v>
      </c>
      <c r="F883" t="s">
        <v>3408</v>
      </c>
      <c r="G883" t="s">
        <v>53</v>
      </c>
      <c r="H883" s="1">
        <v>35079</v>
      </c>
      <c r="I883">
        <v>30</v>
      </c>
      <c r="J883">
        <v>1996</v>
      </c>
      <c r="K883" s="1">
        <v>45589</v>
      </c>
      <c r="L883">
        <v>2024</v>
      </c>
      <c r="M883" t="s">
        <v>54</v>
      </c>
      <c r="N883">
        <v>2</v>
      </c>
      <c r="O883" t="s">
        <v>55</v>
      </c>
      <c r="P883" t="s">
        <v>56</v>
      </c>
      <c r="Q883">
        <v>36</v>
      </c>
      <c r="R883">
        <v>1</v>
      </c>
      <c r="S883" t="s">
        <v>57</v>
      </c>
      <c r="T883" t="s">
        <v>58</v>
      </c>
      <c r="U883">
        <v>4</v>
      </c>
      <c r="V883">
        <v>4</v>
      </c>
      <c r="W883">
        <v>4</v>
      </c>
      <c r="X883">
        <v>4</v>
      </c>
      <c r="Y883">
        <v>1</v>
      </c>
      <c r="Z883">
        <v>4</v>
      </c>
      <c r="AA883">
        <v>3.625</v>
      </c>
      <c r="AB883">
        <v>14.5</v>
      </c>
      <c r="AC883" t="s">
        <v>281</v>
      </c>
      <c r="AD883" t="s">
        <v>60</v>
      </c>
      <c r="AE883">
        <v>1</v>
      </c>
      <c r="AF883">
        <v>0</v>
      </c>
      <c r="AG883">
        <v>3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4</v>
      </c>
      <c r="AP883">
        <v>0</v>
      </c>
      <c r="AQ883">
        <v>100</v>
      </c>
      <c r="AR883" s="2">
        <v>45916.685648148145</v>
      </c>
      <c r="AS883" s="2">
        <v>46073.399016203701</v>
      </c>
      <c r="AT883" t="s">
        <v>61</v>
      </c>
      <c r="AU883" t="s">
        <v>61</v>
      </c>
      <c r="AV883">
        <v>157</v>
      </c>
    </row>
    <row r="884" spans="1:48" x14ac:dyDescent="0.25">
      <c r="A884">
        <v>185</v>
      </c>
      <c r="B884" t="s">
        <v>3409</v>
      </c>
      <c r="C884" t="s">
        <v>1042</v>
      </c>
      <c r="D884" t="s">
        <v>3410</v>
      </c>
      <c r="E884" t="s">
        <v>3411</v>
      </c>
      <c r="F884" t="s">
        <v>3412</v>
      </c>
      <c r="G884" t="s">
        <v>104</v>
      </c>
      <c r="H884" s="1">
        <v>36003</v>
      </c>
      <c r="I884">
        <v>28</v>
      </c>
      <c r="J884">
        <v>1998</v>
      </c>
      <c r="K884" s="1">
        <v>44778</v>
      </c>
      <c r="L884">
        <v>2022</v>
      </c>
      <c r="M884" t="s">
        <v>225</v>
      </c>
      <c r="N884">
        <v>5</v>
      </c>
      <c r="O884" t="s">
        <v>84</v>
      </c>
      <c r="P884" t="s">
        <v>56</v>
      </c>
      <c r="Q884">
        <v>36</v>
      </c>
      <c r="R884">
        <v>2</v>
      </c>
      <c r="S884" t="s">
        <v>85</v>
      </c>
      <c r="T884" t="s">
        <v>86</v>
      </c>
      <c r="U884">
        <v>4</v>
      </c>
      <c r="V884">
        <v>4</v>
      </c>
      <c r="W884">
        <v>4</v>
      </c>
      <c r="X884">
        <v>4</v>
      </c>
      <c r="Y884">
        <v>1</v>
      </c>
      <c r="Z884">
        <v>4</v>
      </c>
      <c r="AA884">
        <v>2.25</v>
      </c>
      <c r="AB884">
        <v>9</v>
      </c>
      <c r="AC884" t="s">
        <v>70</v>
      </c>
      <c r="AD884" t="s">
        <v>60</v>
      </c>
      <c r="AE884">
        <v>2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1</v>
      </c>
      <c r="AO884">
        <v>3</v>
      </c>
      <c r="AP884">
        <v>1</v>
      </c>
      <c r="AQ884">
        <v>75</v>
      </c>
      <c r="AR884" s="2">
        <v>45750.905277777776</v>
      </c>
      <c r="AS884" s="2">
        <v>46042.820104166669</v>
      </c>
      <c r="AT884" t="s">
        <v>61</v>
      </c>
      <c r="AU884" t="s">
        <v>61</v>
      </c>
      <c r="AV884">
        <v>292</v>
      </c>
    </row>
    <row r="885" spans="1:48" x14ac:dyDescent="0.25">
      <c r="A885">
        <v>887</v>
      </c>
      <c r="B885" t="s">
        <v>3413</v>
      </c>
      <c r="C885" t="s">
        <v>472</v>
      </c>
      <c r="D885" t="s">
        <v>3293</v>
      </c>
      <c r="E885" t="s">
        <v>3414</v>
      </c>
      <c r="F885" t="s">
        <v>3415</v>
      </c>
      <c r="G885" t="s">
        <v>53</v>
      </c>
      <c r="H885" s="1">
        <v>38505</v>
      </c>
      <c r="I885">
        <v>21</v>
      </c>
      <c r="J885">
        <v>2005</v>
      </c>
      <c r="K885" s="1">
        <v>44927</v>
      </c>
      <c r="L885">
        <v>2023</v>
      </c>
      <c r="M885" t="s">
        <v>54</v>
      </c>
      <c r="N885">
        <v>6</v>
      </c>
      <c r="O885" t="s">
        <v>133</v>
      </c>
      <c r="P885" t="s">
        <v>69</v>
      </c>
      <c r="Q885">
        <v>60</v>
      </c>
      <c r="R885">
        <v>2</v>
      </c>
      <c r="S885" t="s">
        <v>85</v>
      </c>
      <c r="T885" t="s">
        <v>86</v>
      </c>
      <c r="U885">
        <v>4</v>
      </c>
      <c r="V885">
        <v>4</v>
      </c>
      <c r="W885">
        <v>4</v>
      </c>
      <c r="X885">
        <v>4</v>
      </c>
      <c r="Y885">
        <v>1</v>
      </c>
      <c r="Z885">
        <v>4</v>
      </c>
      <c r="AA885">
        <v>2.125</v>
      </c>
      <c r="AB885">
        <v>8.5</v>
      </c>
      <c r="AC885" t="s">
        <v>70</v>
      </c>
      <c r="AD885" t="s">
        <v>60</v>
      </c>
      <c r="AE885">
        <v>1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</v>
      </c>
      <c r="AN885">
        <v>1</v>
      </c>
      <c r="AO885">
        <v>3</v>
      </c>
      <c r="AP885">
        <v>1</v>
      </c>
      <c r="AQ885">
        <v>75</v>
      </c>
      <c r="AR885" s="2">
        <v>45829.491886574076</v>
      </c>
      <c r="AS885" s="2">
        <v>45954.72550925926</v>
      </c>
      <c r="AT885" t="s">
        <v>62</v>
      </c>
      <c r="AU885" t="s">
        <v>62</v>
      </c>
      <c r="AV885">
        <v>125</v>
      </c>
    </row>
    <row r="886" spans="1:48" x14ac:dyDescent="0.25">
      <c r="A886">
        <v>91</v>
      </c>
      <c r="B886" t="s">
        <v>3416</v>
      </c>
      <c r="C886" t="s">
        <v>3417</v>
      </c>
      <c r="D886" t="s">
        <v>2379</v>
      </c>
      <c r="E886" t="s">
        <v>3418</v>
      </c>
      <c r="F886" t="s">
        <v>3419</v>
      </c>
      <c r="G886" t="s">
        <v>104</v>
      </c>
      <c r="H886" s="1">
        <v>38932</v>
      </c>
      <c r="I886">
        <v>20</v>
      </c>
      <c r="J886">
        <v>2006</v>
      </c>
      <c r="K886" s="1">
        <v>45764</v>
      </c>
      <c r="L886">
        <v>2025</v>
      </c>
      <c r="M886" t="s">
        <v>54</v>
      </c>
      <c r="N886">
        <v>13</v>
      </c>
      <c r="O886" t="s">
        <v>146</v>
      </c>
      <c r="P886" t="s">
        <v>119</v>
      </c>
      <c r="Q886">
        <v>120</v>
      </c>
      <c r="R886">
        <v>5</v>
      </c>
      <c r="S886" t="s">
        <v>92</v>
      </c>
      <c r="T886" t="s">
        <v>93</v>
      </c>
      <c r="U886">
        <v>4</v>
      </c>
      <c r="V886">
        <v>4</v>
      </c>
      <c r="W886">
        <v>4</v>
      </c>
      <c r="X886">
        <v>4</v>
      </c>
      <c r="Y886">
        <v>1</v>
      </c>
      <c r="Z886">
        <v>4</v>
      </c>
      <c r="AA886">
        <v>2.25</v>
      </c>
      <c r="AB886">
        <v>9</v>
      </c>
      <c r="AC886" t="s">
        <v>70</v>
      </c>
      <c r="AD886" t="s">
        <v>60</v>
      </c>
      <c r="AE886">
        <v>1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1</v>
      </c>
      <c r="AL886">
        <v>0</v>
      </c>
      <c r="AM886">
        <v>0</v>
      </c>
      <c r="AN886">
        <v>1</v>
      </c>
      <c r="AO886">
        <v>3</v>
      </c>
      <c r="AP886">
        <v>1</v>
      </c>
      <c r="AQ886">
        <v>75</v>
      </c>
      <c r="AR886" s="2">
        <v>45762.259085648147</v>
      </c>
      <c r="AS886" s="2">
        <v>46077.846388888887</v>
      </c>
      <c r="AT886" t="s">
        <v>62</v>
      </c>
      <c r="AU886" t="s">
        <v>62</v>
      </c>
      <c r="AV886">
        <v>315</v>
      </c>
    </row>
    <row r="887" spans="1:48" x14ac:dyDescent="0.25">
      <c r="A887">
        <v>262</v>
      </c>
      <c r="B887" t="s">
        <v>3420</v>
      </c>
      <c r="C887" t="s">
        <v>2033</v>
      </c>
      <c r="D887" t="s">
        <v>316</v>
      </c>
      <c r="E887" t="s">
        <v>3421</v>
      </c>
      <c r="F887" t="s">
        <v>3422</v>
      </c>
      <c r="G887" t="s">
        <v>53</v>
      </c>
      <c r="H887" s="1">
        <v>38790</v>
      </c>
      <c r="I887">
        <v>20</v>
      </c>
      <c r="J887">
        <v>2006</v>
      </c>
      <c r="K887" s="1">
        <v>45167</v>
      </c>
      <c r="L887">
        <v>2023</v>
      </c>
      <c r="M887" t="s">
        <v>225</v>
      </c>
      <c r="N887">
        <v>3</v>
      </c>
      <c r="O887" t="s">
        <v>68</v>
      </c>
      <c r="P887" t="s">
        <v>69</v>
      </c>
      <c r="Q887">
        <v>60</v>
      </c>
      <c r="R887">
        <v>1</v>
      </c>
      <c r="S887" t="s">
        <v>57</v>
      </c>
      <c r="T887" t="s">
        <v>58</v>
      </c>
      <c r="U887">
        <v>4</v>
      </c>
      <c r="V887">
        <v>4</v>
      </c>
      <c r="W887">
        <v>4</v>
      </c>
      <c r="X887">
        <v>3</v>
      </c>
      <c r="Y887">
        <v>1</v>
      </c>
      <c r="Z887">
        <v>4</v>
      </c>
      <c r="AA887">
        <v>2.625</v>
      </c>
      <c r="AB887">
        <v>10.5</v>
      </c>
      <c r="AC887" t="s">
        <v>59</v>
      </c>
      <c r="AD887" t="s">
        <v>60</v>
      </c>
      <c r="AE887">
        <v>1</v>
      </c>
      <c r="AF887">
        <v>0</v>
      </c>
      <c r="AG887">
        <v>1</v>
      </c>
      <c r="AH887">
        <v>0</v>
      </c>
      <c r="AI887">
        <v>0</v>
      </c>
      <c r="AJ887">
        <v>0</v>
      </c>
      <c r="AK887">
        <v>1</v>
      </c>
      <c r="AL887">
        <v>0</v>
      </c>
      <c r="AM887">
        <v>1</v>
      </c>
      <c r="AN887">
        <v>0</v>
      </c>
      <c r="AO887">
        <v>4</v>
      </c>
      <c r="AP887">
        <v>0</v>
      </c>
      <c r="AQ887">
        <v>100</v>
      </c>
      <c r="AR887" s="2">
        <v>45818.410497685189</v>
      </c>
      <c r="AS887" s="2">
        <v>46062.182662037034</v>
      </c>
      <c r="AT887" t="s">
        <v>62</v>
      </c>
      <c r="AU887" t="s">
        <v>62</v>
      </c>
      <c r="AV887">
        <v>244</v>
      </c>
    </row>
    <row r="888" spans="1:48" x14ac:dyDescent="0.25">
      <c r="A888">
        <v>463</v>
      </c>
      <c r="B888" t="s">
        <v>3423</v>
      </c>
      <c r="C888" t="s">
        <v>3424</v>
      </c>
      <c r="D888" t="s">
        <v>3290</v>
      </c>
      <c r="E888" t="s">
        <v>3425</v>
      </c>
      <c r="F888" t="s">
        <v>3426</v>
      </c>
      <c r="G888" t="s">
        <v>53</v>
      </c>
      <c r="H888" s="1">
        <v>39508</v>
      </c>
      <c r="I888">
        <v>18</v>
      </c>
      <c r="J888">
        <v>2008</v>
      </c>
      <c r="K888" s="1">
        <v>45855</v>
      </c>
      <c r="L888">
        <v>2025</v>
      </c>
      <c r="M888" t="s">
        <v>54</v>
      </c>
      <c r="N888">
        <v>19</v>
      </c>
      <c r="O888" t="s">
        <v>162</v>
      </c>
      <c r="P888" t="s">
        <v>119</v>
      </c>
      <c r="Q888">
        <v>120</v>
      </c>
      <c r="R888">
        <v>7</v>
      </c>
      <c r="S888" t="s">
        <v>163</v>
      </c>
      <c r="T888" t="s">
        <v>164</v>
      </c>
      <c r="U888">
        <v>4</v>
      </c>
      <c r="V888">
        <v>4</v>
      </c>
      <c r="W888">
        <v>4</v>
      </c>
      <c r="X888">
        <v>3</v>
      </c>
      <c r="Y888">
        <v>1</v>
      </c>
      <c r="Z888">
        <v>4</v>
      </c>
      <c r="AA888">
        <v>2.375</v>
      </c>
      <c r="AB888">
        <v>9.5</v>
      </c>
      <c r="AC888" t="s">
        <v>70</v>
      </c>
      <c r="AD888" t="s">
        <v>60</v>
      </c>
      <c r="AE888">
        <v>1</v>
      </c>
      <c r="AF888">
        <v>0</v>
      </c>
      <c r="AG888">
        <v>0</v>
      </c>
      <c r="AH888">
        <v>1</v>
      </c>
      <c r="AI888">
        <v>0</v>
      </c>
      <c r="AJ888">
        <v>1</v>
      </c>
      <c r="AK888">
        <v>0</v>
      </c>
      <c r="AL888">
        <v>0</v>
      </c>
      <c r="AM888">
        <v>0</v>
      </c>
      <c r="AN888">
        <v>1</v>
      </c>
      <c r="AO888">
        <v>3</v>
      </c>
      <c r="AP888">
        <v>1</v>
      </c>
      <c r="AQ888">
        <v>75</v>
      </c>
      <c r="AR888" s="2">
        <v>45856.956585648149</v>
      </c>
      <c r="AS888" s="2">
        <v>46028.238541666666</v>
      </c>
      <c r="AT888" t="s">
        <v>62</v>
      </c>
      <c r="AU888" t="s">
        <v>62</v>
      </c>
      <c r="AV888">
        <v>172</v>
      </c>
    </row>
    <row r="889" spans="1:48" x14ac:dyDescent="0.25">
      <c r="A889">
        <v>71</v>
      </c>
      <c r="B889" t="s">
        <v>3427</v>
      </c>
      <c r="C889" t="s">
        <v>3428</v>
      </c>
      <c r="D889" t="s">
        <v>2126</v>
      </c>
      <c r="E889" t="s">
        <v>3429</v>
      </c>
      <c r="F889" t="s">
        <v>3430</v>
      </c>
      <c r="G889" t="s">
        <v>53</v>
      </c>
      <c r="H889" s="1">
        <v>36491</v>
      </c>
      <c r="I889">
        <v>27</v>
      </c>
      <c r="J889">
        <v>1999</v>
      </c>
      <c r="K889" s="1">
        <v>45966</v>
      </c>
      <c r="L889">
        <v>2025</v>
      </c>
      <c r="M889" t="s">
        <v>54</v>
      </c>
      <c r="N889">
        <v>4</v>
      </c>
      <c r="O889" t="s">
        <v>215</v>
      </c>
      <c r="P889" t="s">
        <v>119</v>
      </c>
      <c r="Q889">
        <v>120</v>
      </c>
      <c r="R889">
        <v>2</v>
      </c>
      <c r="S889" t="s">
        <v>85</v>
      </c>
      <c r="T889" t="s">
        <v>86</v>
      </c>
      <c r="U889">
        <v>4</v>
      </c>
      <c r="V889">
        <v>4</v>
      </c>
      <c r="W889">
        <v>4</v>
      </c>
      <c r="X889">
        <v>3</v>
      </c>
      <c r="Y889">
        <v>1</v>
      </c>
      <c r="Z889">
        <v>1</v>
      </c>
      <c r="AA889">
        <v>2</v>
      </c>
      <c r="AB889">
        <v>2</v>
      </c>
      <c r="AC889" t="s">
        <v>1061</v>
      </c>
      <c r="AD889" t="s">
        <v>1061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1</v>
      </c>
      <c r="AL889">
        <v>0</v>
      </c>
      <c r="AM889">
        <v>0</v>
      </c>
      <c r="AN889">
        <v>0</v>
      </c>
      <c r="AO889">
        <v>1</v>
      </c>
      <c r="AP889">
        <v>0</v>
      </c>
      <c r="AQ889">
        <v>100</v>
      </c>
      <c r="AR889" s="2">
        <v>45754.232569444444</v>
      </c>
      <c r="AS889" s="2">
        <v>46000.208391203705</v>
      </c>
      <c r="AT889" t="s">
        <v>1357</v>
      </c>
      <c r="AU889" t="s">
        <v>1357</v>
      </c>
      <c r="AV889">
        <v>246</v>
      </c>
    </row>
    <row r="890" spans="1:48" x14ac:dyDescent="0.25">
      <c r="A890">
        <v>432</v>
      </c>
      <c r="B890" t="s">
        <v>3431</v>
      </c>
      <c r="C890" t="s">
        <v>290</v>
      </c>
      <c r="D890" t="s">
        <v>410</v>
      </c>
      <c r="E890" t="s">
        <v>3432</v>
      </c>
      <c r="F890" t="s">
        <v>3433</v>
      </c>
      <c r="G890" t="s">
        <v>53</v>
      </c>
      <c r="H890" s="1">
        <v>35211</v>
      </c>
      <c r="I890">
        <v>30</v>
      </c>
      <c r="J890">
        <v>1996</v>
      </c>
      <c r="K890" s="1">
        <v>45590</v>
      </c>
      <c r="L890">
        <v>2024</v>
      </c>
      <c r="M890" t="s">
        <v>54</v>
      </c>
      <c r="N890">
        <v>18</v>
      </c>
      <c r="O890" t="s">
        <v>139</v>
      </c>
      <c r="P890" t="s">
        <v>69</v>
      </c>
      <c r="Q890">
        <v>60</v>
      </c>
      <c r="R890">
        <v>6</v>
      </c>
      <c r="S890" t="s">
        <v>140</v>
      </c>
      <c r="T890" t="s">
        <v>141</v>
      </c>
      <c r="U890">
        <v>4</v>
      </c>
      <c r="V890">
        <v>4</v>
      </c>
      <c r="W890">
        <v>4</v>
      </c>
      <c r="X890">
        <v>4</v>
      </c>
      <c r="Y890">
        <v>1</v>
      </c>
      <c r="Z890">
        <v>4</v>
      </c>
      <c r="AA890">
        <v>2.875</v>
      </c>
      <c r="AB890">
        <v>11.5</v>
      </c>
      <c r="AC890" t="s">
        <v>59</v>
      </c>
      <c r="AD890" t="s">
        <v>281</v>
      </c>
      <c r="AE890">
        <v>0</v>
      </c>
      <c r="AF890">
        <v>0</v>
      </c>
      <c r="AG890">
        <v>3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</v>
      </c>
      <c r="AN890">
        <v>0</v>
      </c>
      <c r="AO890">
        <v>4</v>
      </c>
      <c r="AP890">
        <v>0</v>
      </c>
      <c r="AQ890">
        <v>100</v>
      </c>
      <c r="AR890" s="2">
        <v>45841.383483796293</v>
      </c>
      <c r="AS890" s="2">
        <v>46046.37060185185</v>
      </c>
      <c r="AT890" t="s">
        <v>61</v>
      </c>
      <c r="AU890" t="s">
        <v>61</v>
      </c>
      <c r="AV890">
        <v>205</v>
      </c>
    </row>
    <row r="891" spans="1:48" x14ac:dyDescent="0.25">
      <c r="A891">
        <v>444</v>
      </c>
      <c r="B891" t="s">
        <v>3434</v>
      </c>
      <c r="C891" t="s">
        <v>1738</v>
      </c>
      <c r="D891" t="s">
        <v>207</v>
      </c>
      <c r="E891" t="s">
        <v>3435</v>
      </c>
      <c r="F891" t="s">
        <v>3436</v>
      </c>
      <c r="G891" t="s">
        <v>53</v>
      </c>
      <c r="H891" s="1">
        <v>38727</v>
      </c>
      <c r="I891">
        <v>20</v>
      </c>
      <c r="J891">
        <v>2006</v>
      </c>
      <c r="K891" s="1">
        <v>45317</v>
      </c>
      <c r="L891">
        <v>2024</v>
      </c>
      <c r="M891" t="s">
        <v>54</v>
      </c>
      <c r="N891">
        <v>21</v>
      </c>
      <c r="O891" t="s">
        <v>339</v>
      </c>
      <c r="P891" t="s">
        <v>69</v>
      </c>
      <c r="Q891">
        <v>60</v>
      </c>
      <c r="R891">
        <v>7</v>
      </c>
      <c r="S891" t="s">
        <v>163</v>
      </c>
      <c r="T891" t="s">
        <v>164</v>
      </c>
      <c r="U891">
        <v>4</v>
      </c>
      <c r="V891">
        <v>4</v>
      </c>
      <c r="W891">
        <v>4</v>
      </c>
      <c r="X891">
        <v>4</v>
      </c>
      <c r="Y891">
        <v>1</v>
      </c>
      <c r="Z891">
        <v>2</v>
      </c>
      <c r="AA891">
        <v>2.5</v>
      </c>
      <c r="AB891">
        <v>5</v>
      </c>
      <c r="AC891" t="s">
        <v>1061</v>
      </c>
      <c r="AD891" t="s">
        <v>112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1</v>
      </c>
      <c r="AL891">
        <v>0</v>
      </c>
      <c r="AM891">
        <v>0</v>
      </c>
      <c r="AN891">
        <v>0</v>
      </c>
      <c r="AO891">
        <v>2</v>
      </c>
      <c r="AP891">
        <v>0</v>
      </c>
      <c r="AQ891">
        <v>100</v>
      </c>
      <c r="AR891" s="2">
        <v>45736.96979166667</v>
      </c>
      <c r="AS891" s="2">
        <v>46033.861979166664</v>
      </c>
      <c r="AT891" t="s">
        <v>1357</v>
      </c>
      <c r="AU891" t="s">
        <v>1357</v>
      </c>
      <c r="AV891">
        <v>297</v>
      </c>
    </row>
    <row r="892" spans="1:48" x14ac:dyDescent="0.25">
      <c r="A892">
        <v>599</v>
      </c>
      <c r="B892" t="s">
        <v>3437</v>
      </c>
      <c r="C892" t="s">
        <v>2753</v>
      </c>
      <c r="D892" t="s">
        <v>3438</v>
      </c>
      <c r="E892" t="s">
        <v>3439</v>
      </c>
      <c r="F892" t="s">
        <v>3440</v>
      </c>
      <c r="G892" t="s">
        <v>53</v>
      </c>
      <c r="H892" s="1">
        <v>37698</v>
      </c>
      <c r="I892">
        <v>23</v>
      </c>
      <c r="J892">
        <v>2003</v>
      </c>
      <c r="K892" s="1">
        <v>45419</v>
      </c>
      <c r="L892">
        <v>2024</v>
      </c>
      <c r="M892" t="s">
        <v>54</v>
      </c>
      <c r="N892">
        <v>19</v>
      </c>
      <c r="O892" t="s">
        <v>162</v>
      </c>
      <c r="P892" t="s">
        <v>119</v>
      </c>
      <c r="Q892">
        <v>120</v>
      </c>
      <c r="R892">
        <v>7</v>
      </c>
      <c r="S892" t="s">
        <v>163</v>
      </c>
      <c r="T892" t="s">
        <v>164</v>
      </c>
      <c r="U892">
        <v>4</v>
      </c>
      <c r="V892">
        <v>4</v>
      </c>
      <c r="W892">
        <v>4</v>
      </c>
      <c r="X892">
        <v>4</v>
      </c>
      <c r="Y892">
        <v>1</v>
      </c>
      <c r="Z892">
        <v>4</v>
      </c>
      <c r="AA892">
        <v>2.25</v>
      </c>
      <c r="AB892">
        <v>9</v>
      </c>
      <c r="AC892" t="s">
        <v>70</v>
      </c>
      <c r="AD892" t="s">
        <v>112</v>
      </c>
      <c r="AE892">
        <v>0</v>
      </c>
      <c r="AF892">
        <v>0</v>
      </c>
      <c r="AG892">
        <v>1</v>
      </c>
      <c r="AH892">
        <v>1</v>
      </c>
      <c r="AI892">
        <v>0</v>
      </c>
      <c r="AJ892">
        <v>1</v>
      </c>
      <c r="AK892">
        <v>0</v>
      </c>
      <c r="AL892">
        <v>0</v>
      </c>
      <c r="AM892">
        <v>0</v>
      </c>
      <c r="AN892">
        <v>1</v>
      </c>
      <c r="AO892">
        <v>3</v>
      </c>
      <c r="AP892">
        <v>1</v>
      </c>
      <c r="AQ892">
        <v>75</v>
      </c>
      <c r="AR892" s="2">
        <v>45764.431423611109</v>
      </c>
      <c r="AS892" s="2">
        <v>46068.849629629629</v>
      </c>
      <c r="AT892" t="s">
        <v>61</v>
      </c>
      <c r="AU892" t="s">
        <v>61</v>
      </c>
      <c r="AV892">
        <v>304</v>
      </c>
    </row>
    <row r="893" spans="1:48" x14ac:dyDescent="0.25">
      <c r="A893">
        <v>962</v>
      </c>
      <c r="B893" t="s">
        <v>3441</v>
      </c>
      <c r="C893" t="s">
        <v>95</v>
      </c>
      <c r="D893" t="s">
        <v>2146</v>
      </c>
      <c r="E893" t="s">
        <v>3442</v>
      </c>
      <c r="F893" t="s">
        <v>3443</v>
      </c>
      <c r="G893" t="s">
        <v>53</v>
      </c>
      <c r="H893" s="1">
        <v>36176</v>
      </c>
      <c r="I893">
        <v>27</v>
      </c>
      <c r="J893">
        <v>1999</v>
      </c>
      <c r="K893" s="1">
        <v>44655</v>
      </c>
      <c r="L893">
        <v>2022</v>
      </c>
      <c r="M893" t="s">
        <v>54</v>
      </c>
      <c r="N893">
        <v>1</v>
      </c>
      <c r="O893" t="s">
        <v>157</v>
      </c>
      <c r="P893" t="s">
        <v>119</v>
      </c>
      <c r="Q893">
        <v>120</v>
      </c>
      <c r="R893">
        <v>1</v>
      </c>
      <c r="S893" t="s">
        <v>57</v>
      </c>
      <c r="T893" t="s">
        <v>58</v>
      </c>
      <c r="U893">
        <v>4</v>
      </c>
      <c r="V893">
        <v>4</v>
      </c>
      <c r="W893">
        <v>4</v>
      </c>
      <c r="X893">
        <v>4</v>
      </c>
      <c r="Y893">
        <v>1</v>
      </c>
      <c r="Z893">
        <v>1</v>
      </c>
      <c r="AA893">
        <v>3.5</v>
      </c>
      <c r="AB893">
        <v>3.5</v>
      </c>
      <c r="AC893" t="s">
        <v>281</v>
      </c>
      <c r="AD893" t="s">
        <v>281</v>
      </c>
      <c r="AE893">
        <v>0</v>
      </c>
      <c r="AF893">
        <v>0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1</v>
      </c>
      <c r="AP893">
        <v>0</v>
      </c>
      <c r="AQ893">
        <v>100</v>
      </c>
      <c r="AR893" s="2">
        <v>45792.886296296296</v>
      </c>
      <c r="AS893" s="2">
        <v>46057.387627314813</v>
      </c>
      <c r="AT893" t="s">
        <v>1357</v>
      </c>
      <c r="AU893" t="s">
        <v>1357</v>
      </c>
      <c r="AV893">
        <v>265</v>
      </c>
    </row>
    <row r="894" spans="1:48" x14ac:dyDescent="0.25">
      <c r="A894">
        <v>576</v>
      </c>
      <c r="B894" t="s">
        <v>3444</v>
      </c>
      <c r="C894" t="s">
        <v>243</v>
      </c>
      <c r="D894" t="s">
        <v>3445</v>
      </c>
      <c r="E894" t="s">
        <v>3446</v>
      </c>
      <c r="F894" t="s">
        <v>3447</v>
      </c>
      <c r="G894" t="s">
        <v>104</v>
      </c>
      <c r="H894" s="1">
        <v>36124</v>
      </c>
      <c r="I894">
        <v>28</v>
      </c>
      <c r="J894">
        <v>1998</v>
      </c>
      <c r="K894" s="1">
        <v>44852</v>
      </c>
      <c r="L894">
        <v>2022</v>
      </c>
      <c r="M894" t="s">
        <v>225</v>
      </c>
      <c r="N894">
        <v>2</v>
      </c>
      <c r="O894" t="s">
        <v>55</v>
      </c>
      <c r="P894" t="s">
        <v>56</v>
      </c>
      <c r="Q894">
        <v>36</v>
      </c>
      <c r="R894">
        <v>1</v>
      </c>
      <c r="S894" t="s">
        <v>57</v>
      </c>
      <c r="T894" t="s">
        <v>58</v>
      </c>
      <c r="U894">
        <v>4</v>
      </c>
      <c r="V894">
        <v>4</v>
      </c>
      <c r="W894">
        <v>4</v>
      </c>
      <c r="X894">
        <v>4</v>
      </c>
      <c r="Y894">
        <v>1</v>
      </c>
      <c r="Z894">
        <v>1</v>
      </c>
      <c r="AA894">
        <v>2</v>
      </c>
      <c r="AB894">
        <v>2</v>
      </c>
      <c r="AC894" t="s">
        <v>1061</v>
      </c>
      <c r="AD894" t="s">
        <v>1061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1</v>
      </c>
      <c r="AL894">
        <v>0</v>
      </c>
      <c r="AM894">
        <v>0</v>
      </c>
      <c r="AN894">
        <v>0</v>
      </c>
      <c r="AO894">
        <v>1</v>
      </c>
      <c r="AP894">
        <v>0</v>
      </c>
      <c r="AQ894">
        <v>100</v>
      </c>
      <c r="AR894" s="2">
        <v>45759.092731481483</v>
      </c>
      <c r="AS894" s="2">
        <v>46026.678206018521</v>
      </c>
      <c r="AT894" t="s">
        <v>1357</v>
      </c>
      <c r="AU894" t="s">
        <v>1357</v>
      </c>
      <c r="AV894">
        <v>267</v>
      </c>
    </row>
    <row r="895" spans="1:48" x14ac:dyDescent="0.25">
      <c r="A895">
        <v>843</v>
      </c>
      <c r="B895" t="s">
        <v>3448</v>
      </c>
      <c r="C895" t="s">
        <v>1276</v>
      </c>
      <c r="D895" t="s">
        <v>562</v>
      </c>
      <c r="E895" t="s">
        <v>3449</v>
      </c>
      <c r="F895" t="s">
        <v>3450</v>
      </c>
      <c r="G895" t="s">
        <v>104</v>
      </c>
      <c r="H895" s="1">
        <v>37583</v>
      </c>
      <c r="I895">
        <v>24</v>
      </c>
      <c r="J895">
        <v>2002</v>
      </c>
      <c r="K895" s="1">
        <v>45733</v>
      </c>
      <c r="L895">
        <v>2025</v>
      </c>
      <c r="M895" t="s">
        <v>54</v>
      </c>
      <c r="N895">
        <v>5</v>
      </c>
      <c r="O895" t="s">
        <v>84</v>
      </c>
      <c r="P895" t="s">
        <v>56</v>
      </c>
      <c r="Q895">
        <v>36</v>
      </c>
      <c r="R895">
        <v>2</v>
      </c>
      <c r="S895" t="s">
        <v>85</v>
      </c>
      <c r="T895" t="s">
        <v>86</v>
      </c>
      <c r="U895">
        <v>4</v>
      </c>
      <c r="V895">
        <v>4</v>
      </c>
      <c r="W895">
        <v>4</v>
      </c>
      <c r="X895">
        <v>4</v>
      </c>
      <c r="Y895">
        <v>1</v>
      </c>
      <c r="Z895">
        <v>4</v>
      </c>
      <c r="AA895">
        <v>2.125</v>
      </c>
      <c r="AB895">
        <v>8.5</v>
      </c>
      <c r="AC895" t="s">
        <v>70</v>
      </c>
      <c r="AD895" t="s">
        <v>112</v>
      </c>
      <c r="AE895">
        <v>0</v>
      </c>
      <c r="AF895">
        <v>0</v>
      </c>
      <c r="AG895">
        <v>1</v>
      </c>
      <c r="AH895">
        <v>1</v>
      </c>
      <c r="AI895">
        <v>0</v>
      </c>
      <c r="AJ895">
        <v>0</v>
      </c>
      <c r="AK895">
        <v>1</v>
      </c>
      <c r="AL895">
        <v>0</v>
      </c>
      <c r="AM895">
        <v>0</v>
      </c>
      <c r="AN895">
        <v>1</v>
      </c>
      <c r="AO895">
        <v>3</v>
      </c>
      <c r="AP895">
        <v>1</v>
      </c>
      <c r="AQ895">
        <v>75</v>
      </c>
      <c r="AR895" s="2">
        <v>45844.333414351851</v>
      </c>
      <c r="AS895" s="2">
        <v>46067.726793981485</v>
      </c>
      <c r="AT895" t="s">
        <v>62</v>
      </c>
      <c r="AU895" t="s">
        <v>62</v>
      </c>
      <c r="AV895">
        <v>223</v>
      </c>
    </row>
    <row r="896" spans="1:48" x14ac:dyDescent="0.25">
      <c r="A896">
        <v>642</v>
      </c>
      <c r="B896" t="s">
        <v>3451</v>
      </c>
      <c r="C896" t="s">
        <v>741</v>
      </c>
      <c r="D896" t="s">
        <v>3452</v>
      </c>
      <c r="E896" t="s">
        <v>3453</v>
      </c>
      <c r="F896" t="s">
        <v>3454</v>
      </c>
      <c r="G896" t="s">
        <v>104</v>
      </c>
      <c r="H896" s="1">
        <v>38221</v>
      </c>
      <c r="I896">
        <v>22</v>
      </c>
      <c r="J896">
        <v>2004</v>
      </c>
      <c r="K896" s="1">
        <v>45186</v>
      </c>
      <c r="L896">
        <v>2023</v>
      </c>
      <c r="M896" t="s">
        <v>54</v>
      </c>
      <c r="N896">
        <v>10</v>
      </c>
      <c r="O896" t="s">
        <v>118</v>
      </c>
      <c r="P896" t="s">
        <v>119</v>
      </c>
      <c r="Q896">
        <v>120</v>
      </c>
      <c r="R896">
        <v>4</v>
      </c>
      <c r="S896" t="s">
        <v>77</v>
      </c>
      <c r="T896" t="s">
        <v>78</v>
      </c>
      <c r="U896">
        <v>4</v>
      </c>
      <c r="V896">
        <v>4</v>
      </c>
      <c r="W896">
        <v>4</v>
      </c>
      <c r="X896">
        <v>4</v>
      </c>
      <c r="Y896">
        <v>1</v>
      </c>
      <c r="Z896">
        <v>4</v>
      </c>
      <c r="AA896">
        <v>3</v>
      </c>
      <c r="AB896">
        <v>12</v>
      </c>
      <c r="AC896" t="s">
        <v>540</v>
      </c>
      <c r="AD896" t="s">
        <v>60</v>
      </c>
      <c r="AE896">
        <v>1</v>
      </c>
      <c r="AF896">
        <v>0</v>
      </c>
      <c r="AG896">
        <v>1</v>
      </c>
      <c r="AH896">
        <v>0</v>
      </c>
      <c r="AI896">
        <v>0</v>
      </c>
      <c r="AJ896">
        <v>1</v>
      </c>
      <c r="AK896">
        <v>1</v>
      </c>
      <c r="AL896">
        <v>0</v>
      </c>
      <c r="AM896">
        <v>0</v>
      </c>
      <c r="AN896">
        <v>0</v>
      </c>
      <c r="AO896">
        <v>4</v>
      </c>
      <c r="AP896">
        <v>0</v>
      </c>
      <c r="AQ896">
        <v>100</v>
      </c>
      <c r="AR896" s="2">
        <v>45798.533750000002</v>
      </c>
      <c r="AS896" s="2">
        <v>45964.571076388886</v>
      </c>
      <c r="AT896" t="s">
        <v>62</v>
      </c>
      <c r="AU896" t="s">
        <v>62</v>
      </c>
      <c r="AV896">
        <v>166</v>
      </c>
    </row>
    <row r="897" spans="1:48" x14ac:dyDescent="0.25">
      <c r="A897">
        <v>314</v>
      </c>
      <c r="B897" t="s">
        <v>3455</v>
      </c>
      <c r="C897" t="s">
        <v>3456</v>
      </c>
      <c r="D897" t="s">
        <v>3457</v>
      </c>
      <c r="E897" t="s">
        <v>3458</v>
      </c>
      <c r="F897" t="s">
        <v>3459</v>
      </c>
      <c r="G897" t="s">
        <v>104</v>
      </c>
      <c r="H897" s="1">
        <v>36710</v>
      </c>
      <c r="I897">
        <v>26</v>
      </c>
      <c r="J897">
        <v>2000</v>
      </c>
      <c r="K897" s="1">
        <v>44741</v>
      </c>
      <c r="L897">
        <v>2022</v>
      </c>
      <c r="M897" t="s">
        <v>54</v>
      </c>
      <c r="N897">
        <v>18</v>
      </c>
      <c r="O897" t="s">
        <v>139</v>
      </c>
      <c r="P897" t="s">
        <v>69</v>
      </c>
      <c r="Q897">
        <v>60</v>
      </c>
      <c r="R897">
        <v>6</v>
      </c>
      <c r="S897" t="s">
        <v>140</v>
      </c>
      <c r="T897" t="s">
        <v>141</v>
      </c>
      <c r="U897">
        <v>4</v>
      </c>
      <c r="V897">
        <v>4</v>
      </c>
      <c r="W897">
        <v>4</v>
      </c>
      <c r="X897">
        <v>4</v>
      </c>
      <c r="Y897">
        <v>1</v>
      </c>
      <c r="Z897">
        <v>4</v>
      </c>
      <c r="AA897">
        <v>2.125</v>
      </c>
      <c r="AB897">
        <v>8.5</v>
      </c>
      <c r="AC897" t="s">
        <v>59</v>
      </c>
      <c r="AD897" t="s">
        <v>112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1</v>
      </c>
      <c r="AK897">
        <v>1</v>
      </c>
      <c r="AL897">
        <v>0</v>
      </c>
      <c r="AM897">
        <v>1</v>
      </c>
      <c r="AN897">
        <v>0</v>
      </c>
      <c r="AO897">
        <v>4</v>
      </c>
      <c r="AP897">
        <v>0</v>
      </c>
      <c r="AQ897">
        <v>100</v>
      </c>
      <c r="AR897" s="2">
        <v>45865.828449074077</v>
      </c>
      <c r="AS897" s="2">
        <v>46060.311851851853</v>
      </c>
      <c r="AT897" t="s">
        <v>62</v>
      </c>
      <c r="AU897" t="s">
        <v>62</v>
      </c>
      <c r="AV897">
        <v>195</v>
      </c>
    </row>
    <row r="898" spans="1:48" x14ac:dyDescent="0.25">
      <c r="A898">
        <v>230</v>
      </c>
      <c r="B898" t="s">
        <v>3460</v>
      </c>
      <c r="C898" t="s">
        <v>686</v>
      </c>
      <c r="D898" t="s">
        <v>442</v>
      </c>
      <c r="E898" t="s">
        <v>3461</v>
      </c>
      <c r="F898" t="s">
        <v>3462</v>
      </c>
      <c r="G898" t="s">
        <v>53</v>
      </c>
      <c r="H898" s="1">
        <v>37913</v>
      </c>
      <c r="I898">
        <v>23</v>
      </c>
      <c r="J898">
        <v>2003</v>
      </c>
      <c r="K898" s="1">
        <v>45108</v>
      </c>
      <c r="L898">
        <v>2023</v>
      </c>
      <c r="M898" t="s">
        <v>54</v>
      </c>
      <c r="N898">
        <v>13</v>
      </c>
      <c r="O898" t="s">
        <v>146</v>
      </c>
      <c r="P898" t="s">
        <v>119</v>
      </c>
      <c r="Q898">
        <v>120</v>
      </c>
      <c r="R898">
        <v>5</v>
      </c>
      <c r="S898" t="s">
        <v>92</v>
      </c>
      <c r="T898" t="s">
        <v>93</v>
      </c>
      <c r="U898">
        <v>4</v>
      </c>
      <c r="V898">
        <v>4</v>
      </c>
      <c r="W898">
        <v>4</v>
      </c>
      <c r="X898">
        <v>4</v>
      </c>
      <c r="Y898">
        <v>1</v>
      </c>
      <c r="Z898">
        <v>4</v>
      </c>
      <c r="AA898">
        <v>0.25</v>
      </c>
      <c r="AB898">
        <v>1</v>
      </c>
      <c r="AC898" t="s">
        <v>70</v>
      </c>
      <c r="AD898" t="s">
        <v>59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1</v>
      </c>
      <c r="AN898">
        <v>3</v>
      </c>
      <c r="AO898">
        <v>1</v>
      </c>
      <c r="AP898">
        <v>3</v>
      </c>
      <c r="AQ898">
        <v>25</v>
      </c>
      <c r="AR898" s="2">
        <v>45800.240590277775</v>
      </c>
      <c r="AS898" s="2">
        <v>46065.645011574074</v>
      </c>
      <c r="AT898" t="s">
        <v>61</v>
      </c>
      <c r="AU898" t="s">
        <v>61</v>
      </c>
      <c r="AV898">
        <v>265</v>
      </c>
    </row>
    <row r="899" spans="1:48" x14ac:dyDescent="0.25">
      <c r="A899">
        <v>914</v>
      </c>
      <c r="B899" t="s">
        <v>3463</v>
      </c>
      <c r="C899" t="s">
        <v>648</v>
      </c>
      <c r="D899" t="s">
        <v>3464</v>
      </c>
      <c r="E899" t="s">
        <v>3465</v>
      </c>
      <c r="F899" t="s">
        <v>3466</v>
      </c>
      <c r="G899" t="s">
        <v>104</v>
      </c>
      <c r="H899" s="1">
        <v>36492</v>
      </c>
      <c r="I899">
        <v>27</v>
      </c>
      <c r="J899">
        <v>1999</v>
      </c>
      <c r="K899" s="1">
        <v>45195</v>
      </c>
      <c r="L899">
        <v>2023</v>
      </c>
      <c r="M899" t="s">
        <v>54</v>
      </c>
      <c r="N899">
        <v>16</v>
      </c>
      <c r="O899" t="s">
        <v>280</v>
      </c>
      <c r="P899" t="s">
        <v>119</v>
      </c>
      <c r="Q899">
        <v>120</v>
      </c>
      <c r="R899">
        <v>6</v>
      </c>
      <c r="S899" t="s">
        <v>140</v>
      </c>
      <c r="T899" t="s">
        <v>141</v>
      </c>
      <c r="U899">
        <v>4</v>
      </c>
      <c r="V899">
        <v>4</v>
      </c>
      <c r="W899">
        <v>4</v>
      </c>
      <c r="X899">
        <v>4</v>
      </c>
      <c r="Y899">
        <v>1</v>
      </c>
      <c r="Z899">
        <v>3</v>
      </c>
      <c r="AA899">
        <v>2.8333330000000001</v>
      </c>
      <c r="AB899">
        <v>8.5</v>
      </c>
      <c r="AC899" t="s">
        <v>540</v>
      </c>
      <c r="AD899" t="s">
        <v>112</v>
      </c>
      <c r="AE899">
        <v>0</v>
      </c>
      <c r="AF899">
        <v>0</v>
      </c>
      <c r="AG899">
        <v>0</v>
      </c>
      <c r="AH899">
        <v>2</v>
      </c>
      <c r="AI899">
        <v>0</v>
      </c>
      <c r="AJ899">
        <v>1</v>
      </c>
      <c r="AK899">
        <v>0</v>
      </c>
      <c r="AL899">
        <v>0</v>
      </c>
      <c r="AM899">
        <v>0</v>
      </c>
      <c r="AN899">
        <v>0</v>
      </c>
      <c r="AO899">
        <v>3</v>
      </c>
      <c r="AP899">
        <v>0</v>
      </c>
      <c r="AQ899">
        <v>100</v>
      </c>
      <c r="AR899" s="2">
        <v>45813.872685185182</v>
      </c>
      <c r="AS899" s="2">
        <v>45963.116585648146</v>
      </c>
      <c r="AT899" t="s">
        <v>1357</v>
      </c>
      <c r="AU899" t="s">
        <v>1357</v>
      </c>
      <c r="AV899">
        <v>150</v>
      </c>
    </row>
    <row r="900" spans="1:48" x14ac:dyDescent="0.25">
      <c r="A900">
        <v>165</v>
      </c>
      <c r="B900" t="s">
        <v>3467</v>
      </c>
      <c r="C900" t="s">
        <v>3011</v>
      </c>
      <c r="D900" t="s">
        <v>3468</v>
      </c>
      <c r="E900" t="s">
        <v>3469</v>
      </c>
      <c r="F900" t="s">
        <v>3470</v>
      </c>
      <c r="G900" t="s">
        <v>53</v>
      </c>
      <c r="H900" s="1">
        <v>38840</v>
      </c>
      <c r="I900">
        <v>20</v>
      </c>
      <c r="J900">
        <v>2006</v>
      </c>
      <c r="K900" s="1">
        <v>44642</v>
      </c>
      <c r="L900">
        <v>2022</v>
      </c>
      <c r="M900" t="s">
        <v>54</v>
      </c>
      <c r="N900">
        <v>10</v>
      </c>
      <c r="O900" t="s">
        <v>118</v>
      </c>
      <c r="P900" t="s">
        <v>119</v>
      </c>
      <c r="Q900">
        <v>120</v>
      </c>
      <c r="R900">
        <v>4</v>
      </c>
      <c r="S900" t="s">
        <v>77</v>
      </c>
      <c r="T900" t="s">
        <v>78</v>
      </c>
      <c r="U900">
        <v>4</v>
      </c>
      <c r="V900">
        <v>4</v>
      </c>
      <c r="W900">
        <v>4</v>
      </c>
      <c r="X900">
        <v>3</v>
      </c>
      <c r="Y900">
        <v>1</v>
      </c>
      <c r="Z900">
        <v>4</v>
      </c>
      <c r="AA900">
        <v>2.25</v>
      </c>
      <c r="AB900">
        <v>9</v>
      </c>
      <c r="AC900" t="s">
        <v>70</v>
      </c>
      <c r="AD900" t="s">
        <v>112</v>
      </c>
      <c r="AE900">
        <v>0</v>
      </c>
      <c r="AF900">
        <v>0</v>
      </c>
      <c r="AG900">
        <v>1</v>
      </c>
      <c r="AH900">
        <v>1</v>
      </c>
      <c r="AI900">
        <v>0</v>
      </c>
      <c r="AJ900">
        <v>1</v>
      </c>
      <c r="AK900">
        <v>0</v>
      </c>
      <c r="AL900">
        <v>0</v>
      </c>
      <c r="AM900">
        <v>0</v>
      </c>
      <c r="AN900">
        <v>1</v>
      </c>
      <c r="AO900">
        <v>3</v>
      </c>
      <c r="AP900">
        <v>1</v>
      </c>
      <c r="AQ900">
        <v>75</v>
      </c>
      <c r="AR900" s="2">
        <v>45803.472314814811</v>
      </c>
      <c r="AS900" s="2">
        <v>46084.094270833331</v>
      </c>
      <c r="AT900" t="s">
        <v>1357</v>
      </c>
      <c r="AU900" t="s">
        <v>1357</v>
      </c>
      <c r="AV900">
        <v>281</v>
      </c>
    </row>
    <row r="901" spans="1:48" x14ac:dyDescent="0.25">
      <c r="A901">
        <v>263</v>
      </c>
      <c r="B901" t="s">
        <v>3471</v>
      </c>
      <c r="C901" t="s">
        <v>3472</v>
      </c>
      <c r="D901" t="s">
        <v>3473</v>
      </c>
      <c r="E901" t="s">
        <v>3474</v>
      </c>
      <c r="F901" t="s">
        <v>3475</v>
      </c>
      <c r="G901" t="s">
        <v>104</v>
      </c>
      <c r="H901" s="1">
        <v>37259</v>
      </c>
      <c r="I901">
        <v>24</v>
      </c>
      <c r="J901">
        <v>2002</v>
      </c>
      <c r="K901" s="1">
        <v>45243</v>
      </c>
      <c r="L901">
        <v>2023</v>
      </c>
      <c r="M901" t="s">
        <v>54</v>
      </c>
      <c r="N901">
        <v>9</v>
      </c>
      <c r="O901" t="s">
        <v>151</v>
      </c>
      <c r="P901" t="s">
        <v>69</v>
      </c>
      <c r="Q901">
        <v>60</v>
      </c>
      <c r="R901">
        <v>3</v>
      </c>
      <c r="S901" t="s">
        <v>126</v>
      </c>
      <c r="T901" t="s">
        <v>127</v>
      </c>
      <c r="U901">
        <v>4</v>
      </c>
      <c r="V901">
        <v>4</v>
      </c>
      <c r="W901">
        <v>4</v>
      </c>
      <c r="X901">
        <v>4</v>
      </c>
      <c r="Y901">
        <v>1</v>
      </c>
      <c r="Z901">
        <v>3</v>
      </c>
      <c r="AA901">
        <v>1.3333330000000001</v>
      </c>
      <c r="AB901">
        <v>4</v>
      </c>
      <c r="AC901" t="s">
        <v>59</v>
      </c>
      <c r="AD901" t="s">
        <v>1061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</v>
      </c>
      <c r="AL901">
        <v>0</v>
      </c>
      <c r="AM901">
        <v>2</v>
      </c>
      <c r="AN901">
        <v>0</v>
      </c>
      <c r="AO901">
        <v>3</v>
      </c>
      <c r="AP901">
        <v>0</v>
      </c>
      <c r="AQ901">
        <v>100</v>
      </c>
      <c r="AR901" s="2">
        <v>45934.493310185186</v>
      </c>
      <c r="AS901" s="2">
        <v>46085.766597222224</v>
      </c>
      <c r="AT901" t="s">
        <v>1357</v>
      </c>
      <c r="AU901" t="s">
        <v>1357</v>
      </c>
      <c r="AV901">
        <v>151</v>
      </c>
    </row>
    <row r="902" spans="1:48" x14ac:dyDescent="0.25">
      <c r="A902">
        <v>773</v>
      </c>
      <c r="B902" t="s">
        <v>3476</v>
      </c>
      <c r="C902" t="s">
        <v>1019</v>
      </c>
      <c r="D902" t="s">
        <v>320</v>
      </c>
      <c r="E902" t="s">
        <v>3477</v>
      </c>
      <c r="F902" t="s">
        <v>3478</v>
      </c>
      <c r="G902" t="s">
        <v>53</v>
      </c>
      <c r="H902" s="1">
        <v>38657</v>
      </c>
      <c r="I902">
        <v>21</v>
      </c>
      <c r="J902">
        <v>2005</v>
      </c>
      <c r="K902" s="1">
        <v>45918</v>
      </c>
      <c r="L902">
        <v>2025</v>
      </c>
      <c r="M902" t="s">
        <v>54</v>
      </c>
      <c r="N902">
        <v>10</v>
      </c>
      <c r="O902" t="s">
        <v>118</v>
      </c>
      <c r="P902" t="s">
        <v>119</v>
      </c>
      <c r="Q902">
        <v>120</v>
      </c>
      <c r="R902">
        <v>4</v>
      </c>
      <c r="S902" t="s">
        <v>77</v>
      </c>
      <c r="T902" t="s">
        <v>78</v>
      </c>
      <c r="U902">
        <v>4</v>
      </c>
      <c r="V902">
        <v>4</v>
      </c>
      <c r="W902">
        <v>4</v>
      </c>
      <c r="X902">
        <v>4</v>
      </c>
      <c r="Y902">
        <v>1</v>
      </c>
      <c r="Z902">
        <v>4</v>
      </c>
      <c r="AA902">
        <v>2</v>
      </c>
      <c r="AB902">
        <v>8</v>
      </c>
      <c r="AC902" t="s">
        <v>70</v>
      </c>
      <c r="AD902" t="s">
        <v>281</v>
      </c>
      <c r="AE902">
        <v>0</v>
      </c>
      <c r="AF902">
        <v>0</v>
      </c>
      <c r="AG902">
        <v>1</v>
      </c>
      <c r="AH902">
        <v>0</v>
      </c>
      <c r="AI902">
        <v>0</v>
      </c>
      <c r="AJ902">
        <v>1</v>
      </c>
      <c r="AK902">
        <v>1</v>
      </c>
      <c r="AL902">
        <v>0</v>
      </c>
      <c r="AM902">
        <v>0</v>
      </c>
      <c r="AN902">
        <v>1</v>
      </c>
      <c r="AO902">
        <v>3</v>
      </c>
      <c r="AP902">
        <v>1</v>
      </c>
      <c r="AQ902">
        <v>75</v>
      </c>
      <c r="AR902" s="2">
        <v>45916.284722222219</v>
      </c>
      <c r="AS902" s="2">
        <v>46062.70685185185</v>
      </c>
      <c r="AT902" t="s">
        <v>62</v>
      </c>
      <c r="AU902" t="s">
        <v>62</v>
      </c>
      <c r="AV902">
        <v>146</v>
      </c>
    </row>
    <row r="903" spans="1:48" x14ac:dyDescent="0.25">
      <c r="A903">
        <v>118</v>
      </c>
      <c r="B903" t="s">
        <v>3479</v>
      </c>
      <c r="C903" t="s">
        <v>3480</v>
      </c>
      <c r="D903" t="s">
        <v>3293</v>
      </c>
      <c r="E903" t="s">
        <v>3481</v>
      </c>
      <c r="F903" t="s">
        <v>3482</v>
      </c>
      <c r="G903" t="s">
        <v>104</v>
      </c>
      <c r="H903" s="1">
        <v>38279</v>
      </c>
      <c r="I903">
        <v>22</v>
      </c>
      <c r="J903">
        <v>2004</v>
      </c>
      <c r="K903" s="1">
        <v>45212</v>
      </c>
      <c r="L903">
        <v>2023</v>
      </c>
      <c r="M903" t="s">
        <v>225</v>
      </c>
      <c r="N903">
        <v>3</v>
      </c>
      <c r="O903" t="s">
        <v>68</v>
      </c>
      <c r="P903" t="s">
        <v>69</v>
      </c>
      <c r="Q903">
        <v>60</v>
      </c>
      <c r="R903">
        <v>1</v>
      </c>
      <c r="S903" t="s">
        <v>57</v>
      </c>
      <c r="T903" t="s">
        <v>58</v>
      </c>
      <c r="U903">
        <v>4</v>
      </c>
      <c r="V903">
        <v>4</v>
      </c>
      <c r="W903">
        <v>4</v>
      </c>
      <c r="X903">
        <v>4</v>
      </c>
      <c r="Y903">
        <v>1</v>
      </c>
      <c r="Z903">
        <v>4</v>
      </c>
      <c r="AA903">
        <v>3</v>
      </c>
      <c r="AB903">
        <v>12</v>
      </c>
      <c r="AC903" t="s">
        <v>59</v>
      </c>
      <c r="AD903" t="s">
        <v>60</v>
      </c>
      <c r="AE903">
        <v>2</v>
      </c>
      <c r="AF903">
        <v>0</v>
      </c>
      <c r="AG903">
        <v>0</v>
      </c>
      <c r="AH903">
        <v>1</v>
      </c>
      <c r="AI903">
        <v>0</v>
      </c>
      <c r="AJ903">
        <v>0</v>
      </c>
      <c r="AK903">
        <v>0</v>
      </c>
      <c r="AL903">
        <v>0</v>
      </c>
      <c r="AM903">
        <v>1</v>
      </c>
      <c r="AN903">
        <v>0</v>
      </c>
      <c r="AO903">
        <v>4</v>
      </c>
      <c r="AP903">
        <v>0</v>
      </c>
      <c r="AQ903">
        <v>100</v>
      </c>
      <c r="AR903" s="2">
        <v>45853.335104166668</v>
      </c>
      <c r="AS903" s="2">
        <v>45975.936979166669</v>
      </c>
      <c r="AT903" t="s">
        <v>62</v>
      </c>
      <c r="AU903" t="s">
        <v>62</v>
      </c>
      <c r="AV903">
        <v>122</v>
      </c>
    </row>
    <row r="904" spans="1:48" x14ac:dyDescent="0.25">
      <c r="A904">
        <v>903</v>
      </c>
      <c r="B904" t="s">
        <v>3483</v>
      </c>
      <c r="C904" t="s">
        <v>201</v>
      </c>
      <c r="D904" t="s">
        <v>2087</v>
      </c>
      <c r="E904" t="s">
        <v>3484</v>
      </c>
      <c r="F904" t="s">
        <v>3485</v>
      </c>
      <c r="G904" t="s">
        <v>53</v>
      </c>
      <c r="H904" s="1">
        <v>38216</v>
      </c>
      <c r="I904">
        <v>22</v>
      </c>
      <c r="J904">
        <v>2004</v>
      </c>
      <c r="K904" s="1">
        <v>45774</v>
      </c>
      <c r="L904">
        <v>2025</v>
      </c>
      <c r="M904" t="s">
        <v>54</v>
      </c>
      <c r="N904">
        <v>2</v>
      </c>
      <c r="O904" t="s">
        <v>55</v>
      </c>
      <c r="P904" t="s">
        <v>56</v>
      </c>
      <c r="Q904">
        <v>36</v>
      </c>
      <c r="R904">
        <v>1</v>
      </c>
      <c r="S904" t="s">
        <v>57</v>
      </c>
      <c r="T904" t="s">
        <v>58</v>
      </c>
      <c r="U904">
        <v>4</v>
      </c>
      <c r="V904">
        <v>4</v>
      </c>
      <c r="W904">
        <v>4</v>
      </c>
      <c r="X904">
        <v>4</v>
      </c>
      <c r="Y904">
        <v>1</v>
      </c>
      <c r="Z904">
        <v>4</v>
      </c>
      <c r="AA904">
        <v>2.125</v>
      </c>
      <c r="AB904">
        <v>8.5</v>
      </c>
      <c r="AC904" t="s">
        <v>59</v>
      </c>
      <c r="AD904" t="s">
        <v>281</v>
      </c>
      <c r="AE904">
        <v>0</v>
      </c>
      <c r="AF904">
        <v>0</v>
      </c>
      <c r="AG904">
        <v>1</v>
      </c>
      <c r="AH904">
        <v>0</v>
      </c>
      <c r="AI904">
        <v>0</v>
      </c>
      <c r="AJ904">
        <v>0</v>
      </c>
      <c r="AK904">
        <v>2</v>
      </c>
      <c r="AL904">
        <v>0</v>
      </c>
      <c r="AM904">
        <v>1</v>
      </c>
      <c r="AN904">
        <v>0</v>
      </c>
      <c r="AO904">
        <v>4</v>
      </c>
      <c r="AP904">
        <v>0</v>
      </c>
      <c r="AQ904">
        <v>100</v>
      </c>
      <c r="AR904" s="2">
        <v>45733.413773148146</v>
      </c>
      <c r="AS904" s="2">
        <v>46073.757557870369</v>
      </c>
      <c r="AT904" t="s">
        <v>62</v>
      </c>
      <c r="AU904" t="s">
        <v>62</v>
      </c>
      <c r="AV904">
        <v>340</v>
      </c>
    </row>
    <row r="905" spans="1:48" x14ac:dyDescent="0.25">
      <c r="A905">
        <v>710</v>
      </c>
      <c r="B905" t="s">
        <v>3486</v>
      </c>
      <c r="C905" t="s">
        <v>3487</v>
      </c>
      <c r="D905" t="s">
        <v>3488</v>
      </c>
      <c r="E905" t="s">
        <v>3489</v>
      </c>
      <c r="F905">
        <v>7188272795</v>
      </c>
      <c r="G905" t="s">
        <v>53</v>
      </c>
      <c r="H905" s="1">
        <v>37889</v>
      </c>
      <c r="I905">
        <v>23</v>
      </c>
      <c r="J905">
        <v>2003</v>
      </c>
      <c r="K905" s="1">
        <v>45941</v>
      </c>
      <c r="L905">
        <v>2025</v>
      </c>
      <c r="M905" t="s">
        <v>54</v>
      </c>
      <c r="N905">
        <v>5</v>
      </c>
      <c r="O905" t="s">
        <v>84</v>
      </c>
      <c r="P905" t="s">
        <v>56</v>
      </c>
      <c r="Q905">
        <v>36</v>
      </c>
      <c r="R905">
        <v>2</v>
      </c>
      <c r="S905" t="s">
        <v>85</v>
      </c>
      <c r="T905" t="s">
        <v>86</v>
      </c>
      <c r="U905">
        <v>4</v>
      </c>
      <c r="V905">
        <v>4</v>
      </c>
      <c r="W905">
        <v>4</v>
      </c>
      <c r="X905">
        <v>4</v>
      </c>
      <c r="Y905">
        <v>1</v>
      </c>
      <c r="Z905">
        <v>4</v>
      </c>
      <c r="AA905">
        <v>1.25</v>
      </c>
      <c r="AB905">
        <v>5</v>
      </c>
      <c r="AC905" t="s">
        <v>70</v>
      </c>
      <c r="AD905" t="s">
        <v>60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1</v>
      </c>
      <c r="AN905">
        <v>2</v>
      </c>
      <c r="AO905">
        <v>2</v>
      </c>
      <c r="AP905">
        <v>2</v>
      </c>
      <c r="AQ905">
        <v>50</v>
      </c>
      <c r="AR905" s="2">
        <v>45754.17695601852</v>
      </c>
      <c r="AS905" s="2">
        <v>46077.472719907404</v>
      </c>
      <c r="AT905" t="s">
        <v>61</v>
      </c>
      <c r="AU905" t="s">
        <v>61</v>
      </c>
      <c r="AV905">
        <v>323</v>
      </c>
    </row>
    <row r="906" spans="1:48" x14ac:dyDescent="0.25">
      <c r="A906">
        <v>309</v>
      </c>
      <c r="B906" t="s">
        <v>3490</v>
      </c>
      <c r="C906" t="s">
        <v>2007</v>
      </c>
      <c r="D906" t="s">
        <v>172</v>
      </c>
      <c r="E906" t="s">
        <v>3491</v>
      </c>
      <c r="F906" t="s">
        <v>3492</v>
      </c>
      <c r="G906" t="s">
        <v>53</v>
      </c>
      <c r="H906" s="1">
        <v>37411</v>
      </c>
      <c r="I906">
        <v>24</v>
      </c>
      <c r="J906">
        <v>2002</v>
      </c>
      <c r="K906" s="1">
        <v>45379</v>
      </c>
      <c r="L906">
        <v>2024</v>
      </c>
      <c r="M906" t="s">
        <v>54</v>
      </c>
      <c r="N906">
        <v>13</v>
      </c>
      <c r="O906" t="s">
        <v>146</v>
      </c>
      <c r="P906" t="s">
        <v>119</v>
      </c>
      <c r="Q906">
        <v>120</v>
      </c>
      <c r="R906">
        <v>5</v>
      </c>
      <c r="S906" t="s">
        <v>92</v>
      </c>
      <c r="T906" t="s">
        <v>93</v>
      </c>
      <c r="U906">
        <v>4</v>
      </c>
      <c r="V906">
        <v>4</v>
      </c>
      <c r="W906">
        <v>4</v>
      </c>
      <c r="X906">
        <v>4</v>
      </c>
      <c r="Y906">
        <v>1</v>
      </c>
      <c r="Z906">
        <v>4</v>
      </c>
      <c r="AA906">
        <v>2.125</v>
      </c>
      <c r="AB906">
        <v>8.5</v>
      </c>
      <c r="AC906" t="s">
        <v>70</v>
      </c>
      <c r="AD906" t="s">
        <v>60</v>
      </c>
      <c r="AE906">
        <v>1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1</v>
      </c>
      <c r="AO906">
        <v>3</v>
      </c>
      <c r="AP906">
        <v>1</v>
      </c>
      <c r="AQ906">
        <v>75</v>
      </c>
      <c r="AR906" s="2">
        <v>45771.534895833334</v>
      </c>
      <c r="AS906" s="2">
        <v>45975.555127314816</v>
      </c>
      <c r="AT906" t="s">
        <v>62</v>
      </c>
      <c r="AU906" t="s">
        <v>62</v>
      </c>
      <c r="AV906">
        <v>204</v>
      </c>
    </row>
    <row r="907" spans="1:48" x14ac:dyDescent="0.25">
      <c r="A907">
        <v>668</v>
      </c>
      <c r="B907" t="s">
        <v>3493</v>
      </c>
      <c r="C907" t="s">
        <v>211</v>
      </c>
      <c r="D907" t="s">
        <v>1031</v>
      </c>
      <c r="E907" t="s">
        <v>3494</v>
      </c>
      <c r="F907" t="s">
        <v>3495</v>
      </c>
      <c r="G907" t="s">
        <v>53</v>
      </c>
      <c r="H907" s="1">
        <v>36876</v>
      </c>
      <c r="I907">
        <v>26</v>
      </c>
      <c r="J907">
        <v>2000</v>
      </c>
      <c r="K907" s="1">
        <v>46024</v>
      </c>
      <c r="L907">
        <v>2026</v>
      </c>
      <c r="M907" t="s">
        <v>54</v>
      </c>
      <c r="N907">
        <v>8</v>
      </c>
      <c r="O907" t="s">
        <v>125</v>
      </c>
      <c r="P907" t="s">
        <v>56</v>
      </c>
      <c r="Q907">
        <v>36</v>
      </c>
      <c r="R907">
        <v>3</v>
      </c>
      <c r="S907" t="s">
        <v>126</v>
      </c>
      <c r="T907" t="s">
        <v>127</v>
      </c>
      <c r="U907">
        <v>3</v>
      </c>
      <c r="V907">
        <v>3</v>
      </c>
      <c r="W907">
        <v>3</v>
      </c>
      <c r="X907">
        <v>3</v>
      </c>
      <c r="Y907">
        <v>1</v>
      </c>
      <c r="Z907">
        <v>2</v>
      </c>
      <c r="AA907">
        <v>3</v>
      </c>
      <c r="AB907">
        <v>6</v>
      </c>
      <c r="AC907" t="s">
        <v>540</v>
      </c>
      <c r="AD907" t="s">
        <v>281</v>
      </c>
      <c r="AE907">
        <v>0</v>
      </c>
      <c r="AF907">
        <v>0</v>
      </c>
      <c r="AG907">
        <v>1</v>
      </c>
      <c r="AH907">
        <v>0</v>
      </c>
      <c r="AI907">
        <v>0</v>
      </c>
      <c r="AJ907">
        <v>1</v>
      </c>
      <c r="AK907">
        <v>0</v>
      </c>
      <c r="AL907">
        <v>0</v>
      </c>
      <c r="AM907">
        <v>0</v>
      </c>
      <c r="AN907">
        <v>0</v>
      </c>
      <c r="AO907">
        <v>2</v>
      </c>
      <c r="AP907">
        <v>0</v>
      </c>
      <c r="AQ907">
        <v>100</v>
      </c>
      <c r="AR907" s="2">
        <v>45875.858090277776</v>
      </c>
      <c r="AS907" s="2">
        <v>45937.712939814817</v>
      </c>
      <c r="AT907" t="s">
        <v>1357</v>
      </c>
      <c r="AU907" t="s">
        <v>1357</v>
      </c>
      <c r="AV907">
        <v>62</v>
      </c>
    </row>
    <row r="908" spans="1:48" x14ac:dyDescent="0.25">
      <c r="A908">
        <v>339</v>
      </c>
      <c r="B908" t="s">
        <v>3496</v>
      </c>
      <c r="C908" t="s">
        <v>1527</v>
      </c>
      <c r="D908" t="s">
        <v>974</v>
      </c>
      <c r="E908" t="s">
        <v>3497</v>
      </c>
      <c r="F908" t="s">
        <v>3498</v>
      </c>
      <c r="G908" t="s">
        <v>104</v>
      </c>
      <c r="H908" s="1">
        <v>39330</v>
      </c>
      <c r="I908">
        <v>19</v>
      </c>
      <c r="J908">
        <v>2007</v>
      </c>
      <c r="K908" s="1">
        <v>44741</v>
      </c>
      <c r="L908">
        <v>2022</v>
      </c>
      <c r="M908" t="s">
        <v>54</v>
      </c>
      <c r="N908">
        <v>5</v>
      </c>
      <c r="O908" t="s">
        <v>84</v>
      </c>
      <c r="P908" t="s">
        <v>56</v>
      </c>
      <c r="Q908">
        <v>36</v>
      </c>
      <c r="R908">
        <v>2</v>
      </c>
      <c r="S908" t="s">
        <v>85</v>
      </c>
      <c r="T908" t="s">
        <v>86</v>
      </c>
      <c r="U908">
        <v>3</v>
      </c>
      <c r="V908">
        <v>3</v>
      </c>
      <c r="W908">
        <v>3</v>
      </c>
      <c r="X908">
        <v>3</v>
      </c>
      <c r="Y908">
        <v>1</v>
      </c>
      <c r="Z908">
        <v>3</v>
      </c>
      <c r="AA908">
        <v>1.3333330000000001</v>
      </c>
      <c r="AB908">
        <v>4</v>
      </c>
      <c r="AC908" t="s">
        <v>70</v>
      </c>
      <c r="AD908" t="s">
        <v>112</v>
      </c>
      <c r="AE908">
        <v>0</v>
      </c>
      <c r="AF908">
        <v>0</v>
      </c>
      <c r="AG908">
        <v>0</v>
      </c>
      <c r="AH908">
        <v>1</v>
      </c>
      <c r="AI908">
        <v>0</v>
      </c>
      <c r="AJ908">
        <v>0</v>
      </c>
      <c r="AK908">
        <v>0</v>
      </c>
      <c r="AL908">
        <v>0</v>
      </c>
      <c r="AM908">
        <v>1</v>
      </c>
      <c r="AN908">
        <v>1</v>
      </c>
      <c r="AO908">
        <v>2</v>
      </c>
      <c r="AP908">
        <v>1</v>
      </c>
      <c r="AQ908">
        <v>66.666666666666003</v>
      </c>
      <c r="AR908" s="2">
        <v>45815.944548611114</v>
      </c>
      <c r="AS908" s="2">
        <v>46043.910671296297</v>
      </c>
      <c r="AT908" t="s">
        <v>62</v>
      </c>
      <c r="AU908" t="s">
        <v>62</v>
      </c>
      <c r="AV908">
        <v>228</v>
      </c>
    </row>
    <row r="909" spans="1:48" x14ac:dyDescent="0.25">
      <c r="A909">
        <v>372</v>
      </c>
      <c r="B909" t="s">
        <v>3499</v>
      </c>
      <c r="C909" t="s">
        <v>1414</v>
      </c>
      <c r="D909" t="s">
        <v>3500</v>
      </c>
      <c r="E909" t="s">
        <v>3501</v>
      </c>
      <c r="F909" t="s">
        <v>3502</v>
      </c>
      <c r="G909" t="s">
        <v>53</v>
      </c>
      <c r="H909" s="1">
        <v>37144</v>
      </c>
      <c r="I909">
        <v>25</v>
      </c>
      <c r="J909">
        <v>2001</v>
      </c>
      <c r="K909" s="1">
        <v>45836</v>
      </c>
      <c r="L909">
        <v>2025</v>
      </c>
      <c r="M909" t="s">
        <v>111</v>
      </c>
      <c r="N909">
        <v>20</v>
      </c>
      <c r="O909" t="s">
        <v>180</v>
      </c>
      <c r="P909" t="s">
        <v>56</v>
      </c>
      <c r="Q909">
        <v>36</v>
      </c>
      <c r="R909">
        <v>7</v>
      </c>
      <c r="S909" t="s">
        <v>163</v>
      </c>
      <c r="T909" t="s">
        <v>164</v>
      </c>
      <c r="U909">
        <v>3</v>
      </c>
      <c r="V909">
        <v>3</v>
      </c>
      <c r="W909">
        <v>3</v>
      </c>
      <c r="X909">
        <v>3</v>
      </c>
      <c r="Y909">
        <v>1</v>
      </c>
      <c r="Z909">
        <v>3</v>
      </c>
      <c r="AA909">
        <v>2.3333330000000001</v>
      </c>
      <c r="AB909">
        <v>7</v>
      </c>
      <c r="AC909" t="s">
        <v>59</v>
      </c>
      <c r="AD909" t="s">
        <v>281</v>
      </c>
      <c r="AE909">
        <v>0</v>
      </c>
      <c r="AF909">
        <v>0</v>
      </c>
      <c r="AG909">
        <v>1</v>
      </c>
      <c r="AH909">
        <v>0</v>
      </c>
      <c r="AI909">
        <v>0</v>
      </c>
      <c r="AJ909">
        <v>1</v>
      </c>
      <c r="AK909">
        <v>0</v>
      </c>
      <c r="AL909">
        <v>0</v>
      </c>
      <c r="AM909">
        <v>1</v>
      </c>
      <c r="AN909">
        <v>0</v>
      </c>
      <c r="AO909">
        <v>3</v>
      </c>
      <c r="AP909">
        <v>0</v>
      </c>
      <c r="AQ909">
        <v>100</v>
      </c>
      <c r="AR909" s="2">
        <v>45787.218090277776</v>
      </c>
      <c r="AS909" s="2">
        <v>45982.463125000002</v>
      </c>
      <c r="AT909" t="s">
        <v>62</v>
      </c>
      <c r="AU909" t="s">
        <v>62</v>
      </c>
      <c r="AV909">
        <v>195</v>
      </c>
    </row>
    <row r="910" spans="1:48" x14ac:dyDescent="0.25">
      <c r="A910">
        <v>465</v>
      </c>
      <c r="B910" t="s">
        <v>3503</v>
      </c>
      <c r="C910" t="s">
        <v>211</v>
      </c>
      <c r="D910" t="s">
        <v>2845</v>
      </c>
      <c r="E910" t="s">
        <v>3504</v>
      </c>
      <c r="F910" t="s">
        <v>3505</v>
      </c>
      <c r="G910" t="s">
        <v>53</v>
      </c>
      <c r="H910" s="1">
        <v>39043</v>
      </c>
      <c r="I910">
        <v>20</v>
      </c>
      <c r="J910">
        <v>2006</v>
      </c>
      <c r="K910" s="1">
        <v>45607</v>
      </c>
      <c r="L910">
        <v>2024</v>
      </c>
      <c r="M910" t="s">
        <v>54</v>
      </c>
      <c r="N910">
        <v>21</v>
      </c>
      <c r="O910" t="s">
        <v>339</v>
      </c>
      <c r="P910" t="s">
        <v>69</v>
      </c>
      <c r="Q910">
        <v>60</v>
      </c>
      <c r="R910">
        <v>7</v>
      </c>
      <c r="S910" t="s">
        <v>163</v>
      </c>
      <c r="T910" t="s">
        <v>164</v>
      </c>
      <c r="U910">
        <v>3</v>
      </c>
      <c r="V910">
        <v>3</v>
      </c>
      <c r="W910">
        <v>3</v>
      </c>
      <c r="X910">
        <v>3</v>
      </c>
      <c r="Y910">
        <v>1</v>
      </c>
      <c r="Z910">
        <v>3</v>
      </c>
      <c r="AA910">
        <v>3.1666660000000002</v>
      </c>
      <c r="AB910">
        <v>9.5</v>
      </c>
      <c r="AC910" t="s">
        <v>540</v>
      </c>
      <c r="AD910" t="s">
        <v>281</v>
      </c>
      <c r="AE910">
        <v>0</v>
      </c>
      <c r="AF910">
        <v>0</v>
      </c>
      <c r="AG910">
        <v>2</v>
      </c>
      <c r="AH910">
        <v>0</v>
      </c>
      <c r="AI910">
        <v>0</v>
      </c>
      <c r="AJ910">
        <v>1</v>
      </c>
      <c r="AK910">
        <v>0</v>
      </c>
      <c r="AL910">
        <v>0</v>
      </c>
      <c r="AM910">
        <v>0</v>
      </c>
      <c r="AN910">
        <v>0</v>
      </c>
      <c r="AO910">
        <v>3</v>
      </c>
      <c r="AP910">
        <v>0</v>
      </c>
      <c r="AQ910">
        <v>100</v>
      </c>
      <c r="AR910" s="2">
        <v>45891.4296412037</v>
      </c>
      <c r="AS910" s="2">
        <v>45989.957743055558</v>
      </c>
      <c r="AT910" t="s">
        <v>1357</v>
      </c>
      <c r="AU910" t="s">
        <v>1357</v>
      </c>
      <c r="AV910">
        <v>98</v>
      </c>
    </row>
    <row r="911" spans="1:48" x14ac:dyDescent="0.25">
      <c r="A911">
        <v>424</v>
      </c>
      <c r="B911" t="s">
        <v>3506</v>
      </c>
      <c r="C911" t="s">
        <v>763</v>
      </c>
      <c r="D911" t="s">
        <v>3507</v>
      </c>
      <c r="E911" t="s">
        <v>3508</v>
      </c>
      <c r="F911" t="s">
        <v>3509</v>
      </c>
      <c r="G911" t="s">
        <v>104</v>
      </c>
      <c r="H911" s="1">
        <v>35468</v>
      </c>
      <c r="I911">
        <v>29</v>
      </c>
      <c r="J911">
        <v>1997</v>
      </c>
      <c r="K911" s="1">
        <v>44960</v>
      </c>
      <c r="L911">
        <v>2023</v>
      </c>
      <c r="M911" t="s">
        <v>54</v>
      </c>
      <c r="N911">
        <v>7</v>
      </c>
      <c r="O911" t="s">
        <v>231</v>
      </c>
      <c r="P911" t="s">
        <v>119</v>
      </c>
      <c r="Q911">
        <v>120</v>
      </c>
      <c r="R911">
        <v>3</v>
      </c>
      <c r="S911" t="s">
        <v>126</v>
      </c>
      <c r="T911" t="s">
        <v>127</v>
      </c>
      <c r="U911">
        <v>3</v>
      </c>
      <c r="V911">
        <v>3</v>
      </c>
      <c r="W911">
        <v>3</v>
      </c>
      <c r="X911">
        <v>2</v>
      </c>
      <c r="Y911">
        <v>1</v>
      </c>
      <c r="Z911">
        <v>3</v>
      </c>
      <c r="AA911">
        <v>3.6666660000000002</v>
      </c>
      <c r="AB911">
        <v>11</v>
      </c>
      <c r="AC911" t="s">
        <v>112</v>
      </c>
      <c r="AD911" t="s">
        <v>60</v>
      </c>
      <c r="AE911">
        <v>2</v>
      </c>
      <c r="AF911">
        <v>0</v>
      </c>
      <c r="AG911">
        <v>0</v>
      </c>
      <c r="AH911">
        <v>1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3</v>
      </c>
      <c r="AP911">
        <v>0</v>
      </c>
      <c r="AQ911">
        <v>100</v>
      </c>
      <c r="AR911" s="2">
        <v>45758.449803240743</v>
      </c>
      <c r="AS911" s="2">
        <v>45927.555150462962</v>
      </c>
      <c r="AT911" t="s">
        <v>62</v>
      </c>
      <c r="AU911" t="s">
        <v>62</v>
      </c>
      <c r="AV911">
        <v>169</v>
      </c>
    </row>
    <row r="912" spans="1:48" x14ac:dyDescent="0.25">
      <c r="A912">
        <v>813</v>
      </c>
      <c r="B912" t="s">
        <v>3510</v>
      </c>
      <c r="C912" t="s">
        <v>1049</v>
      </c>
      <c r="D912" t="s">
        <v>2548</v>
      </c>
      <c r="E912" t="s">
        <v>3511</v>
      </c>
      <c r="F912" t="s">
        <v>3512</v>
      </c>
      <c r="G912" t="s">
        <v>104</v>
      </c>
      <c r="H912" s="1">
        <v>37672</v>
      </c>
      <c r="I912">
        <v>23</v>
      </c>
      <c r="J912">
        <v>2003</v>
      </c>
      <c r="K912" s="1">
        <v>45129</v>
      </c>
      <c r="L912">
        <v>2023</v>
      </c>
      <c r="M912" t="s">
        <v>54</v>
      </c>
      <c r="N912">
        <v>4</v>
      </c>
      <c r="O912" t="s">
        <v>215</v>
      </c>
      <c r="P912" t="s">
        <v>119</v>
      </c>
      <c r="Q912">
        <v>120</v>
      </c>
      <c r="R912">
        <v>2</v>
      </c>
      <c r="S912" t="s">
        <v>85</v>
      </c>
      <c r="T912" t="s">
        <v>86</v>
      </c>
      <c r="U912">
        <v>3</v>
      </c>
      <c r="V912">
        <v>3</v>
      </c>
      <c r="W912">
        <v>3</v>
      </c>
      <c r="X912">
        <v>3</v>
      </c>
      <c r="Y912">
        <v>1</v>
      </c>
      <c r="Z912">
        <v>3</v>
      </c>
      <c r="AA912">
        <v>3.3333330000000001</v>
      </c>
      <c r="AB912">
        <v>10</v>
      </c>
      <c r="AC912" t="s">
        <v>540</v>
      </c>
      <c r="AD912" t="s">
        <v>60</v>
      </c>
      <c r="AE912">
        <v>1</v>
      </c>
      <c r="AF912">
        <v>0</v>
      </c>
      <c r="AG912">
        <v>1</v>
      </c>
      <c r="AH912">
        <v>0</v>
      </c>
      <c r="AI912">
        <v>0</v>
      </c>
      <c r="AJ912">
        <v>1</v>
      </c>
      <c r="AK912">
        <v>0</v>
      </c>
      <c r="AL912">
        <v>0</v>
      </c>
      <c r="AM912">
        <v>0</v>
      </c>
      <c r="AN912">
        <v>0</v>
      </c>
      <c r="AO912">
        <v>3</v>
      </c>
      <c r="AP912">
        <v>0</v>
      </c>
      <c r="AQ912">
        <v>100</v>
      </c>
      <c r="AR912" s="2">
        <v>45770.133969907409</v>
      </c>
      <c r="AS912" s="2">
        <v>45874.918009259258</v>
      </c>
      <c r="AT912" t="s">
        <v>61</v>
      </c>
      <c r="AU912" t="s">
        <v>61</v>
      </c>
      <c r="AV912">
        <v>104</v>
      </c>
    </row>
    <row r="913" spans="1:48" x14ac:dyDescent="0.25">
      <c r="A913">
        <v>137</v>
      </c>
      <c r="B913" t="s">
        <v>3513</v>
      </c>
      <c r="C913" t="s">
        <v>725</v>
      </c>
      <c r="D913" t="s">
        <v>3514</v>
      </c>
      <c r="E913" t="s">
        <v>3515</v>
      </c>
      <c r="F913" t="s">
        <v>3516</v>
      </c>
      <c r="G913" t="s">
        <v>53</v>
      </c>
      <c r="H913" s="1">
        <v>38252</v>
      </c>
      <c r="I913">
        <v>22</v>
      </c>
      <c r="J913">
        <v>2004</v>
      </c>
      <c r="K913" s="1">
        <v>45549</v>
      </c>
      <c r="L913">
        <v>2024</v>
      </c>
      <c r="M913" t="s">
        <v>54</v>
      </c>
      <c r="N913">
        <v>3</v>
      </c>
      <c r="O913" t="s">
        <v>68</v>
      </c>
      <c r="P913" t="s">
        <v>69</v>
      </c>
      <c r="Q913">
        <v>60</v>
      </c>
      <c r="R913">
        <v>1</v>
      </c>
      <c r="S913" t="s">
        <v>57</v>
      </c>
      <c r="T913" t="s">
        <v>58</v>
      </c>
      <c r="U913">
        <v>3</v>
      </c>
      <c r="V913">
        <v>3</v>
      </c>
      <c r="W913">
        <v>3</v>
      </c>
      <c r="X913">
        <v>3</v>
      </c>
      <c r="Y913">
        <v>1</v>
      </c>
      <c r="Z913">
        <v>3</v>
      </c>
      <c r="AA913">
        <v>0.83333299999999999</v>
      </c>
      <c r="AB913">
        <v>2.5</v>
      </c>
      <c r="AC913" t="s">
        <v>70</v>
      </c>
      <c r="AD913" t="s">
        <v>540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</v>
      </c>
      <c r="AK913">
        <v>0</v>
      </c>
      <c r="AL913">
        <v>0</v>
      </c>
      <c r="AM913">
        <v>0</v>
      </c>
      <c r="AN913">
        <v>2</v>
      </c>
      <c r="AO913">
        <v>1</v>
      </c>
      <c r="AP913">
        <v>2</v>
      </c>
      <c r="AQ913">
        <v>33.333333333333002</v>
      </c>
      <c r="AR913" s="2">
        <v>45732.582754629628</v>
      </c>
      <c r="AS913" s="2">
        <v>46038.253842592596</v>
      </c>
      <c r="AT913" t="s">
        <v>62</v>
      </c>
      <c r="AU913" t="s">
        <v>62</v>
      </c>
      <c r="AV913">
        <v>306</v>
      </c>
    </row>
    <row r="914" spans="1:48" x14ac:dyDescent="0.25">
      <c r="A914">
        <v>554</v>
      </c>
      <c r="B914" t="s">
        <v>3517</v>
      </c>
      <c r="C914" t="s">
        <v>399</v>
      </c>
      <c r="D914" t="s">
        <v>3098</v>
      </c>
      <c r="E914" t="s">
        <v>3518</v>
      </c>
      <c r="F914" t="s">
        <v>3519</v>
      </c>
      <c r="G914" t="s">
        <v>104</v>
      </c>
      <c r="H914" s="1">
        <v>39241</v>
      </c>
      <c r="I914">
        <v>19</v>
      </c>
      <c r="J914">
        <v>2007</v>
      </c>
      <c r="K914" s="1">
        <v>45664</v>
      </c>
      <c r="L914">
        <v>2025</v>
      </c>
      <c r="M914" t="s">
        <v>111</v>
      </c>
      <c r="N914">
        <v>7</v>
      </c>
      <c r="O914" t="s">
        <v>231</v>
      </c>
      <c r="P914" t="s">
        <v>119</v>
      </c>
      <c r="Q914">
        <v>120</v>
      </c>
      <c r="R914">
        <v>3</v>
      </c>
      <c r="S914" t="s">
        <v>126</v>
      </c>
      <c r="T914" t="s">
        <v>127</v>
      </c>
      <c r="U914">
        <v>3</v>
      </c>
      <c r="V914">
        <v>3</v>
      </c>
      <c r="W914">
        <v>3</v>
      </c>
      <c r="X914">
        <v>3</v>
      </c>
      <c r="Y914">
        <v>1</v>
      </c>
      <c r="Z914">
        <v>2</v>
      </c>
      <c r="AA914">
        <v>2.75</v>
      </c>
      <c r="AB914">
        <v>5.5</v>
      </c>
      <c r="AC914" t="s">
        <v>540</v>
      </c>
      <c r="AD914" t="s">
        <v>112</v>
      </c>
      <c r="AE914">
        <v>0</v>
      </c>
      <c r="AF914">
        <v>0</v>
      </c>
      <c r="AG914">
        <v>0</v>
      </c>
      <c r="AH914">
        <v>1</v>
      </c>
      <c r="AI914">
        <v>0</v>
      </c>
      <c r="AJ914">
        <v>1</v>
      </c>
      <c r="AK914">
        <v>0</v>
      </c>
      <c r="AL914">
        <v>0</v>
      </c>
      <c r="AM914">
        <v>0</v>
      </c>
      <c r="AN914">
        <v>0</v>
      </c>
      <c r="AO914">
        <v>2</v>
      </c>
      <c r="AP914">
        <v>0</v>
      </c>
      <c r="AQ914">
        <v>100</v>
      </c>
      <c r="AR914" s="2">
        <v>45876.407395833332</v>
      </c>
      <c r="AS914" s="2">
        <v>46020.960844907408</v>
      </c>
      <c r="AT914" t="s">
        <v>1357</v>
      </c>
      <c r="AU914" t="s">
        <v>1357</v>
      </c>
      <c r="AV914">
        <v>144</v>
      </c>
    </row>
    <row r="915" spans="1:48" x14ac:dyDescent="0.25">
      <c r="A915">
        <v>729</v>
      </c>
      <c r="B915" t="s">
        <v>3520</v>
      </c>
      <c r="C915" t="s">
        <v>1093</v>
      </c>
      <c r="D915" t="s">
        <v>3521</v>
      </c>
      <c r="E915" t="s">
        <v>3522</v>
      </c>
      <c r="F915" t="s">
        <v>3523</v>
      </c>
      <c r="G915" t="s">
        <v>53</v>
      </c>
      <c r="H915" s="1">
        <v>36735</v>
      </c>
      <c r="I915">
        <v>26</v>
      </c>
      <c r="J915">
        <v>2000</v>
      </c>
      <c r="K915" s="1">
        <v>45742</v>
      </c>
      <c r="L915">
        <v>2025</v>
      </c>
      <c r="M915" t="s">
        <v>111</v>
      </c>
      <c r="N915">
        <v>20</v>
      </c>
      <c r="O915" t="s">
        <v>180</v>
      </c>
      <c r="P915" t="s">
        <v>56</v>
      </c>
      <c r="Q915">
        <v>36</v>
      </c>
      <c r="R915">
        <v>7</v>
      </c>
      <c r="S915" t="s">
        <v>163</v>
      </c>
      <c r="T915" t="s">
        <v>164</v>
      </c>
      <c r="U915">
        <v>3</v>
      </c>
      <c r="V915">
        <v>3</v>
      </c>
      <c r="W915">
        <v>3</v>
      </c>
      <c r="X915">
        <v>3</v>
      </c>
      <c r="Y915">
        <v>1</v>
      </c>
      <c r="Z915">
        <v>1</v>
      </c>
      <c r="AA915">
        <v>3.5</v>
      </c>
      <c r="AB915">
        <v>3.5</v>
      </c>
      <c r="AC915" t="s">
        <v>281</v>
      </c>
      <c r="AD915" t="s">
        <v>281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1</v>
      </c>
      <c r="AP915">
        <v>0</v>
      </c>
      <c r="AQ915">
        <v>100</v>
      </c>
      <c r="AR915" s="2">
        <v>45742.079016203701</v>
      </c>
      <c r="AS915" s="2">
        <v>46047.05709490741</v>
      </c>
      <c r="AT915" t="s">
        <v>1357</v>
      </c>
      <c r="AU915" t="s">
        <v>1357</v>
      </c>
      <c r="AV915">
        <v>305</v>
      </c>
    </row>
    <row r="916" spans="1:48" x14ac:dyDescent="0.25">
      <c r="A916">
        <v>805</v>
      </c>
      <c r="B916" t="s">
        <v>3524</v>
      </c>
      <c r="C916" t="s">
        <v>479</v>
      </c>
      <c r="D916" t="s">
        <v>3525</v>
      </c>
      <c r="E916" t="s">
        <v>3526</v>
      </c>
      <c r="F916" t="s">
        <v>3527</v>
      </c>
      <c r="G916" t="s">
        <v>53</v>
      </c>
      <c r="H916" s="1">
        <v>38951</v>
      </c>
      <c r="I916">
        <v>20</v>
      </c>
      <c r="J916">
        <v>2006</v>
      </c>
      <c r="K916" s="1">
        <v>45242</v>
      </c>
      <c r="L916">
        <v>2023</v>
      </c>
      <c r="M916" t="s">
        <v>54</v>
      </c>
      <c r="N916">
        <v>3</v>
      </c>
      <c r="O916" t="s">
        <v>68</v>
      </c>
      <c r="P916" t="s">
        <v>69</v>
      </c>
      <c r="Q916">
        <v>60</v>
      </c>
      <c r="R916">
        <v>1</v>
      </c>
      <c r="S916" t="s">
        <v>57</v>
      </c>
      <c r="T916" t="s">
        <v>58</v>
      </c>
      <c r="U916">
        <v>3</v>
      </c>
      <c r="V916">
        <v>3</v>
      </c>
      <c r="W916">
        <v>3</v>
      </c>
      <c r="X916">
        <v>3</v>
      </c>
      <c r="Y916">
        <v>1</v>
      </c>
      <c r="Z916">
        <v>3</v>
      </c>
      <c r="AA916">
        <v>2.1666660000000002</v>
      </c>
      <c r="AB916">
        <v>6.5</v>
      </c>
      <c r="AC916" t="s">
        <v>59</v>
      </c>
      <c r="AD916" t="s">
        <v>281</v>
      </c>
      <c r="AE916">
        <v>0</v>
      </c>
      <c r="AF916">
        <v>0</v>
      </c>
      <c r="AG916">
        <v>1</v>
      </c>
      <c r="AH916">
        <v>0</v>
      </c>
      <c r="AI916">
        <v>0</v>
      </c>
      <c r="AJ916">
        <v>0</v>
      </c>
      <c r="AK916">
        <v>1</v>
      </c>
      <c r="AL916">
        <v>0</v>
      </c>
      <c r="AM916">
        <v>1</v>
      </c>
      <c r="AN916">
        <v>0</v>
      </c>
      <c r="AO916">
        <v>3</v>
      </c>
      <c r="AP916">
        <v>0</v>
      </c>
      <c r="AQ916">
        <v>100</v>
      </c>
      <c r="AR916" s="2">
        <v>45838.244826388887</v>
      </c>
      <c r="AS916" s="2">
        <v>46040.511793981481</v>
      </c>
      <c r="AT916" t="s">
        <v>62</v>
      </c>
      <c r="AU916" t="s">
        <v>62</v>
      </c>
      <c r="AV916">
        <v>202</v>
      </c>
    </row>
    <row r="917" spans="1:48" x14ac:dyDescent="0.25">
      <c r="A917">
        <v>515</v>
      </c>
      <c r="B917" t="s">
        <v>3528</v>
      </c>
      <c r="C917" t="s">
        <v>2326</v>
      </c>
      <c r="D917" t="s">
        <v>284</v>
      </c>
      <c r="E917" t="s">
        <v>3529</v>
      </c>
      <c r="F917" t="s">
        <v>3530</v>
      </c>
      <c r="G917" t="s">
        <v>104</v>
      </c>
      <c r="H917" s="1">
        <v>38640</v>
      </c>
      <c r="I917">
        <v>21</v>
      </c>
      <c r="J917">
        <v>2005</v>
      </c>
      <c r="K917" s="1">
        <v>44627</v>
      </c>
      <c r="L917">
        <v>2022</v>
      </c>
      <c r="M917" t="s">
        <v>225</v>
      </c>
      <c r="N917">
        <v>1</v>
      </c>
      <c r="O917" t="s">
        <v>157</v>
      </c>
      <c r="P917" t="s">
        <v>119</v>
      </c>
      <c r="Q917">
        <v>120</v>
      </c>
      <c r="R917">
        <v>1</v>
      </c>
      <c r="S917" t="s">
        <v>57</v>
      </c>
      <c r="T917" t="s">
        <v>58</v>
      </c>
      <c r="U917">
        <v>3</v>
      </c>
      <c r="V917">
        <v>3</v>
      </c>
      <c r="W917">
        <v>3</v>
      </c>
      <c r="X917">
        <v>3</v>
      </c>
      <c r="Y917">
        <v>1</v>
      </c>
      <c r="Z917">
        <v>1</v>
      </c>
      <c r="AA917">
        <v>0</v>
      </c>
      <c r="AB917">
        <v>0</v>
      </c>
      <c r="AC917" t="s">
        <v>70</v>
      </c>
      <c r="AD917" t="s">
        <v>70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0</v>
      </c>
      <c r="AP917">
        <v>1</v>
      </c>
      <c r="AQ917">
        <v>0</v>
      </c>
      <c r="AR917" s="2">
        <v>45865.360636574071</v>
      </c>
      <c r="AS917" s="2">
        <v>46081.81082175926</v>
      </c>
      <c r="AT917" t="s">
        <v>1357</v>
      </c>
      <c r="AU917" t="s">
        <v>1357</v>
      </c>
      <c r="AV917">
        <v>216</v>
      </c>
    </row>
    <row r="918" spans="1:48" x14ac:dyDescent="0.25">
      <c r="A918">
        <v>427</v>
      </c>
      <c r="B918" t="s">
        <v>3531</v>
      </c>
      <c r="C918" t="s">
        <v>1527</v>
      </c>
      <c r="D918" t="s">
        <v>320</v>
      </c>
      <c r="E918" t="s">
        <v>3532</v>
      </c>
      <c r="F918" t="s">
        <v>3533</v>
      </c>
      <c r="G918" t="s">
        <v>104</v>
      </c>
      <c r="H918" s="1">
        <v>37584</v>
      </c>
      <c r="I918">
        <v>24</v>
      </c>
      <c r="J918">
        <v>2002</v>
      </c>
      <c r="K918" s="1">
        <v>44633</v>
      </c>
      <c r="L918">
        <v>2022</v>
      </c>
      <c r="M918" t="s">
        <v>54</v>
      </c>
      <c r="N918">
        <v>14</v>
      </c>
      <c r="O918" t="s">
        <v>105</v>
      </c>
      <c r="P918" t="s">
        <v>56</v>
      </c>
      <c r="Q918">
        <v>36</v>
      </c>
      <c r="R918">
        <v>5</v>
      </c>
      <c r="S918" t="s">
        <v>92</v>
      </c>
      <c r="T918" t="s">
        <v>93</v>
      </c>
      <c r="U918">
        <v>3</v>
      </c>
      <c r="V918">
        <v>3</v>
      </c>
      <c r="W918">
        <v>3</v>
      </c>
      <c r="X918">
        <v>3</v>
      </c>
      <c r="Y918">
        <v>1</v>
      </c>
      <c r="Z918">
        <v>3</v>
      </c>
      <c r="AA918">
        <v>3.5</v>
      </c>
      <c r="AB918">
        <v>10.5</v>
      </c>
      <c r="AC918" t="s">
        <v>281</v>
      </c>
      <c r="AD918" t="s">
        <v>60</v>
      </c>
      <c r="AE918">
        <v>1</v>
      </c>
      <c r="AF918">
        <v>0</v>
      </c>
      <c r="AG918">
        <v>1</v>
      </c>
      <c r="AH918">
        <v>1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3</v>
      </c>
      <c r="AP918">
        <v>0</v>
      </c>
      <c r="AQ918">
        <v>100</v>
      </c>
      <c r="AR918" s="2">
        <v>45846.081064814818</v>
      </c>
      <c r="AS918" s="2">
        <v>46076.260324074072</v>
      </c>
      <c r="AT918" t="s">
        <v>62</v>
      </c>
      <c r="AU918" t="s">
        <v>62</v>
      </c>
      <c r="AV918">
        <v>230</v>
      </c>
    </row>
    <row r="919" spans="1:48" x14ac:dyDescent="0.25">
      <c r="A919">
        <v>315</v>
      </c>
      <c r="B919" t="s">
        <v>3534</v>
      </c>
      <c r="C919" t="s">
        <v>3535</v>
      </c>
      <c r="D919" t="s">
        <v>803</v>
      </c>
      <c r="E919" t="s">
        <v>3536</v>
      </c>
      <c r="F919">
        <f>1-749-283-220</f>
        <v>-1251</v>
      </c>
      <c r="G919" t="s">
        <v>53</v>
      </c>
      <c r="H919" s="1">
        <v>35453</v>
      </c>
      <c r="I919">
        <v>29</v>
      </c>
      <c r="J919">
        <v>1997</v>
      </c>
      <c r="K919" s="1">
        <v>44672</v>
      </c>
      <c r="L919">
        <v>2022</v>
      </c>
      <c r="M919" t="s">
        <v>54</v>
      </c>
      <c r="N919">
        <v>4</v>
      </c>
      <c r="O919" t="s">
        <v>215</v>
      </c>
      <c r="P919" t="s">
        <v>119</v>
      </c>
      <c r="Q919">
        <v>120</v>
      </c>
      <c r="R919">
        <v>2</v>
      </c>
      <c r="S919" t="s">
        <v>85</v>
      </c>
      <c r="T919" t="s">
        <v>86</v>
      </c>
      <c r="U919">
        <v>3</v>
      </c>
      <c r="V919">
        <v>3</v>
      </c>
      <c r="W919">
        <v>3</v>
      </c>
      <c r="X919">
        <v>3</v>
      </c>
      <c r="Y919">
        <v>1</v>
      </c>
      <c r="Z919">
        <v>1</v>
      </c>
      <c r="AA919">
        <v>3.5</v>
      </c>
      <c r="AB919">
        <v>3.5</v>
      </c>
      <c r="AC919" t="s">
        <v>281</v>
      </c>
      <c r="AD919" t="s">
        <v>281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1</v>
      </c>
      <c r="AP919">
        <v>0</v>
      </c>
      <c r="AQ919">
        <v>100</v>
      </c>
      <c r="AR919" s="2">
        <v>45809.923402777778</v>
      </c>
      <c r="AS919" s="2">
        <v>45996.386979166666</v>
      </c>
      <c r="AT919" t="s">
        <v>1357</v>
      </c>
      <c r="AU919" t="s">
        <v>1357</v>
      </c>
      <c r="AV919">
        <v>187</v>
      </c>
    </row>
    <row r="920" spans="1:48" x14ac:dyDescent="0.25">
      <c r="A920">
        <v>63</v>
      </c>
      <c r="B920" t="s">
        <v>3537</v>
      </c>
      <c r="C920" t="s">
        <v>1042</v>
      </c>
      <c r="D920" t="s">
        <v>177</v>
      </c>
      <c r="E920" t="s">
        <v>3538</v>
      </c>
      <c r="F920" t="s">
        <v>3539</v>
      </c>
      <c r="G920" t="s">
        <v>104</v>
      </c>
      <c r="H920" s="1">
        <v>38452</v>
      </c>
      <c r="I920">
        <v>21</v>
      </c>
      <c r="J920">
        <v>2005</v>
      </c>
      <c r="K920" s="1">
        <v>45454</v>
      </c>
      <c r="L920">
        <v>2024</v>
      </c>
      <c r="M920" t="s">
        <v>54</v>
      </c>
      <c r="N920">
        <v>16</v>
      </c>
      <c r="O920" t="s">
        <v>280</v>
      </c>
      <c r="P920" t="s">
        <v>119</v>
      </c>
      <c r="Q920">
        <v>120</v>
      </c>
      <c r="R920">
        <v>6</v>
      </c>
      <c r="S920" t="s">
        <v>140</v>
      </c>
      <c r="T920" t="s">
        <v>141</v>
      </c>
      <c r="U920">
        <v>3</v>
      </c>
      <c r="V920">
        <v>3</v>
      </c>
      <c r="W920">
        <v>3</v>
      </c>
      <c r="X920">
        <v>3</v>
      </c>
      <c r="Y920">
        <v>1</v>
      </c>
      <c r="Z920">
        <v>3</v>
      </c>
      <c r="AA920">
        <v>2.6666660000000002</v>
      </c>
      <c r="AB920">
        <v>8</v>
      </c>
      <c r="AC920" t="s">
        <v>59</v>
      </c>
      <c r="AD920" t="s">
        <v>60</v>
      </c>
      <c r="AE920">
        <v>1</v>
      </c>
      <c r="AF920">
        <v>0</v>
      </c>
      <c r="AG920">
        <v>0</v>
      </c>
      <c r="AH920">
        <v>1</v>
      </c>
      <c r="AI920">
        <v>0</v>
      </c>
      <c r="AJ920">
        <v>0</v>
      </c>
      <c r="AK920">
        <v>0</v>
      </c>
      <c r="AL920">
        <v>0</v>
      </c>
      <c r="AM920">
        <v>1</v>
      </c>
      <c r="AN920">
        <v>0</v>
      </c>
      <c r="AO920">
        <v>3</v>
      </c>
      <c r="AP920">
        <v>0</v>
      </c>
      <c r="AQ920">
        <v>100</v>
      </c>
      <c r="AR920" s="2">
        <v>45878.8675</v>
      </c>
      <c r="AS920" s="2">
        <v>46073.457199074073</v>
      </c>
      <c r="AT920" t="s">
        <v>62</v>
      </c>
      <c r="AU920" t="s">
        <v>62</v>
      </c>
      <c r="AV920">
        <v>195</v>
      </c>
    </row>
    <row r="921" spans="1:48" x14ac:dyDescent="0.25">
      <c r="A921">
        <v>716</v>
      </c>
      <c r="B921" t="s">
        <v>3540</v>
      </c>
      <c r="C921" t="s">
        <v>1989</v>
      </c>
      <c r="D921" t="s">
        <v>3541</v>
      </c>
      <c r="E921" t="s">
        <v>3542</v>
      </c>
      <c r="F921" t="s">
        <v>3543</v>
      </c>
      <c r="G921" t="s">
        <v>104</v>
      </c>
      <c r="H921" s="1">
        <v>37944</v>
      </c>
      <c r="I921">
        <v>23</v>
      </c>
      <c r="J921">
        <v>2003</v>
      </c>
      <c r="K921" s="1">
        <v>46042</v>
      </c>
      <c r="L921">
        <v>2026</v>
      </c>
      <c r="M921" t="s">
        <v>54</v>
      </c>
      <c r="N921">
        <v>10</v>
      </c>
      <c r="O921" t="s">
        <v>118</v>
      </c>
      <c r="P921" t="s">
        <v>119</v>
      </c>
      <c r="Q921">
        <v>120</v>
      </c>
      <c r="R921">
        <v>4</v>
      </c>
      <c r="S921" t="s">
        <v>77</v>
      </c>
      <c r="T921" t="s">
        <v>78</v>
      </c>
      <c r="U921">
        <v>3</v>
      </c>
      <c r="V921">
        <v>3</v>
      </c>
      <c r="W921">
        <v>3</v>
      </c>
      <c r="X921">
        <v>3</v>
      </c>
      <c r="Y921">
        <v>1</v>
      </c>
      <c r="Z921">
        <v>0</v>
      </c>
      <c r="AA921" t="s">
        <v>3182</v>
      </c>
      <c r="AB921" t="s">
        <v>3182</v>
      </c>
      <c r="AC921" t="s">
        <v>3182</v>
      </c>
      <c r="AD921" t="s">
        <v>3182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 s="2">
        <v>45728.079305555555</v>
      </c>
      <c r="AS921" s="2">
        <v>45999.366608796299</v>
      </c>
      <c r="AT921" t="s">
        <v>1357</v>
      </c>
      <c r="AU921" t="s">
        <v>1357</v>
      </c>
      <c r="AV921">
        <v>271</v>
      </c>
    </row>
    <row r="922" spans="1:48" x14ac:dyDescent="0.25">
      <c r="A922">
        <v>540</v>
      </c>
      <c r="B922" t="s">
        <v>3544</v>
      </c>
      <c r="C922" t="s">
        <v>819</v>
      </c>
      <c r="D922" t="s">
        <v>636</v>
      </c>
      <c r="E922" t="s">
        <v>3545</v>
      </c>
      <c r="F922" t="s">
        <v>3546</v>
      </c>
      <c r="G922" t="s">
        <v>53</v>
      </c>
      <c r="H922" s="1">
        <v>37647</v>
      </c>
      <c r="I922">
        <v>23</v>
      </c>
      <c r="J922">
        <v>2003</v>
      </c>
      <c r="K922" s="1">
        <v>45934</v>
      </c>
      <c r="L922">
        <v>2025</v>
      </c>
      <c r="M922" t="s">
        <v>54</v>
      </c>
      <c r="N922">
        <v>13</v>
      </c>
      <c r="O922" t="s">
        <v>146</v>
      </c>
      <c r="P922" t="s">
        <v>119</v>
      </c>
      <c r="Q922">
        <v>120</v>
      </c>
      <c r="R922">
        <v>5</v>
      </c>
      <c r="S922" t="s">
        <v>92</v>
      </c>
      <c r="T922" t="s">
        <v>93</v>
      </c>
      <c r="U922">
        <v>3</v>
      </c>
      <c r="V922">
        <v>3</v>
      </c>
      <c r="W922">
        <v>3</v>
      </c>
      <c r="X922">
        <v>3</v>
      </c>
      <c r="Y922">
        <v>1</v>
      </c>
      <c r="Z922">
        <v>3</v>
      </c>
      <c r="AA922">
        <v>3.1666660000000002</v>
      </c>
      <c r="AB922">
        <v>9.5</v>
      </c>
      <c r="AC922" t="s">
        <v>1061</v>
      </c>
      <c r="AD922" t="s">
        <v>60</v>
      </c>
      <c r="AE922">
        <v>1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1</v>
      </c>
      <c r="AL922">
        <v>0</v>
      </c>
      <c r="AM922">
        <v>0</v>
      </c>
      <c r="AN922">
        <v>0</v>
      </c>
      <c r="AO922">
        <v>3</v>
      </c>
      <c r="AP922">
        <v>0</v>
      </c>
      <c r="AQ922">
        <v>100</v>
      </c>
      <c r="AR922" s="2">
        <v>45921.165219907409</v>
      </c>
      <c r="AS922" s="2">
        <v>46012.927754629629</v>
      </c>
      <c r="AT922" t="s">
        <v>61</v>
      </c>
      <c r="AU922" t="s">
        <v>61</v>
      </c>
      <c r="AV922">
        <v>91</v>
      </c>
    </row>
    <row r="923" spans="1:48" x14ac:dyDescent="0.25">
      <c r="A923">
        <v>452</v>
      </c>
      <c r="B923" t="s">
        <v>3547</v>
      </c>
      <c r="C923" t="s">
        <v>3548</v>
      </c>
      <c r="D923" t="s">
        <v>3549</v>
      </c>
      <c r="E923" t="s">
        <v>3550</v>
      </c>
      <c r="F923" t="s">
        <v>3551</v>
      </c>
      <c r="G923" t="s">
        <v>104</v>
      </c>
      <c r="H923" s="1">
        <v>39495</v>
      </c>
      <c r="I923">
        <v>18</v>
      </c>
      <c r="J923">
        <v>2008</v>
      </c>
      <c r="K923" s="1">
        <v>45631</v>
      </c>
      <c r="L923">
        <v>2024</v>
      </c>
      <c r="M923" t="s">
        <v>54</v>
      </c>
      <c r="N923">
        <v>1</v>
      </c>
      <c r="O923" t="s">
        <v>157</v>
      </c>
      <c r="P923" t="s">
        <v>119</v>
      </c>
      <c r="Q923">
        <v>120</v>
      </c>
      <c r="R923">
        <v>1</v>
      </c>
      <c r="S923" t="s">
        <v>57</v>
      </c>
      <c r="T923" t="s">
        <v>58</v>
      </c>
      <c r="U923">
        <v>3</v>
      </c>
      <c r="V923">
        <v>3</v>
      </c>
      <c r="W923">
        <v>3</v>
      </c>
      <c r="X923">
        <v>3</v>
      </c>
      <c r="Y923">
        <v>1</v>
      </c>
      <c r="Z923">
        <v>2</v>
      </c>
      <c r="AA923">
        <v>1.75</v>
      </c>
      <c r="AB923">
        <v>3.5</v>
      </c>
      <c r="AC923" t="s">
        <v>70</v>
      </c>
      <c r="AD923" t="s">
        <v>281</v>
      </c>
      <c r="AE923">
        <v>0</v>
      </c>
      <c r="AF923">
        <v>0</v>
      </c>
      <c r="AG923">
        <v>1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1</v>
      </c>
      <c r="AO923">
        <v>1</v>
      </c>
      <c r="AP923">
        <v>1</v>
      </c>
      <c r="AQ923">
        <v>50</v>
      </c>
      <c r="AR923" s="2">
        <v>45770.810162037036</v>
      </c>
      <c r="AS923" s="2">
        <v>46079.350416666668</v>
      </c>
      <c r="AT923" t="s">
        <v>1357</v>
      </c>
      <c r="AU923" t="s">
        <v>1357</v>
      </c>
      <c r="AV923">
        <v>309</v>
      </c>
    </row>
    <row r="924" spans="1:48" x14ac:dyDescent="0.25">
      <c r="A924">
        <v>349</v>
      </c>
      <c r="B924" t="s">
        <v>3552</v>
      </c>
      <c r="C924" t="s">
        <v>95</v>
      </c>
      <c r="D924" t="s">
        <v>3553</v>
      </c>
      <c r="E924" t="s">
        <v>3554</v>
      </c>
      <c r="F924" t="s">
        <v>3555</v>
      </c>
      <c r="G924" t="s">
        <v>53</v>
      </c>
      <c r="H924" s="1">
        <v>35985</v>
      </c>
      <c r="I924">
        <v>28</v>
      </c>
      <c r="J924">
        <v>1998</v>
      </c>
      <c r="K924" s="1">
        <v>45765</v>
      </c>
      <c r="L924">
        <v>2025</v>
      </c>
      <c r="M924" t="s">
        <v>54</v>
      </c>
      <c r="N924">
        <v>15</v>
      </c>
      <c r="O924" t="s">
        <v>91</v>
      </c>
      <c r="P924" t="s">
        <v>69</v>
      </c>
      <c r="Q924">
        <v>60</v>
      </c>
      <c r="R924">
        <v>5</v>
      </c>
      <c r="S924" t="s">
        <v>92</v>
      </c>
      <c r="T924" t="s">
        <v>93</v>
      </c>
      <c r="U924">
        <v>3</v>
      </c>
      <c r="V924">
        <v>3</v>
      </c>
      <c r="W924">
        <v>3</v>
      </c>
      <c r="X924">
        <v>3</v>
      </c>
      <c r="Y924">
        <v>1</v>
      </c>
      <c r="Z924">
        <v>3</v>
      </c>
      <c r="AA924">
        <v>1</v>
      </c>
      <c r="AB924">
        <v>3</v>
      </c>
      <c r="AC924" t="s">
        <v>70</v>
      </c>
      <c r="AD924" t="s">
        <v>112</v>
      </c>
      <c r="AE924">
        <v>0</v>
      </c>
      <c r="AF924">
        <v>0</v>
      </c>
      <c r="AG924">
        <v>0</v>
      </c>
      <c r="AH924">
        <v>1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2</v>
      </c>
      <c r="AO924">
        <v>1</v>
      </c>
      <c r="AP924">
        <v>2</v>
      </c>
      <c r="AQ924">
        <v>33.333333333333002</v>
      </c>
      <c r="AR924" s="2">
        <v>45787.764236111114</v>
      </c>
      <c r="AS924" s="2">
        <v>45925.009884259256</v>
      </c>
      <c r="AT924" t="s">
        <v>61</v>
      </c>
      <c r="AU924" t="s">
        <v>61</v>
      </c>
      <c r="AV924">
        <v>138</v>
      </c>
    </row>
    <row r="925" spans="1:48" x14ac:dyDescent="0.25">
      <c r="A925">
        <v>849</v>
      </c>
      <c r="B925" t="s">
        <v>3556</v>
      </c>
      <c r="C925" t="s">
        <v>1093</v>
      </c>
      <c r="D925" t="s">
        <v>2725</v>
      </c>
      <c r="E925" t="s">
        <v>3557</v>
      </c>
      <c r="F925">
        <v>4512958263</v>
      </c>
      <c r="G925" t="s">
        <v>53</v>
      </c>
      <c r="H925" s="1">
        <v>39109</v>
      </c>
      <c r="I925">
        <v>19</v>
      </c>
      <c r="J925">
        <v>2007</v>
      </c>
      <c r="K925" s="1">
        <v>45712</v>
      </c>
      <c r="L925">
        <v>2025</v>
      </c>
      <c r="M925" t="s">
        <v>54</v>
      </c>
      <c r="N925">
        <v>16</v>
      </c>
      <c r="O925" t="s">
        <v>280</v>
      </c>
      <c r="P925" t="s">
        <v>119</v>
      </c>
      <c r="Q925">
        <v>120</v>
      </c>
      <c r="R925">
        <v>6</v>
      </c>
      <c r="S925" t="s">
        <v>140</v>
      </c>
      <c r="T925" t="s">
        <v>141</v>
      </c>
      <c r="U925">
        <v>3</v>
      </c>
      <c r="V925">
        <v>3</v>
      </c>
      <c r="W925">
        <v>3</v>
      </c>
      <c r="X925">
        <v>3</v>
      </c>
      <c r="Y925">
        <v>1</v>
      </c>
      <c r="Z925">
        <v>3</v>
      </c>
      <c r="AA925">
        <v>1.666666</v>
      </c>
      <c r="AB925">
        <v>5</v>
      </c>
      <c r="AC925" t="s">
        <v>70</v>
      </c>
      <c r="AD925" t="s">
        <v>540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2</v>
      </c>
      <c r="AK925">
        <v>0</v>
      </c>
      <c r="AL925">
        <v>0</v>
      </c>
      <c r="AM925">
        <v>0</v>
      </c>
      <c r="AN925">
        <v>1</v>
      </c>
      <c r="AO925">
        <v>2</v>
      </c>
      <c r="AP925">
        <v>1</v>
      </c>
      <c r="AQ925">
        <v>66.666666666666003</v>
      </c>
      <c r="AR925" s="2">
        <v>45872.527326388888</v>
      </c>
      <c r="AS925" s="2">
        <v>46082.936516203707</v>
      </c>
      <c r="AT925" t="s">
        <v>62</v>
      </c>
      <c r="AU925" t="s">
        <v>62</v>
      </c>
      <c r="AV925">
        <v>210</v>
      </c>
    </row>
    <row r="926" spans="1:48" x14ac:dyDescent="0.25">
      <c r="A926">
        <v>410</v>
      </c>
      <c r="B926" t="s">
        <v>3558</v>
      </c>
      <c r="C926" t="s">
        <v>96</v>
      </c>
      <c r="D926" t="s">
        <v>1926</v>
      </c>
      <c r="E926" t="s">
        <v>3559</v>
      </c>
      <c r="F926">
        <v>8154941651</v>
      </c>
      <c r="G926" t="s">
        <v>53</v>
      </c>
      <c r="H926" s="1">
        <v>35883</v>
      </c>
      <c r="I926">
        <v>28</v>
      </c>
      <c r="J926">
        <v>1998</v>
      </c>
      <c r="K926" s="1">
        <v>45459</v>
      </c>
      <c r="L926">
        <v>2024</v>
      </c>
      <c r="M926" t="s">
        <v>54</v>
      </c>
      <c r="N926">
        <v>16</v>
      </c>
      <c r="O926" t="s">
        <v>280</v>
      </c>
      <c r="P926" t="s">
        <v>119</v>
      </c>
      <c r="Q926">
        <v>120</v>
      </c>
      <c r="R926">
        <v>6</v>
      </c>
      <c r="S926" t="s">
        <v>140</v>
      </c>
      <c r="T926" t="s">
        <v>141</v>
      </c>
      <c r="U926">
        <v>3</v>
      </c>
      <c r="V926">
        <v>3</v>
      </c>
      <c r="W926">
        <v>3</v>
      </c>
      <c r="X926">
        <v>3</v>
      </c>
      <c r="Y926">
        <v>1</v>
      </c>
      <c r="Z926">
        <v>1</v>
      </c>
      <c r="AA926">
        <v>2.5</v>
      </c>
      <c r="AB926">
        <v>2.5</v>
      </c>
      <c r="AC926" t="s">
        <v>540</v>
      </c>
      <c r="AD926" t="s">
        <v>540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0</v>
      </c>
      <c r="AL926">
        <v>0</v>
      </c>
      <c r="AM926">
        <v>0</v>
      </c>
      <c r="AN926">
        <v>0</v>
      </c>
      <c r="AO926">
        <v>1</v>
      </c>
      <c r="AP926">
        <v>0</v>
      </c>
      <c r="AQ926">
        <v>100</v>
      </c>
      <c r="AR926" s="2">
        <v>45840.319490740738</v>
      </c>
      <c r="AS926" s="2">
        <v>45940.797743055555</v>
      </c>
      <c r="AT926" t="s">
        <v>1357</v>
      </c>
      <c r="AU926" t="s">
        <v>1357</v>
      </c>
      <c r="AV926">
        <v>100</v>
      </c>
    </row>
    <row r="927" spans="1:48" x14ac:dyDescent="0.25">
      <c r="A927">
        <v>704</v>
      </c>
      <c r="B927" t="s">
        <v>3560</v>
      </c>
      <c r="C927" t="s">
        <v>695</v>
      </c>
      <c r="D927" t="s">
        <v>3561</v>
      </c>
      <c r="E927" t="s">
        <v>3562</v>
      </c>
      <c r="F927" t="s">
        <v>3563</v>
      </c>
      <c r="G927" t="s">
        <v>53</v>
      </c>
      <c r="H927" s="1">
        <v>39433</v>
      </c>
      <c r="I927">
        <v>19</v>
      </c>
      <c r="J927">
        <v>2007</v>
      </c>
      <c r="K927" s="1">
        <v>44908</v>
      </c>
      <c r="L927">
        <v>2022</v>
      </c>
      <c r="M927" t="s">
        <v>54</v>
      </c>
      <c r="N927">
        <v>14</v>
      </c>
      <c r="O927" t="s">
        <v>105</v>
      </c>
      <c r="P927" t="s">
        <v>56</v>
      </c>
      <c r="Q927">
        <v>36</v>
      </c>
      <c r="R927">
        <v>5</v>
      </c>
      <c r="S927" t="s">
        <v>92</v>
      </c>
      <c r="T927" t="s">
        <v>93</v>
      </c>
      <c r="U927">
        <v>3</v>
      </c>
      <c r="V927">
        <v>3</v>
      </c>
      <c r="W927">
        <v>3</v>
      </c>
      <c r="X927">
        <v>3</v>
      </c>
      <c r="Y927">
        <v>1</v>
      </c>
      <c r="Z927">
        <v>2</v>
      </c>
      <c r="AA927">
        <v>1.75</v>
      </c>
      <c r="AB927">
        <v>3.5</v>
      </c>
      <c r="AC927" t="s">
        <v>59</v>
      </c>
      <c r="AD927" t="s">
        <v>540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0</v>
      </c>
      <c r="AL927">
        <v>0</v>
      </c>
      <c r="AM927">
        <v>1</v>
      </c>
      <c r="AN927">
        <v>0</v>
      </c>
      <c r="AO927">
        <v>2</v>
      </c>
      <c r="AP927">
        <v>0</v>
      </c>
      <c r="AQ927">
        <v>100</v>
      </c>
      <c r="AR927" s="2">
        <v>45902.478877314818</v>
      </c>
      <c r="AS927" s="2">
        <v>45955.984895833331</v>
      </c>
      <c r="AT927" t="s">
        <v>1357</v>
      </c>
      <c r="AU927" t="s">
        <v>1357</v>
      </c>
      <c r="AV927">
        <v>53</v>
      </c>
    </row>
    <row r="928" spans="1:48" x14ac:dyDescent="0.25">
      <c r="A928">
        <v>536</v>
      </c>
      <c r="B928" t="s">
        <v>3564</v>
      </c>
      <c r="C928" t="s">
        <v>686</v>
      </c>
      <c r="D928" t="s">
        <v>3290</v>
      </c>
      <c r="E928" t="s">
        <v>3565</v>
      </c>
      <c r="F928" t="s">
        <v>3566</v>
      </c>
      <c r="G928" t="s">
        <v>53</v>
      </c>
      <c r="H928" s="1">
        <v>37573</v>
      </c>
      <c r="I928">
        <v>24</v>
      </c>
      <c r="J928">
        <v>2002</v>
      </c>
      <c r="K928" s="1">
        <v>45030</v>
      </c>
      <c r="L928">
        <v>2023</v>
      </c>
      <c r="M928" t="s">
        <v>54</v>
      </c>
      <c r="N928">
        <v>18</v>
      </c>
      <c r="O928" t="s">
        <v>139</v>
      </c>
      <c r="P928" t="s">
        <v>69</v>
      </c>
      <c r="Q928">
        <v>60</v>
      </c>
      <c r="R928">
        <v>6</v>
      </c>
      <c r="S928" t="s">
        <v>140</v>
      </c>
      <c r="T928" t="s">
        <v>141</v>
      </c>
      <c r="U928">
        <v>3</v>
      </c>
      <c r="V928">
        <v>3</v>
      </c>
      <c r="W928">
        <v>3</v>
      </c>
      <c r="X928">
        <v>3</v>
      </c>
      <c r="Y928">
        <v>1</v>
      </c>
      <c r="Z928">
        <v>3</v>
      </c>
      <c r="AA928">
        <v>2.1666660000000002</v>
      </c>
      <c r="AB928">
        <v>6.5</v>
      </c>
      <c r="AC928" t="s">
        <v>70</v>
      </c>
      <c r="AD928" t="s">
        <v>112</v>
      </c>
      <c r="AE928">
        <v>0</v>
      </c>
      <c r="AF928">
        <v>0</v>
      </c>
      <c r="AG928">
        <v>1</v>
      </c>
      <c r="AH928">
        <v>1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2</v>
      </c>
      <c r="AP928">
        <v>1</v>
      </c>
      <c r="AQ928">
        <v>66.666666666666003</v>
      </c>
      <c r="AR928" s="2">
        <v>45731.408599537041</v>
      </c>
      <c r="AS928" s="2">
        <v>46066.70003472222</v>
      </c>
      <c r="AT928" t="s">
        <v>61</v>
      </c>
      <c r="AU928" t="s">
        <v>61</v>
      </c>
      <c r="AV928">
        <v>335</v>
      </c>
    </row>
    <row r="929" spans="1:48" x14ac:dyDescent="0.25">
      <c r="A929">
        <v>718</v>
      </c>
      <c r="B929" t="s">
        <v>3567</v>
      </c>
      <c r="C929" t="s">
        <v>1484</v>
      </c>
      <c r="D929" t="s">
        <v>415</v>
      </c>
      <c r="E929" t="s">
        <v>3568</v>
      </c>
      <c r="F929" t="s">
        <v>3569</v>
      </c>
      <c r="G929" t="s">
        <v>53</v>
      </c>
      <c r="H929" s="1">
        <v>36654</v>
      </c>
      <c r="I929">
        <v>26</v>
      </c>
      <c r="J929">
        <v>2000</v>
      </c>
      <c r="K929" s="1">
        <v>45380</v>
      </c>
      <c r="L929">
        <v>2024</v>
      </c>
      <c r="M929" t="s">
        <v>225</v>
      </c>
      <c r="N929">
        <v>6</v>
      </c>
      <c r="O929" t="s">
        <v>133</v>
      </c>
      <c r="P929" t="s">
        <v>69</v>
      </c>
      <c r="Q929">
        <v>60</v>
      </c>
      <c r="R929">
        <v>2</v>
      </c>
      <c r="S929" t="s">
        <v>85</v>
      </c>
      <c r="T929" t="s">
        <v>86</v>
      </c>
      <c r="U929">
        <v>3</v>
      </c>
      <c r="V929">
        <v>3</v>
      </c>
      <c r="W929">
        <v>3</v>
      </c>
      <c r="X929">
        <v>2</v>
      </c>
      <c r="Y929">
        <v>1</v>
      </c>
      <c r="Z929">
        <v>3</v>
      </c>
      <c r="AA929">
        <v>1.666666</v>
      </c>
      <c r="AB929">
        <v>5</v>
      </c>
      <c r="AC929" t="s">
        <v>70</v>
      </c>
      <c r="AD929" t="s">
        <v>60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1</v>
      </c>
      <c r="AN929">
        <v>1</v>
      </c>
      <c r="AO929">
        <v>2</v>
      </c>
      <c r="AP929">
        <v>1</v>
      </c>
      <c r="AQ929">
        <v>66.666666666666003</v>
      </c>
      <c r="AR929" s="2">
        <v>45730.182592592595</v>
      </c>
      <c r="AS929" s="2">
        <v>45861.115763888891</v>
      </c>
      <c r="AT929" t="s">
        <v>62</v>
      </c>
      <c r="AU929" t="s">
        <v>62</v>
      </c>
      <c r="AV929">
        <v>131</v>
      </c>
    </row>
    <row r="930" spans="1:48" x14ac:dyDescent="0.25">
      <c r="A930">
        <v>893</v>
      </c>
      <c r="B930" t="s">
        <v>3570</v>
      </c>
      <c r="C930" t="s">
        <v>3571</v>
      </c>
      <c r="D930" t="s">
        <v>360</v>
      </c>
      <c r="E930" t="s">
        <v>3572</v>
      </c>
      <c r="F930" t="s">
        <v>3573</v>
      </c>
      <c r="G930" t="s">
        <v>53</v>
      </c>
      <c r="H930" s="1">
        <v>38825</v>
      </c>
      <c r="I930">
        <v>20</v>
      </c>
      <c r="J930">
        <v>2006</v>
      </c>
      <c r="K930" s="1">
        <v>45744</v>
      </c>
      <c r="L930">
        <v>2025</v>
      </c>
      <c r="M930" t="s">
        <v>54</v>
      </c>
      <c r="N930">
        <v>2</v>
      </c>
      <c r="O930" t="s">
        <v>55</v>
      </c>
      <c r="P930" t="s">
        <v>56</v>
      </c>
      <c r="Q930">
        <v>36</v>
      </c>
      <c r="R930">
        <v>1</v>
      </c>
      <c r="S930" t="s">
        <v>57</v>
      </c>
      <c r="T930" t="s">
        <v>58</v>
      </c>
      <c r="U930">
        <v>3</v>
      </c>
      <c r="V930">
        <v>3</v>
      </c>
      <c r="W930">
        <v>3</v>
      </c>
      <c r="X930">
        <v>3</v>
      </c>
      <c r="Y930">
        <v>1</v>
      </c>
      <c r="Z930">
        <v>1</v>
      </c>
      <c r="AA930">
        <v>2</v>
      </c>
      <c r="AB930">
        <v>2</v>
      </c>
      <c r="AC930" t="s">
        <v>1061</v>
      </c>
      <c r="AD930" t="s">
        <v>1061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0</v>
      </c>
      <c r="AM930">
        <v>0</v>
      </c>
      <c r="AN930">
        <v>0</v>
      </c>
      <c r="AO930">
        <v>1</v>
      </c>
      <c r="AP930">
        <v>0</v>
      </c>
      <c r="AQ930">
        <v>100</v>
      </c>
      <c r="AR930" s="2">
        <v>45956.014363425929</v>
      </c>
      <c r="AS930" s="2">
        <v>46027.559166666666</v>
      </c>
      <c r="AT930" t="s">
        <v>1357</v>
      </c>
      <c r="AU930" t="s">
        <v>1357</v>
      </c>
      <c r="AV930">
        <v>71</v>
      </c>
    </row>
    <row r="931" spans="1:48" x14ac:dyDescent="0.25">
      <c r="A931">
        <v>562</v>
      </c>
      <c r="B931" t="s">
        <v>3574</v>
      </c>
      <c r="C931" t="s">
        <v>586</v>
      </c>
      <c r="D931" t="s">
        <v>3575</v>
      </c>
      <c r="E931" t="s">
        <v>3576</v>
      </c>
      <c r="F931">
        <v>8596551842</v>
      </c>
      <c r="G931" t="s">
        <v>53</v>
      </c>
      <c r="H931" s="1">
        <v>36304</v>
      </c>
      <c r="I931">
        <v>27</v>
      </c>
      <c r="J931">
        <v>1999</v>
      </c>
      <c r="K931" s="1">
        <v>44708</v>
      </c>
      <c r="L931">
        <v>2022</v>
      </c>
      <c r="M931" t="s">
        <v>54</v>
      </c>
      <c r="N931">
        <v>11</v>
      </c>
      <c r="O931" t="s">
        <v>378</v>
      </c>
      <c r="P931" t="s">
        <v>56</v>
      </c>
      <c r="Q931">
        <v>36</v>
      </c>
      <c r="R931">
        <v>4</v>
      </c>
      <c r="S931" t="s">
        <v>77</v>
      </c>
      <c r="T931" t="s">
        <v>78</v>
      </c>
      <c r="U931">
        <v>3</v>
      </c>
      <c r="V931">
        <v>3</v>
      </c>
      <c r="W931">
        <v>3</v>
      </c>
      <c r="X931">
        <v>3</v>
      </c>
      <c r="Y931">
        <v>1</v>
      </c>
      <c r="Z931">
        <v>1</v>
      </c>
      <c r="AA931">
        <v>2</v>
      </c>
      <c r="AB931">
        <v>2</v>
      </c>
      <c r="AC931" t="s">
        <v>1061</v>
      </c>
      <c r="AD931" t="s">
        <v>1061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1</v>
      </c>
      <c r="AL931">
        <v>0</v>
      </c>
      <c r="AM931">
        <v>0</v>
      </c>
      <c r="AN931">
        <v>0</v>
      </c>
      <c r="AO931">
        <v>1</v>
      </c>
      <c r="AP931">
        <v>0</v>
      </c>
      <c r="AQ931">
        <v>100</v>
      </c>
      <c r="AR931" s="2">
        <v>45727.192048611112</v>
      </c>
      <c r="AS931" s="2">
        <v>45882.913854166669</v>
      </c>
      <c r="AT931" t="s">
        <v>1357</v>
      </c>
      <c r="AU931" t="s">
        <v>1357</v>
      </c>
      <c r="AV931">
        <v>155</v>
      </c>
    </row>
    <row r="932" spans="1:48" x14ac:dyDescent="0.25">
      <c r="A932">
        <v>684</v>
      </c>
      <c r="B932" t="s">
        <v>3577</v>
      </c>
      <c r="C932" t="s">
        <v>472</v>
      </c>
      <c r="D932" t="s">
        <v>532</v>
      </c>
      <c r="E932" t="s">
        <v>3578</v>
      </c>
      <c r="F932">
        <v>5474350476</v>
      </c>
      <c r="G932" t="s">
        <v>53</v>
      </c>
      <c r="H932" s="1">
        <v>37308</v>
      </c>
      <c r="I932">
        <v>24</v>
      </c>
      <c r="J932">
        <v>2002</v>
      </c>
      <c r="K932" s="1">
        <v>45763</v>
      </c>
      <c r="L932">
        <v>2025</v>
      </c>
      <c r="M932" t="s">
        <v>54</v>
      </c>
      <c r="N932">
        <v>15</v>
      </c>
      <c r="O932" t="s">
        <v>91</v>
      </c>
      <c r="P932" t="s">
        <v>69</v>
      </c>
      <c r="Q932">
        <v>60</v>
      </c>
      <c r="R932">
        <v>5</v>
      </c>
      <c r="S932" t="s">
        <v>92</v>
      </c>
      <c r="T932" t="s">
        <v>93</v>
      </c>
      <c r="U932">
        <v>3</v>
      </c>
      <c r="V932">
        <v>3</v>
      </c>
      <c r="W932">
        <v>3</v>
      </c>
      <c r="X932">
        <v>3</v>
      </c>
      <c r="Y932">
        <v>1</v>
      </c>
      <c r="Z932">
        <v>3</v>
      </c>
      <c r="AA932">
        <v>2.3333330000000001</v>
      </c>
      <c r="AB932">
        <v>7</v>
      </c>
      <c r="AC932" t="s">
        <v>70</v>
      </c>
      <c r="AD932" t="s">
        <v>60</v>
      </c>
      <c r="AE932">
        <v>1</v>
      </c>
      <c r="AF932">
        <v>0</v>
      </c>
      <c r="AG932">
        <v>0</v>
      </c>
      <c r="AH932">
        <v>1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1</v>
      </c>
      <c r="AO932">
        <v>2</v>
      </c>
      <c r="AP932">
        <v>1</v>
      </c>
      <c r="AQ932">
        <v>66.666666666666003</v>
      </c>
      <c r="AR932" s="2">
        <v>45781.919537037036</v>
      </c>
      <c r="AS932" s="2">
        <v>45942.276932870373</v>
      </c>
      <c r="AT932" t="s">
        <v>61</v>
      </c>
      <c r="AU932" t="s">
        <v>61</v>
      </c>
      <c r="AV932">
        <v>161</v>
      </c>
    </row>
    <row r="933" spans="1:48" x14ac:dyDescent="0.25">
      <c r="A933">
        <v>850</v>
      </c>
      <c r="B933" t="s">
        <v>3579</v>
      </c>
      <c r="C933" t="s">
        <v>108</v>
      </c>
      <c r="D933" t="s">
        <v>3580</v>
      </c>
      <c r="E933" t="s">
        <v>3581</v>
      </c>
      <c r="F933" t="s">
        <v>3582</v>
      </c>
      <c r="G933" t="s">
        <v>104</v>
      </c>
      <c r="H933" s="1">
        <v>37628</v>
      </c>
      <c r="I933">
        <v>23</v>
      </c>
      <c r="J933">
        <v>2003</v>
      </c>
      <c r="K933" s="1">
        <v>45576</v>
      </c>
      <c r="L933">
        <v>2024</v>
      </c>
      <c r="M933" t="s">
        <v>54</v>
      </c>
      <c r="N933">
        <v>9</v>
      </c>
      <c r="O933" t="s">
        <v>151</v>
      </c>
      <c r="P933" t="s">
        <v>69</v>
      </c>
      <c r="Q933">
        <v>60</v>
      </c>
      <c r="R933">
        <v>3</v>
      </c>
      <c r="S933" t="s">
        <v>126</v>
      </c>
      <c r="T933" t="s">
        <v>127</v>
      </c>
      <c r="U933">
        <v>3</v>
      </c>
      <c r="V933">
        <v>3</v>
      </c>
      <c r="W933">
        <v>3</v>
      </c>
      <c r="X933">
        <v>3</v>
      </c>
      <c r="Y933">
        <v>1</v>
      </c>
      <c r="Z933">
        <v>2</v>
      </c>
      <c r="AA933">
        <v>3</v>
      </c>
      <c r="AB933">
        <v>6</v>
      </c>
      <c r="AC933" t="s">
        <v>1061</v>
      </c>
      <c r="AD933" t="s">
        <v>60</v>
      </c>
      <c r="AE933">
        <v>1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</v>
      </c>
      <c r="AL933">
        <v>0</v>
      </c>
      <c r="AM933">
        <v>0</v>
      </c>
      <c r="AN933">
        <v>0</v>
      </c>
      <c r="AO933">
        <v>2</v>
      </c>
      <c r="AP933">
        <v>0</v>
      </c>
      <c r="AQ933">
        <v>100</v>
      </c>
      <c r="AR933" s="2">
        <v>45721.914293981485</v>
      </c>
      <c r="AS933" s="2">
        <v>46085.651782407411</v>
      </c>
      <c r="AT933" t="s">
        <v>1357</v>
      </c>
      <c r="AU933" t="s">
        <v>1357</v>
      </c>
      <c r="AV933">
        <v>364</v>
      </c>
    </row>
    <row r="934" spans="1:48" x14ac:dyDescent="0.25">
      <c r="A934">
        <v>129</v>
      </c>
      <c r="B934" t="s">
        <v>3583</v>
      </c>
      <c r="C934" t="s">
        <v>1276</v>
      </c>
      <c r="D934" t="s">
        <v>3584</v>
      </c>
      <c r="E934" t="s">
        <v>3585</v>
      </c>
      <c r="F934" t="s">
        <v>3586</v>
      </c>
      <c r="G934" t="s">
        <v>104</v>
      </c>
      <c r="H934" s="1">
        <v>37387</v>
      </c>
      <c r="I934">
        <v>24</v>
      </c>
      <c r="J934">
        <v>2002</v>
      </c>
      <c r="K934" s="1">
        <v>44706</v>
      </c>
      <c r="L934">
        <v>2022</v>
      </c>
      <c r="M934" t="s">
        <v>54</v>
      </c>
      <c r="N934">
        <v>16</v>
      </c>
      <c r="O934" t="s">
        <v>280</v>
      </c>
      <c r="P934" t="s">
        <v>119</v>
      </c>
      <c r="Q934">
        <v>120</v>
      </c>
      <c r="R934">
        <v>6</v>
      </c>
      <c r="S934" t="s">
        <v>140</v>
      </c>
      <c r="T934" t="s">
        <v>141</v>
      </c>
      <c r="U934">
        <v>3</v>
      </c>
      <c r="V934">
        <v>3</v>
      </c>
      <c r="W934">
        <v>3</v>
      </c>
      <c r="X934">
        <v>3</v>
      </c>
      <c r="Y934">
        <v>1</v>
      </c>
      <c r="Z934">
        <v>3</v>
      </c>
      <c r="AA934">
        <v>2.3333330000000001</v>
      </c>
      <c r="AB934">
        <v>7</v>
      </c>
      <c r="AC934" t="s">
        <v>59</v>
      </c>
      <c r="AD934" t="s">
        <v>60</v>
      </c>
      <c r="AE934">
        <v>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</v>
      </c>
      <c r="AL934">
        <v>0</v>
      </c>
      <c r="AM934">
        <v>1</v>
      </c>
      <c r="AN934">
        <v>0</v>
      </c>
      <c r="AO934">
        <v>3</v>
      </c>
      <c r="AP934">
        <v>0</v>
      </c>
      <c r="AQ934">
        <v>100</v>
      </c>
      <c r="AR934" s="2">
        <v>45743.270960648151</v>
      </c>
      <c r="AS934" s="2">
        <v>46079.094618055555</v>
      </c>
      <c r="AT934" t="s">
        <v>62</v>
      </c>
      <c r="AU934" t="s">
        <v>62</v>
      </c>
      <c r="AV934">
        <v>336</v>
      </c>
    </row>
    <row r="935" spans="1:48" x14ac:dyDescent="0.25">
      <c r="A935">
        <v>152</v>
      </c>
      <c r="B935" t="s">
        <v>3587</v>
      </c>
      <c r="C935" t="s">
        <v>873</v>
      </c>
      <c r="D935" t="s">
        <v>3588</v>
      </c>
      <c r="E935" t="s">
        <v>3589</v>
      </c>
      <c r="F935" t="s">
        <v>3590</v>
      </c>
      <c r="G935" t="s">
        <v>53</v>
      </c>
      <c r="H935" s="1">
        <v>38379</v>
      </c>
      <c r="I935">
        <v>21</v>
      </c>
      <c r="J935">
        <v>2005</v>
      </c>
      <c r="K935" s="1">
        <v>45612</v>
      </c>
      <c r="L935">
        <v>2024</v>
      </c>
      <c r="M935" t="s">
        <v>54</v>
      </c>
      <c r="N935">
        <v>5</v>
      </c>
      <c r="O935" t="s">
        <v>84</v>
      </c>
      <c r="P935" t="s">
        <v>56</v>
      </c>
      <c r="Q935">
        <v>36</v>
      </c>
      <c r="R935">
        <v>2</v>
      </c>
      <c r="S935" t="s">
        <v>85</v>
      </c>
      <c r="T935" t="s">
        <v>86</v>
      </c>
      <c r="U935">
        <v>3</v>
      </c>
      <c r="V935">
        <v>3</v>
      </c>
      <c r="W935">
        <v>3</v>
      </c>
      <c r="X935">
        <v>3</v>
      </c>
      <c r="Y935">
        <v>1</v>
      </c>
      <c r="Z935">
        <v>3</v>
      </c>
      <c r="AA935">
        <v>2.8333330000000001</v>
      </c>
      <c r="AB935">
        <v>8.5</v>
      </c>
      <c r="AC935" t="s">
        <v>540</v>
      </c>
      <c r="AD935" t="s">
        <v>281</v>
      </c>
      <c r="AE935">
        <v>0</v>
      </c>
      <c r="AF935">
        <v>0</v>
      </c>
      <c r="AG935">
        <v>1</v>
      </c>
      <c r="AH935">
        <v>0</v>
      </c>
      <c r="AI935">
        <v>0</v>
      </c>
      <c r="AJ935">
        <v>2</v>
      </c>
      <c r="AK935">
        <v>0</v>
      </c>
      <c r="AL935">
        <v>0</v>
      </c>
      <c r="AM935">
        <v>0</v>
      </c>
      <c r="AN935">
        <v>0</v>
      </c>
      <c r="AO935">
        <v>3</v>
      </c>
      <c r="AP935">
        <v>0</v>
      </c>
      <c r="AQ935">
        <v>100</v>
      </c>
      <c r="AR935" s="2">
        <v>45862.328680555554</v>
      </c>
      <c r="AS935" s="2">
        <v>45973.991736111115</v>
      </c>
      <c r="AT935" t="s">
        <v>61</v>
      </c>
      <c r="AU935" t="s">
        <v>61</v>
      </c>
      <c r="AV935">
        <v>111</v>
      </c>
    </row>
    <row r="936" spans="1:48" x14ac:dyDescent="0.25">
      <c r="A936">
        <v>661</v>
      </c>
      <c r="B936" t="s">
        <v>3591</v>
      </c>
      <c r="C936" t="s">
        <v>385</v>
      </c>
      <c r="D936" t="s">
        <v>3592</v>
      </c>
      <c r="E936" t="s">
        <v>3593</v>
      </c>
      <c r="F936" t="s">
        <v>3594</v>
      </c>
      <c r="G936" t="s">
        <v>53</v>
      </c>
      <c r="H936" s="1">
        <v>39349</v>
      </c>
      <c r="I936">
        <v>19</v>
      </c>
      <c r="J936">
        <v>2007</v>
      </c>
      <c r="K936" s="1">
        <v>45326</v>
      </c>
      <c r="L936">
        <v>2024</v>
      </c>
      <c r="M936" t="s">
        <v>54</v>
      </c>
      <c r="N936">
        <v>18</v>
      </c>
      <c r="O936" t="s">
        <v>139</v>
      </c>
      <c r="P936" t="s">
        <v>69</v>
      </c>
      <c r="Q936">
        <v>60</v>
      </c>
      <c r="R936">
        <v>6</v>
      </c>
      <c r="S936" t="s">
        <v>140</v>
      </c>
      <c r="T936" t="s">
        <v>141</v>
      </c>
      <c r="U936">
        <v>3</v>
      </c>
      <c r="V936">
        <v>3</v>
      </c>
      <c r="W936">
        <v>3</v>
      </c>
      <c r="X936">
        <v>3</v>
      </c>
      <c r="Y936">
        <v>1</v>
      </c>
      <c r="Z936">
        <v>3</v>
      </c>
      <c r="AA936">
        <v>2.5</v>
      </c>
      <c r="AB936">
        <v>7.5</v>
      </c>
      <c r="AC936" t="s">
        <v>540</v>
      </c>
      <c r="AD936" t="s">
        <v>112</v>
      </c>
      <c r="AE936">
        <v>0</v>
      </c>
      <c r="AF936">
        <v>0</v>
      </c>
      <c r="AG936">
        <v>0</v>
      </c>
      <c r="AH936">
        <v>1</v>
      </c>
      <c r="AI936">
        <v>0</v>
      </c>
      <c r="AJ936">
        <v>1</v>
      </c>
      <c r="AK936">
        <v>1</v>
      </c>
      <c r="AL936">
        <v>0</v>
      </c>
      <c r="AM936">
        <v>0</v>
      </c>
      <c r="AN936">
        <v>0</v>
      </c>
      <c r="AO936">
        <v>3</v>
      </c>
      <c r="AP936">
        <v>0</v>
      </c>
      <c r="AQ936">
        <v>100</v>
      </c>
      <c r="AR936" s="2">
        <v>45758.971724537034</v>
      </c>
      <c r="AS936" s="2">
        <v>45958.95349537037</v>
      </c>
      <c r="AT936" t="s">
        <v>62</v>
      </c>
      <c r="AU936" t="s">
        <v>62</v>
      </c>
      <c r="AV936">
        <v>200</v>
      </c>
    </row>
    <row r="937" spans="1:48" x14ac:dyDescent="0.25">
      <c r="A937">
        <v>219</v>
      </c>
      <c r="B937" t="s">
        <v>3595</v>
      </c>
      <c r="C937" t="s">
        <v>211</v>
      </c>
      <c r="D937" t="s">
        <v>3596</v>
      </c>
      <c r="E937" t="s">
        <v>3597</v>
      </c>
      <c r="F937" t="s">
        <v>3598</v>
      </c>
      <c r="G937" t="s">
        <v>53</v>
      </c>
      <c r="H937" s="1">
        <v>39276</v>
      </c>
      <c r="I937">
        <v>19</v>
      </c>
      <c r="J937">
        <v>2007</v>
      </c>
      <c r="K937" s="1">
        <v>45155</v>
      </c>
      <c r="L937">
        <v>2023</v>
      </c>
      <c r="M937" t="s">
        <v>54</v>
      </c>
      <c r="N937">
        <v>10</v>
      </c>
      <c r="O937" t="s">
        <v>118</v>
      </c>
      <c r="P937" t="s">
        <v>119</v>
      </c>
      <c r="Q937">
        <v>120</v>
      </c>
      <c r="R937">
        <v>4</v>
      </c>
      <c r="S937" t="s">
        <v>77</v>
      </c>
      <c r="T937" t="s">
        <v>78</v>
      </c>
      <c r="U937">
        <v>3</v>
      </c>
      <c r="V937">
        <v>3</v>
      </c>
      <c r="W937">
        <v>3</v>
      </c>
      <c r="X937">
        <v>3</v>
      </c>
      <c r="Y937">
        <v>1</v>
      </c>
      <c r="Z937">
        <v>3</v>
      </c>
      <c r="AA937">
        <v>2.5</v>
      </c>
      <c r="AB937">
        <v>7.5</v>
      </c>
      <c r="AC937" t="s">
        <v>59</v>
      </c>
      <c r="AD937" t="s">
        <v>112</v>
      </c>
      <c r="AE937">
        <v>0</v>
      </c>
      <c r="AF937">
        <v>0</v>
      </c>
      <c r="AG937">
        <v>1</v>
      </c>
      <c r="AH937">
        <v>1</v>
      </c>
      <c r="AI937">
        <v>0</v>
      </c>
      <c r="AJ937">
        <v>0</v>
      </c>
      <c r="AK937">
        <v>0</v>
      </c>
      <c r="AL937">
        <v>0</v>
      </c>
      <c r="AM937">
        <v>1</v>
      </c>
      <c r="AN937">
        <v>0</v>
      </c>
      <c r="AO937">
        <v>3</v>
      </c>
      <c r="AP937">
        <v>0</v>
      </c>
      <c r="AQ937">
        <v>100</v>
      </c>
      <c r="AR937" s="2">
        <v>45875.409756944442</v>
      </c>
      <c r="AS937" s="2">
        <v>46048.268854166665</v>
      </c>
      <c r="AT937" t="s">
        <v>61</v>
      </c>
      <c r="AU937" t="s">
        <v>61</v>
      </c>
      <c r="AV937">
        <v>173</v>
      </c>
    </row>
    <row r="938" spans="1:48" x14ac:dyDescent="0.25">
      <c r="A938">
        <v>687</v>
      </c>
      <c r="B938" t="s">
        <v>3599</v>
      </c>
      <c r="C938" t="s">
        <v>733</v>
      </c>
      <c r="D938" t="s">
        <v>636</v>
      </c>
      <c r="E938" t="s">
        <v>3600</v>
      </c>
      <c r="F938" t="s">
        <v>3601</v>
      </c>
      <c r="G938" t="s">
        <v>53</v>
      </c>
      <c r="H938" s="1">
        <v>38649</v>
      </c>
      <c r="I938">
        <v>21</v>
      </c>
      <c r="J938">
        <v>2005</v>
      </c>
      <c r="K938" s="1">
        <v>45905</v>
      </c>
      <c r="L938">
        <v>2025</v>
      </c>
      <c r="M938" t="s">
        <v>54</v>
      </c>
      <c r="N938">
        <v>13</v>
      </c>
      <c r="O938" t="s">
        <v>146</v>
      </c>
      <c r="P938" t="s">
        <v>119</v>
      </c>
      <c r="Q938">
        <v>120</v>
      </c>
      <c r="R938">
        <v>5</v>
      </c>
      <c r="S938" t="s">
        <v>92</v>
      </c>
      <c r="T938" t="s">
        <v>93</v>
      </c>
      <c r="U938">
        <v>3</v>
      </c>
      <c r="V938">
        <v>3</v>
      </c>
      <c r="W938">
        <v>3</v>
      </c>
      <c r="X938">
        <v>3</v>
      </c>
      <c r="Y938">
        <v>1</v>
      </c>
      <c r="Z938">
        <v>1</v>
      </c>
      <c r="AA938">
        <v>0</v>
      </c>
      <c r="AB938">
        <v>0</v>
      </c>
      <c r="AC938" t="s">
        <v>70</v>
      </c>
      <c r="AD938" t="s">
        <v>70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1</v>
      </c>
      <c r="AO938">
        <v>0</v>
      </c>
      <c r="AP938">
        <v>1</v>
      </c>
      <c r="AQ938">
        <v>0</v>
      </c>
      <c r="AR938" s="2">
        <v>45777.731828703705</v>
      </c>
      <c r="AS938" s="2">
        <v>46067.609340277777</v>
      </c>
      <c r="AT938" t="s">
        <v>1357</v>
      </c>
      <c r="AU938" t="s">
        <v>1357</v>
      </c>
      <c r="AV938">
        <v>290</v>
      </c>
    </row>
    <row r="939" spans="1:48" x14ac:dyDescent="0.25">
      <c r="A939">
        <v>3</v>
      </c>
      <c r="B939" t="s">
        <v>3602</v>
      </c>
      <c r="C939" t="s">
        <v>399</v>
      </c>
      <c r="D939" t="s">
        <v>365</v>
      </c>
      <c r="E939" t="s">
        <v>3603</v>
      </c>
      <c r="F939" t="s">
        <v>3604</v>
      </c>
      <c r="G939" t="s">
        <v>104</v>
      </c>
      <c r="H939" s="1">
        <v>35034</v>
      </c>
      <c r="I939">
        <v>31</v>
      </c>
      <c r="J939">
        <v>1995</v>
      </c>
      <c r="K939" s="1">
        <v>45478</v>
      </c>
      <c r="L939">
        <v>2024</v>
      </c>
      <c r="M939" t="s">
        <v>54</v>
      </c>
      <c r="N939">
        <v>9</v>
      </c>
      <c r="O939" t="s">
        <v>151</v>
      </c>
      <c r="P939" t="s">
        <v>69</v>
      </c>
      <c r="Q939">
        <v>60</v>
      </c>
      <c r="R939">
        <v>3</v>
      </c>
      <c r="S939" t="s">
        <v>126</v>
      </c>
      <c r="T939" t="s">
        <v>127</v>
      </c>
      <c r="U939">
        <v>3</v>
      </c>
      <c r="V939">
        <v>3</v>
      </c>
      <c r="W939">
        <v>3</v>
      </c>
      <c r="X939">
        <v>3</v>
      </c>
      <c r="Y939">
        <v>1</v>
      </c>
      <c r="Z939">
        <v>3</v>
      </c>
      <c r="AA939">
        <v>2.5</v>
      </c>
      <c r="AB939">
        <v>7.5</v>
      </c>
      <c r="AC939" t="s">
        <v>59</v>
      </c>
      <c r="AD939" t="s">
        <v>112</v>
      </c>
      <c r="AE939">
        <v>0</v>
      </c>
      <c r="AF939">
        <v>0</v>
      </c>
      <c r="AG939">
        <v>1</v>
      </c>
      <c r="AH939">
        <v>1</v>
      </c>
      <c r="AI939">
        <v>0</v>
      </c>
      <c r="AJ939">
        <v>0</v>
      </c>
      <c r="AK939">
        <v>0</v>
      </c>
      <c r="AL939">
        <v>0</v>
      </c>
      <c r="AM939">
        <v>1</v>
      </c>
      <c r="AN939">
        <v>0</v>
      </c>
      <c r="AO939">
        <v>3</v>
      </c>
      <c r="AP939">
        <v>0</v>
      </c>
      <c r="AQ939">
        <v>100</v>
      </c>
      <c r="AR939" s="2">
        <v>45776.123738425929</v>
      </c>
      <c r="AS939" s="2">
        <v>45915.747766203705</v>
      </c>
      <c r="AT939" t="s">
        <v>61</v>
      </c>
      <c r="AU939" t="s">
        <v>61</v>
      </c>
      <c r="AV939">
        <v>139</v>
      </c>
    </row>
    <row r="940" spans="1:48" x14ac:dyDescent="0.25">
      <c r="A940">
        <v>506</v>
      </c>
      <c r="B940" t="s">
        <v>3605</v>
      </c>
      <c r="C940" t="s">
        <v>336</v>
      </c>
      <c r="D940" t="s">
        <v>3606</v>
      </c>
      <c r="E940" t="s">
        <v>3607</v>
      </c>
      <c r="F940" t="s">
        <v>3608</v>
      </c>
      <c r="G940" t="s">
        <v>104</v>
      </c>
      <c r="H940" s="1">
        <v>38273</v>
      </c>
      <c r="I940">
        <v>22</v>
      </c>
      <c r="J940">
        <v>2004</v>
      </c>
      <c r="K940" s="1">
        <v>45105</v>
      </c>
      <c r="L940">
        <v>2023</v>
      </c>
      <c r="M940" t="s">
        <v>54</v>
      </c>
      <c r="N940">
        <v>18</v>
      </c>
      <c r="O940" t="s">
        <v>139</v>
      </c>
      <c r="P940" t="s">
        <v>69</v>
      </c>
      <c r="Q940">
        <v>60</v>
      </c>
      <c r="R940">
        <v>6</v>
      </c>
      <c r="S940" t="s">
        <v>140</v>
      </c>
      <c r="T940" t="s">
        <v>141</v>
      </c>
      <c r="U940">
        <v>3</v>
      </c>
      <c r="V940">
        <v>3</v>
      </c>
      <c r="W940">
        <v>3</v>
      </c>
      <c r="X940">
        <v>3</v>
      </c>
      <c r="Y940">
        <v>1</v>
      </c>
      <c r="Z940">
        <v>3</v>
      </c>
      <c r="AA940">
        <v>2.1666660000000002</v>
      </c>
      <c r="AB940">
        <v>6.5</v>
      </c>
      <c r="AC940" t="s">
        <v>70</v>
      </c>
      <c r="AD940" t="s">
        <v>112</v>
      </c>
      <c r="AE940">
        <v>0</v>
      </c>
      <c r="AF940">
        <v>0</v>
      </c>
      <c r="AG940">
        <v>1</v>
      </c>
      <c r="AH940">
        <v>1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1</v>
      </c>
      <c r="AO940">
        <v>2</v>
      </c>
      <c r="AP940">
        <v>1</v>
      </c>
      <c r="AQ940">
        <v>66.666666666666003</v>
      </c>
      <c r="AR940" s="2">
        <v>45732.188148148147</v>
      </c>
      <c r="AS940" s="2">
        <v>45993.704699074071</v>
      </c>
      <c r="AT940" t="s">
        <v>62</v>
      </c>
      <c r="AU940" t="s">
        <v>62</v>
      </c>
      <c r="AV940">
        <v>261</v>
      </c>
    </row>
    <row r="941" spans="1:48" x14ac:dyDescent="0.25">
      <c r="A941">
        <v>764</v>
      </c>
      <c r="B941" t="s">
        <v>3609</v>
      </c>
      <c r="C941" t="s">
        <v>135</v>
      </c>
      <c r="D941" t="s">
        <v>3610</v>
      </c>
      <c r="E941" t="s">
        <v>3611</v>
      </c>
      <c r="F941" t="s">
        <v>3612</v>
      </c>
      <c r="G941" t="s">
        <v>53</v>
      </c>
      <c r="H941" s="1">
        <v>35370</v>
      </c>
      <c r="I941">
        <v>30</v>
      </c>
      <c r="J941">
        <v>1996</v>
      </c>
      <c r="K941" s="1">
        <v>44852</v>
      </c>
      <c r="L941">
        <v>2022</v>
      </c>
      <c r="M941" t="s">
        <v>54</v>
      </c>
      <c r="N941">
        <v>8</v>
      </c>
      <c r="O941" t="s">
        <v>125</v>
      </c>
      <c r="P941" t="s">
        <v>56</v>
      </c>
      <c r="Q941">
        <v>36</v>
      </c>
      <c r="R941">
        <v>3</v>
      </c>
      <c r="S941" t="s">
        <v>126</v>
      </c>
      <c r="T941" t="s">
        <v>127</v>
      </c>
      <c r="U941">
        <v>3</v>
      </c>
      <c r="V941">
        <v>3</v>
      </c>
      <c r="W941">
        <v>3</v>
      </c>
      <c r="X941">
        <v>3</v>
      </c>
      <c r="Y941">
        <v>1</v>
      </c>
      <c r="Z941">
        <v>3</v>
      </c>
      <c r="AA941">
        <v>2</v>
      </c>
      <c r="AB941">
        <v>6</v>
      </c>
      <c r="AC941" t="s">
        <v>59</v>
      </c>
      <c r="AD941" t="s">
        <v>112</v>
      </c>
      <c r="AE941">
        <v>0</v>
      </c>
      <c r="AF941">
        <v>0</v>
      </c>
      <c r="AG941">
        <v>0</v>
      </c>
      <c r="AH941">
        <v>1</v>
      </c>
      <c r="AI941">
        <v>0</v>
      </c>
      <c r="AJ941">
        <v>0</v>
      </c>
      <c r="AK941">
        <v>1</v>
      </c>
      <c r="AL941">
        <v>0</v>
      </c>
      <c r="AM941">
        <v>1</v>
      </c>
      <c r="AN941">
        <v>0</v>
      </c>
      <c r="AO941">
        <v>3</v>
      </c>
      <c r="AP941">
        <v>0</v>
      </c>
      <c r="AQ941">
        <v>100</v>
      </c>
      <c r="AR941" s="2">
        <v>45783.263680555552</v>
      </c>
      <c r="AS941" s="2">
        <v>45945.757847222223</v>
      </c>
      <c r="AT941" t="s">
        <v>61</v>
      </c>
      <c r="AU941" t="s">
        <v>61</v>
      </c>
      <c r="AV941">
        <v>162</v>
      </c>
    </row>
    <row r="942" spans="1:48" x14ac:dyDescent="0.25">
      <c r="A942">
        <v>196</v>
      </c>
      <c r="B942" t="s">
        <v>3613</v>
      </c>
      <c r="C942" t="s">
        <v>1077</v>
      </c>
      <c r="D942" t="s">
        <v>1793</v>
      </c>
      <c r="E942" t="s">
        <v>3614</v>
      </c>
      <c r="F942" t="s">
        <v>3615</v>
      </c>
      <c r="G942" t="s">
        <v>53</v>
      </c>
      <c r="H942" s="1">
        <v>38919</v>
      </c>
      <c r="I942">
        <v>20</v>
      </c>
      <c r="J942">
        <v>2006</v>
      </c>
      <c r="K942" s="1">
        <v>44918</v>
      </c>
      <c r="L942">
        <v>2022</v>
      </c>
      <c r="M942" t="s">
        <v>54</v>
      </c>
      <c r="N942">
        <v>1</v>
      </c>
      <c r="O942" t="s">
        <v>157</v>
      </c>
      <c r="P942" t="s">
        <v>119</v>
      </c>
      <c r="Q942">
        <v>120</v>
      </c>
      <c r="R942">
        <v>1</v>
      </c>
      <c r="S942" t="s">
        <v>57</v>
      </c>
      <c r="T942" t="s">
        <v>58</v>
      </c>
      <c r="U942">
        <v>3</v>
      </c>
      <c r="V942">
        <v>3</v>
      </c>
      <c r="W942">
        <v>3</v>
      </c>
      <c r="X942">
        <v>3</v>
      </c>
      <c r="Y942">
        <v>1</v>
      </c>
      <c r="Z942">
        <v>3</v>
      </c>
      <c r="AA942">
        <v>3</v>
      </c>
      <c r="AB942">
        <v>9</v>
      </c>
      <c r="AC942" t="s">
        <v>59</v>
      </c>
      <c r="AD942" t="s">
        <v>60</v>
      </c>
      <c r="AE942">
        <v>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1</v>
      </c>
      <c r="AN942">
        <v>0</v>
      </c>
      <c r="AO942">
        <v>3</v>
      </c>
      <c r="AP942">
        <v>0</v>
      </c>
      <c r="AQ942">
        <v>100</v>
      </c>
      <c r="AR942" s="2">
        <v>45796.603807870371</v>
      </c>
      <c r="AS942" s="2">
        <v>45866.392372685186</v>
      </c>
      <c r="AT942" t="s">
        <v>61</v>
      </c>
      <c r="AU942" t="s">
        <v>61</v>
      </c>
      <c r="AV942">
        <v>70</v>
      </c>
    </row>
    <row r="943" spans="1:48" x14ac:dyDescent="0.25">
      <c r="A943">
        <v>545</v>
      </c>
      <c r="B943" t="s">
        <v>3616</v>
      </c>
      <c r="C943" t="s">
        <v>1850</v>
      </c>
      <c r="D943" t="s">
        <v>1670</v>
      </c>
      <c r="E943" t="s">
        <v>3617</v>
      </c>
      <c r="F943" t="s">
        <v>3618</v>
      </c>
      <c r="G943" t="s">
        <v>104</v>
      </c>
      <c r="H943" s="1">
        <v>35572</v>
      </c>
      <c r="I943">
        <v>29</v>
      </c>
      <c r="J943">
        <v>1997</v>
      </c>
      <c r="K943" s="1">
        <v>46041</v>
      </c>
      <c r="L943">
        <v>2026</v>
      </c>
      <c r="M943" t="s">
        <v>54</v>
      </c>
      <c r="N943">
        <v>13</v>
      </c>
      <c r="O943" t="s">
        <v>146</v>
      </c>
      <c r="P943" t="s">
        <v>119</v>
      </c>
      <c r="Q943">
        <v>120</v>
      </c>
      <c r="R943">
        <v>5</v>
      </c>
      <c r="S943" t="s">
        <v>92</v>
      </c>
      <c r="T943" t="s">
        <v>93</v>
      </c>
      <c r="U943">
        <v>3</v>
      </c>
      <c r="V943">
        <v>3</v>
      </c>
      <c r="W943">
        <v>3</v>
      </c>
      <c r="X943">
        <v>3</v>
      </c>
      <c r="Y943">
        <v>1</v>
      </c>
      <c r="Z943">
        <v>3</v>
      </c>
      <c r="AA943">
        <v>2.1666660000000002</v>
      </c>
      <c r="AB943">
        <v>6.5</v>
      </c>
      <c r="AC943" t="s">
        <v>59</v>
      </c>
      <c r="AD943" t="s">
        <v>112</v>
      </c>
      <c r="AE943">
        <v>0</v>
      </c>
      <c r="AF943">
        <v>0</v>
      </c>
      <c r="AG943">
        <v>0</v>
      </c>
      <c r="AH943">
        <v>1</v>
      </c>
      <c r="AI943">
        <v>0</v>
      </c>
      <c r="AJ943">
        <v>1</v>
      </c>
      <c r="AK943">
        <v>0</v>
      </c>
      <c r="AL943">
        <v>0</v>
      </c>
      <c r="AM943">
        <v>1</v>
      </c>
      <c r="AN943">
        <v>0</v>
      </c>
      <c r="AO943">
        <v>3</v>
      </c>
      <c r="AP943">
        <v>0</v>
      </c>
      <c r="AQ943">
        <v>100</v>
      </c>
      <c r="AR943" s="2">
        <v>45851.578750000001</v>
      </c>
      <c r="AS943" s="2">
        <v>45973.41778935185</v>
      </c>
      <c r="AT943" t="s">
        <v>61</v>
      </c>
      <c r="AU943" t="s">
        <v>61</v>
      </c>
      <c r="AV943">
        <v>122</v>
      </c>
    </row>
    <row r="944" spans="1:48" x14ac:dyDescent="0.25">
      <c r="A944">
        <v>292</v>
      </c>
      <c r="B944" t="s">
        <v>3619</v>
      </c>
      <c r="C944" t="s">
        <v>1892</v>
      </c>
      <c r="D944" t="s">
        <v>2819</v>
      </c>
      <c r="E944" t="s">
        <v>3620</v>
      </c>
      <c r="F944" t="s">
        <v>3621</v>
      </c>
      <c r="G944" t="s">
        <v>104</v>
      </c>
      <c r="H944" s="1">
        <v>36506</v>
      </c>
      <c r="I944">
        <v>27</v>
      </c>
      <c r="J944">
        <v>1999</v>
      </c>
      <c r="K944" s="1">
        <v>45475</v>
      </c>
      <c r="L944">
        <v>2024</v>
      </c>
      <c r="M944" t="s">
        <v>54</v>
      </c>
      <c r="N944">
        <v>12</v>
      </c>
      <c r="O944" t="s">
        <v>76</v>
      </c>
      <c r="P944" t="s">
        <v>69</v>
      </c>
      <c r="Q944">
        <v>60</v>
      </c>
      <c r="R944">
        <v>4</v>
      </c>
      <c r="S944" t="s">
        <v>77</v>
      </c>
      <c r="T944" t="s">
        <v>78</v>
      </c>
      <c r="U944">
        <v>3</v>
      </c>
      <c r="V944">
        <v>3</v>
      </c>
      <c r="W944">
        <v>3</v>
      </c>
      <c r="X944">
        <v>3</v>
      </c>
      <c r="Y944">
        <v>1</v>
      </c>
      <c r="Z944">
        <v>3</v>
      </c>
      <c r="AA944">
        <v>3</v>
      </c>
      <c r="AB944">
        <v>9</v>
      </c>
      <c r="AC944" t="s">
        <v>1061</v>
      </c>
      <c r="AD944" t="s">
        <v>60</v>
      </c>
      <c r="AE944">
        <v>1</v>
      </c>
      <c r="AF944">
        <v>0</v>
      </c>
      <c r="AG944">
        <v>0</v>
      </c>
      <c r="AH944">
        <v>1</v>
      </c>
      <c r="AI944">
        <v>0</v>
      </c>
      <c r="AJ944">
        <v>0</v>
      </c>
      <c r="AK944">
        <v>1</v>
      </c>
      <c r="AL944">
        <v>0</v>
      </c>
      <c r="AM944">
        <v>0</v>
      </c>
      <c r="AN944">
        <v>0</v>
      </c>
      <c r="AO944">
        <v>3</v>
      </c>
      <c r="AP944">
        <v>0</v>
      </c>
      <c r="AQ944">
        <v>100</v>
      </c>
      <c r="AR944" s="2">
        <v>45742.307928240742</v>
      </c>
      <c r="AS944" s="2">
        <v>46007.915266203701</v>
      </c>
      <c r="AT944" t="s">
        <v>61</v>
      </c>
      <c r="AU944" t="s">
        <v>61</v>
      </c>
      <c r="AV944">
        <v>265</v>
      </c>
    </row>
    <row r="945" spans="1:48" x14ac:dyDescent="0.25">
      <c r="A945">
        <v>363</v>
      </c>
      <c r="B945" t="s">
        <v>3622</v>
      </c>
      <c r="C945" t="s">
        <v>248</v>
      </c>
      <c r="D945" t="s">
        <v>1583</v>
      </c>
      <c r="E945" t="s">
        <v>3623</v>
      </c>
      <c r="F945" t="s">
        <v>3624</v>
      </c>
      <c r="G945" t="s">
        <v>104</v>
      </c>
      <c r="H945" s="1">
        <v>38188</v>
      </c>
      <c r="I945">
        <v>22</v>
      </c>
      <c r="J945">
        <v>2004</v>
      </c>
      <c r="K945" s="1">
        <v>45490</v>
      </c>
      <c r="L945">
        <v>2024</v>
      </c>
      <c r="M945" t="s">
        <v>54</v>
      </c>
      <c r="N945">
        <v>21</v>
      </c>
      <c r="O945" t="s">
        <v>339</v>
      </c>
      <c r="P945" t="s">
        <v>69</v>
      </c>
      <c r="Q945">
        <v>60</v>
      </c>
      <c r="R945">
        <v>7</v>
      </c>
      <c r="S945" t="s">
        <v>163</v>
      </c>
      <c r="T945" t="s">
        <v>164</v>
      </c>
      <c r="U945">
        <v>3</v>
      </c>
      <c r="V945">
        <v>3</v>
      </c>
      <c r="W945">
        <v>3</v>
      </c>
      <c r="X945">
        <v>3</v>
      </c>
      <c r="Y945">
        <v>1</v>
      </c>
      <c r="Z945">
        <v>3</v>
      </c>
      <c r="AA945">
        <v>3</v>
      </c>
      <c r="AB945">
        <v>9</v>
      </c>
      <c r="AC945" t="s">
        <v>1061</v>
      </c>
      <c r="AD945" t="s">
        <v>60</v>
      </c>
      <c r="AE945">
        <v>1</v>
      </c>
      <c r="AF945">
        <v>0</v>
      </c>
      <c r="AG945">
        <v>0</v>
      </c>
      <c r="AH945">
        <v>1</v>
      </c>
      <c r="AI945">
        <v>0</v>
      </c>
      <c r="AJ945">
        <v>0</v>
      </c>
      <c r="AK945">
        <v>1</v>
      </c>
      <c r="AL945">
        <v>0</v>
      </c>
      <c r="AM945">
        <v>0</v>
      </c>
      <c r="AN945">
        <v>0</v>
      </c>
      <c r="AO945">
        <v>3</v>
      </c>
      <c r="AP945">
        <v>0</v>
      </c>
      <c r="AQ945">
        <v>100</v>
      </c>
      <c r="AR945" s="2">
        <v>45816.041493055556</v>
      </c>
      <c r="AS945" s="2">
        <v>45909.237268518518</v>
      </c>
      <c r="AT945" t="s">
        <v>61</v>
      </c>
      <c r="AU945" t="s">
        <v>61</v>
      </c>
      <c r="AV945">
        <v>93</v>
      </c>
    </row>
    <row r="946" spans="1:48" x14ac:dyDescent="0.25">
      <c r="A946">
        <v>359</v>
      </c>
      <c r="B946" t="s">
        <v>3625</v>
      </c>
      <c r="C946" t="s">
        <v>3365</v>
      </c>
      <c r="D946" t="s">
        <v>936</v>
      </c>
      <c r="E946" t="s">
        <v>3626</v>
      </c>
      <c r="F946" t="s">
        <v>3627</v>
      </c>
      <c r="G946" t="s">
        <v>104</v>
      </c>
      <c r="H946" s="1">
        <v>38519</v>
      </c>
      <c r="I946">
        <v>21</v>
      </c>
      <c r="J946">
        <v>2005</v>
      </c>
      <c r="K946" s="1">
        <v>45548</v>
      </c>
      <c r="L946">
        <v>2024</v>
      </c>
      <c r="M946" t="s">
        <v>54</v>
      </c>
      <c r="N946">
        <v>10</v>
      </c>
      <c r="O946" t="s">
        <v>118</v>
      </c>
      <c r="P946" t="s">
        <v>119</v>
      </c>
      <c r="Q946">
        <v>120</v>
      </c>
      <c r="R946">
        <v>4</v>
      </c>
      <c r="S946" t="s">
        <v>77</v>
      </c>
      <c r="T946" t="s">
        <v>78</v>
      </c>
      <c r="U946">
        <v>3</v>
      </c>
      <c r="V946">
        <v>3</v>
      </c>
      <c r="W946">
        <v>3</v>
      </c>
      <c r="X946">
        <v>3</v>
      </c>
      <c r="Y946">
        <v>1</v>
      </c>
      <c r="Z946">
        <v>3</v>
      </c>
      <c r="AA946">
        <v>2</v>
      </c>
      <c r="AB946">
        <v>6</v>
      </c>
      <c r="AC946" t="s">
        <v>70</v>
      </c>
      <c r="AD946" t="s">
        <v>60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1</v>
      </c>
      <c r="AL946">
        <v>0</v>
      </c>
      <c r="AM946">
        <v>0</v>
      </c>
      <c r="AN946">
        <v>1</v>
      </c>
      <c r="AO946">
        <v>2</v>
      </c>
      <c r="AP946">
        <v>1</v>
      </c>
      <c r="AQ946">
        <v>66.666666666666003</v>
      </c>
      <c r="AR946" s="2">
        <v>45747.422731481478</v>
      </c>
      <c r="AS946" s="2">
        <v>46058.871898148151</v>
      </c>
      <c r="AT946" t="s">
        <v>61</v>
      </c>
      <c r="AU946" t="s">
        <v>61</v>
      </c>
      <c r="AV946">
        <v>311</v>
      </c>
    </row>
    <row r="947" spans="1:48" x14ac:dyDescent="0.25">
      <c r="A947">
        <v>569</v>
      </c>
      <c r="B947" t="s">
        <v>3628</v>
      </c>
      <c r="C947" t="s">
        <v>686</v>
      </c>
      <c r="D947" t="s">
        <v>450</v>
      </c>
      <c r="E947" t="s">
        <v>3629</v>
      </c>
      <c r="F947" t="s">
        <v>3630</v>
      </c>
      <c r="G947" t="s">
        <v>53</v>
      </c>
      <c r="H947" s="1">
        <v>39016</v>
      </c>
      <c r="I947">
        <v>20</v>
      </c>
      <c r="J947">
        <v>2006</v>
      </c>
      <c r="K947" s="1">
        <v>45508</v>
      </c>
      <c r="L947">
        <v>2024</v>
      </c>
      <c r="M947" t="s">
        <v>111</v>
      </c>
      <c r="N947">
        <v>18</v>
      </c>
      <c r="O947" t="s">
        <v>139</v>
      </c>
      <c r="P947" t="s">
        <v>69</v>
      </c>
      <c r="Q947">
        <v>60</v>
      </c>
      <c r="R947">
        <v>6</v>
      </c>
      <c r="S947" t="s">
        <v>140</v>
      </c>
      <c r="T947" t="s">
        <v>141</v>
      </c>
      <c r="U947">
        <v>3</v>
      </c>
      <c r="V947">
        <v>3</v>
      </c>
      <c r="W947">
        <v>3</v>
      </c>
      <c r="X947">
        <v>3</v>
      </c>
      <c r="Y947">
        <v>1</v>
      </c>
      <c r="Z947">
        <v>3</v>
      </c>
      <c r="AA947">
        <v>3</v>
      </c>
      <c r="AB947">
        <v>9</v>
      </c>
      <c r="AC947" t="s">
        <v>1061</v>
      </c>
      <c r="AD947" t="s">
        <v>60</v>
      </c>
      <c r="AE947">
        <v>1</v>
      </c>
      <c r="AF947">
        <v>0</v>
      </c>
      <c r="AG947">
        <v>0</v>
      </c>
      <c r="AH947">
        <v>1</v>
      </c>
      <c r="AI947">
        <v>0</v>
      </c>
      <c r="AJ947">
        <v>0</v>
      </c>
      <c r="AK947">
        <v>1</v>
      </c>
      <c r="AL947">
        <v>0</v>
      </c>
      <c r="AM947">
        <v>0</v>
      </c>
      <c r="AN947">
        <v>0</v>
      </c>
      <c r="AO947">
        <v>3</v>
      </c>
      <c r="AP947">
        <v>0</v>
      </c>
      <c r="AQ947">
        <v>100</v>
      </c>
      <c r="AR947" s="2">
        <v>45732.401759259257</v>
      </c>
      <c r="AS947" s="2">
        <v>46056.849189814813</v>
      </c>
      <c r="AT947" t="s">
        <v>62</v>
      </c>
      <c r="AU947" t="s">
        <v>62</v>
      </c>
      <c r="AV947">
        <v>324</v>
      </c>
    </row>
    <row r="948" spans="1:48" x14ac:dyDescent="0.25">
      <c r="A948">
        <v>526</v>
      </c>
      <c r="B948" t="s">
        <v>3631</v>
      </c>
      <c r="C948" t="s">
        <v>3632</v>
      </c>
      <c r="D948" t="s">
        <v>177</v>
      </c>
      <c r="E948" t="s">
        <v>3633</v>
      </c>
      <c r="F948" t="s">
        <v>3634</v>
      </c>
      <c r="G948" t="s">
        <v>104</v>
      </c>
      <c r="H948" s="1">
        <v>39497</v>
      </c>
      <c r="I948">
        <v>18</v>
      </c>
      <c r="J948">
        <v>2008</v>
      </c>
      <c r="K948" s="1">
        <v>45657</v>
      </c>
      <c r="L948">
        <v>2024</v>
      </c>
      <c r="M948" t="s">
        <v>54</v>
      </c>
      <c r="N948">
        <v>13</v>
      </c>
      <c r="O948" t="s">
        <v>146</v>
      </c>
      <c r="P948" t="s">
        <v>119</v>
      </c>
      <c r="Q948">
        <v>120</v>
      </c>
      <c r="R948">
        <v>5</v>
      </c>
      <c r="S948" t="s">
        <v>92</v>
      </c>
      <c r="T948" t="s">
        <v>93</v>
      </c>
      <c r="U948">
        <v>3</v>
      </c>
      <c r="V948">
        <v>3</v>
      </c>
      <c r="W948">
        <v>3</v>
      </c>
      <c r="X948">
        <v>3</v>
      </c>
      <c r="Y948">
        <v>1</v>
      </c>
      <c r="Z948">
        <v>3</v>
      </c>
      <c r="AA948">
        <v>2.3333330000000001</v>
      </c>
      <c r="AB948">
        <v>7</v>
      </c>
      <c r="AC948" t="s">
        <v>70</v>
      </c>
      <c r="AD948" t="s">
        <v>60</v>
      </c>
      <c r="AE948">
        <v>1</v>
      </c>
      <c r="AF948">
        <v>0</v>
      </c>
      <c r="AG948">
        <v>0</v>
      </c>
      <c r="AH948">
        <v>1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2</v>
      </c>
      <c r="AP948">
        <v>1</v>
      </c>
      <c r="AQ948">
        <v>66.666666666666003</v>
      </c>
      <c r="AR948" s="2">
        <v>45869.345590277779</v>
      </c>
      <c r="AS948" s="2">
        <v>46084.077789351853</v>
      </c>
      <c r="AT948" t="s">
        <v>61</v>
      </c>
      <c r="AU948" t="s">
        <v>61</v>
      </c>
      <c r="AV948">
        <v>215</v>
      </c>
    </row>
    <row r="949" spans="1:48" x14ac:dyDescent="0.25">
      <c r="A949">
        <v>852</v>
      </c>
      <c r="B949" t="s">
        <v>3635</v>
      </c>
      <c r="C949" t="s">
        <v>3011</v>
      </c>
      <c r="D949" t="s">
        <v>3636</v>
      </c>
      <c r="E949" t="s">
        <v>3637</v>
      </c>
      <c r="F949" t="s">
        <v>3638</v>
      </c>
      <c r="G949" t="s">
        <v>53</v>
      </c>
      <c r="H949" s="1">
        <v>39437</v>
      </c>
      <c r="I949">
        <v>19</v>
      </c>
      <c r="J949">
        <v>2007</v>
      </c>
      <c r="K949" s="1">
        <v>45504</v>
      </c>
      <c r="L949">
        <v>2024</v>
      </c>
      <c r="M949" t="s">
        <v>54</v>
      </c>
      <c r="N949">
        <v>12</v>
      </c>
      <c r="O949" t="s">
        <v>76</v>
      </c>
      <c r="P949" t="s">
        <v>69</v>
      </c>
      <c r="Q949">
        <v>60</v>
      </c>
      <c r="R949">
        <v>4</v>
      </c>
      <c r="S949" t="s">
        <v>77</v>
      </c>
      <c r="T949" t="s">
        <v>78</v>
      </c>
      <c r="U949">
        <v>3</v>
      </c>
      <c r="V949">
        <v>3</v>
      </c>
      <c r="W949">
        <v>3</v>
      </c>
      <c r="X949">
        <v>3</v>
      </c>
      <c r="Y949">
        <v>1</v>
      </c>
      <c r="Z949">
        <v>3</v>
      </c>
      <c r="AA949">
        <v>3.6666660000000002</v>
      </c>
      <c r="AB949">
        <v>11</v>
      </c>
      <c r="AC949" t="s">
        <v>112</v>
      </c>
      <c r="AD949" t="s">
        <v>60</v>
      </c>
      <c r="AE949">
        <v>2</v>
      </c>
      <c r="AF949">
        <v>0</v>
      </c>
      <c r="AG949">
        <v>0</v>
      </c>
      <c r="AH949">
        <v>1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3</v>
      </c>
      <c r="AP949">
        <v>0</v>
      </c>
      <c r="AQ949">
        <v>100</v>
      </c>
      <c r="AR949" s="2">
        <v>45735.83803240741</v>
      </c>
      <c r="AS949" s="2">
        <v>45936.269062500003</v>
      </c>
      <c r="AT949" t="s">
        <v>61</v>
      </c>
      <c r="AU949" t="s">
        <v>61</v>
      </c>
      <c r="AV949">
        <v>201</v>
      </c>
    </row>
    <row r="950" spans="1:48" x14ac:dyDescent="0.25">
      <c r="A950">
        <v>864</v>
      </c>
      <c r="B950" t="s">
        <v>3639</v>
      </c>
      <c r="C950" t="s">
        <v>148</v>
      </c>
      <c r="D950" t="s">
        <v>2228</v>
      </c>
      <c r="E950" t="s">
        <v>3640</v>
      </c>
      <c r="F950" t="s">
        <v>3641</v>
      </c>
      <c r="G950" t="s">
        <v>53</v>
      </c>
      <c r="H950" s="1">
        <v>39402</v>
      </c>
      <c r="I950">
        <v>19</v>
      </c>
      <c r="J950">
        <v>2007</v>
      </c>
      <c r="K950" s="1">
        <v>45355</v>
      </c>
      <c r="L950">
        <v>2024</v>
      </c>
      <c r="M950" t="s">
        <v>54</v>
      </c>
      <c r="N950">
        <v>14</v>
      </c>
      <c r="O950" t="s">
        <v>105</v>
      </c>
      <c r="P950" t="s">
        <v>56</v>
      </c>
      <c r="Q950">
        <v>36</v>
      </c>
      <c r="R950">
        <v>5</v>
      </c>
      <c r="S950" t="s">
        <v>92</v>
      </c>
      <c r="T950" t="s">
        <v>93</v>
      </c>
      <c r="U950">
        <v>3</v>
      </c>
      <c r="V950">
        <v>3</v>
      </c>
      <c r="W950">
        <v>3</v>
      </c>
      <c r="X950">
        <v>3</v>
      </c>
      <c r="Y950">
        <v>1</v>
      </c>
      <c r="Z950">
        <v>3</v>
      </c>
      <c r="AA950">
        <v>2.3333330000000001</v>
      </c>
      <c r="AB950">
        <v>7</v>
      </c>
      <c r="AC950" t="s">
        <v>59</v>
      </c>
      <c r="AD950" t="s">
        <v>60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0</v>
      </c>
      <c r="AM950">
        <v>1</v>
      </c>
      <c r="AN950">
        <v>0</v>
      </c>
      <c r="AO950">
        <v>3</v>
      </c>
      <c r="AP950">
        <v>0</v>
      </c>
      <c r="AQ950">
        <v>100</v>
      </c>
      <c r="AR950" s="2">
        <v>45726.767048611109</v>
      </c>
      <c r="AS950" s="2">
        <v>46066.625219907408</v>
      </c>
      <c r="AT950" t="s">
        <v>1357</v>
      </c>
      <c r="AU950" t="s">
        <v>1357</v>
      </c>
      <c r="AV950">
        <v>340</v>
      </c>
    </row>
    <row r="951" spans="1:48" x14ac:dyDescent="0.25">
      <c r="A951">
        <v>584</v>
      </c>
      <c r="B951" t="s">
        <v>3642</v>
      </c>
      <c r="C951" t="s">
        <v>1885</v>
      </c>
      <c r="D951" t="s">
        <v>1173</v>
      </c>
      <c r="E951" t="s">
        <v>3643</v>
      </c>
      <c r="F951" t="s">
        <v>3644</v>
      </c>
      <c r="G951" t="s">
        <v>53</v>
      </c>
      <c r="H951" s="1">
        <v>39409</v>
      </c>
      <c r="I951">
        <v>19</v>
      </c>
      <c r="J951">
        <v>2007</v>
      </c>
      <c r="K951" s="1">
        <v>45739</v>
      </c>
      <c r="L951">
        <v>2025</v>
      </c>
      <c r="M951" t="s">
        <v>54</v>
      </c>
      <c r="N951">
        <v>18</v>
      </c>
      <c r="O951" t="s">
        <v>139</v>
      </c>
      <c r="P951" t="s">
        <v>69</v>
      </c>
      <c r="Q951">
        <v>60</v>
      </c>
      <c r="R951">
        <v>6</v>
      </c>
      <c r="S951" t="s">
        <v>140</v>
      </c>
      <c r="T951" t="s">
        <v>141</v>
      </c>
      <c r="U951">
        <v>3</v>
      </c>
      <c r="V951">
        <v>3</v>
      </c>
      <c r="W951">
        <v>3</v>
      </c>
      <c r="X951">
        <v>3</v>
      </c>
      <c r="Y951">
        <v>1</v>
      </c>
      <c r="Z951">
        <v>3</v>
      </c>
      <c r="AA951">
        <v>2.5</v>
      </c>
      <c r="AB951">
        <v>7.5</v>
      </c>
      <c r="AC951" t="s">
        <v>1061</v>
      </c>
      <c r="AD951" t="s">
        <v>281</v>
      </c>
      <c r="AE951">
        <v>0</v>
      </c>
      <c r="AF951">
        <v>0</v>
      </c>
      <c r="AG951">
        <v>1</v>
      </c>
      <c r="AH951">
        <v>0</v>
      </c>
      <c r="AI951">
        <v>0</v>
      </c>
      <c r="AJ951">
        <v>0</v>
      </c>
      <c r="AK951">
        <v>2</v>
      </c>
      <c r="AL951">
        <v>0</v>
      </c>
      <c r="AM951">
        <v>0</v>
      </c>
      <c r="AN951">
        <v>0</v>
      </c>
      <c r="AO951">
        <v>3</v>
      </c>
      <c r="AP951">
        <v>0</v>
      </c>
      <c r="AQ951">
        <v>100</v>
      </c>
      <c r="AR951" s="2">
        <v>45723.314525462964</v>
      </c>
      <c r="AS951" s="2">
        <v>45926.932997685188</v>
      </c>
      <c r="AT951" t="s">
        <v>61</v>
      </c>
      <c r="AU951" t="s">
        <v>61</v>
      </c>
      <c r="AV951">
        <v>203</v>
      </c>
    </row>
    <row r="952" spans="1:48" x14ac:dyDescent="0.25">
      <c r="A952">
        <v>651</v>
      </c>
      <c r="B952" t="s">
        <v>3645</v>
      </c>
      <c r="C952" t="s">
        <v>176</v>
      </c>
      <c r="D952" t="s">
        <v>167</v>
      </c>
      <c r="E952" t="s">
        <v>3646</v>
      </c>
      <c r="F952" t="s">
        <v>3647</v>
      </c>
      <c r="G952" t="s">
        <v>53</v>
      </c>
      <c r="H952" s="1">
        <v>38065</v>
      </c>
      <c r="I952">
        <v>22</v>
      </c>
      <c r="J952">
        <v>2004</v>
      </c>
      <c r="K952" s="1">
        <v>45252</v>
      </c>
      <c r="L952">
        <v>2023</v>
      </c>
      <c r="M952" t="s">
        <v>54</v>
      </c>
      <c r="N952">
        <v>13</v>
      </c>
      <c r="O952" t="s">
        <v>146</v>
      </c>
      <c r="P952" t="s">
        <v>119</v>
      </c>
      <c r="Q952">
        <v>120</v>
      </c>
      <c r="R952">
        <v>5</v>
      </c>
      <c r="S952" t="s">
        <v>92</v>
      </c>
      <c r="T952" t="s">
        <v>93</v>
      </c>
      <c r="U952">
        <v>3</v>
      </c>
      <c r="V952">
        <v>3</v>
      </c>
      <c r="W952">
        <v>3</v>
      </c>
      <c r="X952">
        <v>3</v>
      </c>
      <c r="Y952">
        <v>1</v>
      </c>
      <c r="Z952">
        <v>3</v>
      </c>
      <c r="AA952">
        <v>2.8333330000000001</v>
      </c>
      <c r="AB952">
        <v>8.5</v>
      </c>
      <c r="AC952" t="s">
        <v>59</v>
      </c>
      <c r="AD952" t="s">
        <v>60</v>
      </c>
      <c r="AE952">
        <v>1</v>
      </c>
      <c r="AF952">
        <v>0</v>
      </c>
      <c r="AG952">
        <v>1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1</v>
      </c>
      <c r="AN952">
        <v>0</v>
      </c>
      <c r="AO952">
        <v>3</v>
      </c>
      <c r="AP952">
        <v>0</v>
      </c>
      <c r="AQ952">
        <v>100</v>
      </c>
      <c r="AR952" s="2">
        <v>45932.433067129627</v>
      </c>
      <c r="AS952" s="2">
        <v>46072.786365740743</v>
      </c>
      <c r="AT952" t="s">
        <v>62</v>
      </c>
      <c r="AU952" t="s">
        <v>62</v>
      </c>
      <c r="AV952">
        <v>140</v>
      </c>
    </row>
    <row r="953" spans="1:48" x14ac:dyDescent="0.25">
      <c r="A953">
        <v>924</v>
      </c>
      <c r="B953" t="s">
        <v>3648</v>
      </c>
      <c r="C953" t="s">
        <v>1015</v>
      </c>
      <c r="D953" t="s">
        <v>277</v>
      </c>
      <c r="E953" t="s">
        <v>3649</v>
      </c>
      <c r="F953" t="s">
        <v>3650</v>
      </c>
      <c r="G953" t="s">
        <v>53</v>
      </c>
      <c r="H953" s="1">
        <v>35533</v>
      </c>
      <c r="I953">
        <v>29</v>
      </c>
      <c r="J953">
        <v>1997</v>
      </c>
      <c r="K953" s="1">
        <v>45124</v>
      </c>
      <c r="L953">
        <v>2023</v>
      </c>
      <c r="M953" t="s">
        <v>54</v>
      </c>
      <c r="N953">
        <v>10</v>
      </c>
      <c r="O953" t="s">
        <v>118</v>
      </c>
      <c r="P953" t="s">
        <v>119</v>
      </c>
      <c r="Q953">
        <v>120</v>
      </c>
      <c r="R953">
        <v>4</v>
      </c>
      <c r="S953" t="s">
        <v>77</v>
      </c>
      <c r="T953" t="s">
        <v>78</v>
      </c>
      <c r="U953">
        <v>3</v>
      </c>
      <c r="V953">
        <v>3</v>
      </c>
      <c r="W953">
        <v>3</v>
      </c>
      <c r="X953">
        <v>3</v>
      </c>
      <c r="Y953">
        <v>1</v>
      </c>
      <c r="Z953">
        <v>0</v>
      </c>
      <c r="AA953" t="s">
        <v>3182</v>
      </c>
      <c r="AB953" t="s">
        <v>3182</v>
      </c>
      <c r="AC953" t="s">
        <v>3182</v>
      </c>
      <c r="AD953" t="s">
        <v>3182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 s="2">
        <v>45940.331261574072</v>
      </c>
      <c r="AS953" s="2">
        <v>46082.32576388889</v>
      </c>
      <c r="AT953" t="s">
        <v>1357</v>
      </c>
      <c r="AU953" t="s">
        <v>1357</v>
      </c>
      <c r="AV953">
        <v>142</v>
      </c>
    </row>
    <row r="954" spans="1:48" x14ac:dyDescent="0.25">
      <c r="A954">
        <v>747</v>
      </c>
      <c r="B954" t="s">
        <v>2105</v>
      </c>
      <c r="C954" t="s">
        <v>1276</v>
      </c>
      <c r="D954" t="s">
        <v>1597</v>
      </c>
      <c r="E954" t="s">
        <v>3651</v>
      </c>
      <c r="F954" t="s">
        <v>3652</v>
      </c>
      <c r="G954" t="s">
        <v>104</v>
      </c>
      <c r="H954" s="1">
        <v>36017</v>
      </c>
      <c r="I954">
        <v>28</v>
      </c>
      <c r="J954">
        <v>1998</v>
      </c>
      <c r="K954" s="1">
        <v>45402</v>
      </c>
      <c r="L954">
        <v>2024</v>
      </c>
      <c r="M954" t="s">
        <v>111</v>
      </c>
      <c r="N954">
        <v>3</v>
      </c>
      <c r="O954" t="s">
        <v>68</v>
      </c>
      <c r="P954" t="s">
        <v>69</v>
      </c>
      <c r="Q954">
        <v>60</v>
      </c>
      <c r="R954">
        <v>1</v>
      </c>
      <c r="S954" t="s">
        <v>57</v>
      </c>
      <c r="T954" t="s">
        <v>58</v>
      </c>
      <c r="U954">
        <v>3</v>
      </c>
      <c r="V954">
        <v>3</v>
      </c>
      <c r="W954">
        <v>3</v>
      </c>
      <c r="X954">
        <v>3</v>
      </c>
      <c r="Y954">
        <v>1</v>
      </c>
      <c r="Z954">
        <v>0</v>
      </c>
      <c r="AA954" t="s">
        <v>3182</v>
      </c>
      <c r="AB954" t="s">
        <v>3182</v>
      </c>
      <c r="AC954" t="s">
        <v>3182</v>
      </c>
      <c r="AD954" t="s">
        <v>3182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 s="2">
        <v>45727.224803240744</v>
      </c>
      <c r="AS954" s="2">
        <v>46013.478564814817</v>
      </c>
      <c r="AT954" t="s">
        <v>1357</v>
      </c>
      <c r="AU954" t="s">
        <v>1357</v>
      </c>
      <c r="AV954">
        <v>286</v>
      </c>
    </row>
    <row r="955" spans="1:48" x14ac:dyDescent="0.25">
      <c r="A955">
        <v>154</v>
      </c>
      <c r="B955" t="s">
        <v>3653</v>
      </c>
      <c r="C955" t="s">
        <v>1057</v>
      </c>
      <c r="D955" t="s">
        <v>3654</v>
      </c>
      <c r="E955" t="s">
        <v>3655</v>
      </c>
      <c r="F955" t="s">
        <v>3656</v>
      </c>
      <c r="G955" t="s">
        <v>53</v>
      </c>
      <c r="H955" s="1">
        <v>38506</v>
      </c>
      <c r="I955">
        <v>21</v>
      </c>
      <c r="J955">
        <v>2005</v>
      </c>
      <c r="K955" s="1">
        <v>45931</v>
      </c>
      <c r="L955">
        <v>2025</v>
      </c>
      <c r="M955" t="s">
        <v>54</v>
      </c>
      <c r="N955">
        <v>4</v>
      </c>
      <c r="O955" t="s">
        <v>215</v>
      </c>
      <c r="P955" t="s">
        <v>119</v>
      </c>
      <c r="Q955">
        <v>120</v>
      </c>
      <c r="R955">
        <v>2</v>
      </c>
      <c r="S955" t="s">
        <v>85</v>
      </c>
      <c r="T955" t="s">
        <v>86</v>
      </c>
      <c r="U955">
        <v>3</v>
      </c>
      <c r="V955">
        <v>3</v>
      </c>
      <c r="W955">
        <v>3</v>
      </c>
      <c r="X955">
        <v>3</v>
      </c>
      <c r="Y955">
        <v>1</v>
      </c>
      <c r="Z955">
        <v>2</v>
      </c>
      <c r="AA955">
        <v>1.5</v>
      </c>
      <c r="AB955">
        <v>3</v>
      </c>
      <c r="AC955" t="s">
        <v>59</v>
      </c>
      <c r="AD955" t="s">
        <v>1061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</v>
      </c>
      <c r="AL955">
        <v>0</v>
      </c>
      <c r="AM955">
        <v>1</v>
      </c>
      <c r="AN955">
        <v>0</v>
      </c>
      <c r="AO955">
        <v>2</v>
      </c>
      <c r="AP955">
        <v>0</v>
      </c>
      <c r="AQ955">
        <v>100</v>
      </c>
      <c r="AR955" s="2">
        <v>45896.992372685185</v>
      </c>
      <c r="AS955" s="2">
        <v>46014.304444444446</v>
      </c>
      <c r="AT955" t="s">
        <v>1357</v>
      </c>
      <c r="AU955" t="s">
        <v>1357</v>
      </c>
      <c r="AV955">
        <v>118</v>
      </c>
    </row>
    <row r="956" spans="1:48" x14ac:dyDescent="0.25">
      <c r="A956">
        <v>650</v>
      </c>
      <c r="B956" t="s">
        <v>3657</v>
      </c>
      <c r="C956" t="s">
        <v>1245</v>
      </c>
      <c r="D956" t="s">
        <v>3658</v>
      </c>
      <c r="E956" t="s">
        <v>3659</v>
      </c>
      <c r="F956" t="s">
        <v>3660</v>
      </c>
      <c r="G956" t="s">
        <v>104</v>
      </c>
      <c r="H956" s="1">
        <v>34932</v>
      </c>
      <c r="I956">
        <v>31</v>
      </c>
      <c r="J956">
        <v>1995</v>
      </c>
      <c r="K956" s="1">
        <v>45366</v>
      </c>
      <c r="L956">
        <v>2024</v>
      </c>
      <c r="M956" t="s">
        <v>54</v>
      </c>
      <c r="N956">
        <v>11</v>
      </c>
      <c r="O956" t="s">
        <v>378</v>
      </c>
      <c r="P956" t="s">
        <v>56</v>
      </c>
      <c r="Q956">
        <v>36</v>
      </c>
      <c r="R956">
        <v>4</v>
      </c>
      <c r="S956" t="s">
        <v>77</v>
      </c>
      <c r="T956" t="s">
        <v>78</v>
      </c>
      <c r="U956">
        <v>3</v>
      </c>
      <c r="V956">
        <v>3</v>
      </c>
      <c r="W956">
        <v>3</v>
      </c>
      <c r="X956">
        <v>3</v>
      </c>
      <c r="Y956">
        <v>1</v>
      </c>
      <c r="Z956">
        <v>2</v>
      </c>
      <c r="AA956">
        <v>3</v>
      </c>
      <c r="AB956">
        <v>6</v>
      </c>
      <c r="AC956" t="s">
        <v>540</v>
      </c>
      <c r="AD956" t="s">
        <v>281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1</v>
      </c>
      <c r="AK956">
        <v>0</v>
      </c>
      <c r="AL956">
        <v>0</v>
      </c>
      <c r="AM956">
        <v>0</v>
      </c>
      <c r="AN956">
        <v>0</v>
      </c>
      <c r="AO956">
        <v>2</v>
      </c>
      <c r="AP956">
        <v>0</v>
      </c>
      <c r="AQ956">
        <v>100</v>
      </c>
      <c r="AR956" s="2">
        <v>45743.717881944445</v>
      </c>
      <c r="AS956" s="2">
        <v>46000.048333333332</v>
      </c>
      <c r="AT956" t="s">
        <v>1357</v>
      </c>
      <c r="AU956" t="s">
        <v>1357</v>
      </c>
      <c r="AV956">
        <v>257</v>
      </c>
    </row>
    <row r="957" spans="1:48" x14ac:dyDescent="0.25">
      <c r="A957">
        <v>143</v>
      </c>
      <c r="B957" t="s">
        <v>3661</v>
      </c>
      <c r="C957" t="s">
        <v>627</v>
      </c>
      <c r="D957" t="s">
        <v>144</v>
      </c>
      <c r="E957" t="s">
        <v>3662</v>
      </c>
      <c r="F957" t="s">
        <v>3663</v>
      </c>
      <c r="G957" t="s">
        <v>104</v>
      </c>
      <c r="H957" s="1">
        <v>37804</v>
      </c>
      <c r="I957">
        <v>23</v>
      </c>
      <c r="J957">
        <v>2003</v>
      </c>
      <c r="K957" s="1">
        <v>45256</v>
      </c>
      <c r="L957">
        <v>2023</v>
      </c>
      <c r="M957" t="s">
        <v>111</v>
      </c>
      <c r="N957">
        <v>21</v>
      </c>
      <c r="O957" t="s">
        <v>339</v>
      </c>
      <c r="P957" t="s">
        <v>69</v>
      </c>
      <c r="Q957">
        <v>60</v>
      </c>
      <c r="R957">
        <v>7</v>
      </c>
      <c r="S957" t="s">
        <v>163</v>
      </c>
      <c r="T957" t="s">
        <v>164</v>
      </c>
      <c r="U957">
        <v>3</v>
      </c>
      <c r="V957">
        <v>3</v>
      </c>
      <c r="W957">
        <v>3</v>
      </c>
      <c r="X957">
        <v>3</v>
      </c>
      <c r="Y957">
        <v>1</v>
      </c>
      <c r="Z957">
        <v>3</v>
      </c>
      <c r="AA957">
        <v>2.3333330000000001</v>
      </c>
      <c r="AB957">
        <v>7</v>
      </c>
      <c r="AC957" t="s">
        <v>59</v>
      </c>
      <c r="AD957" t="s">
        <v>281</v>
      </c>
      <c r="AE957">
        <v>0</v>
      </c>
      <c r="AF957">
        <v>0</v>
      </c>
      <c r="AG957">
        <v>1</v>
      </c>
      <c r="AH957">
        <v>0</v>
      </c>
      <c r="AI957">
        <v>0</v>
      </c>
      <c r="AJ957">
        <v>1</v>
      </c>
      <c r="AK957">
        <v>0</v>
      </c>
      <c r="AL957">
        <v>0</v>
      </c>
      <c r="AM957">
        <v>1</v>
      </c>
      <c r="AN957">
        <v>0</v>
      </c>
      <c r="AO957">
        <v>3</v>
      </c>
      <c r="AP957">
        <v>0</v>
      </c>
      <c r="AQ957">
        <v>100</v>
      </c>
      <c r="AR957" s="2">
        <v>45798.165578703702</v>
      </c>
      <c r="AS957" s="2">
        <v>46023.002152777779</v>
      </c>
      <c r="AT957" t="s">
        <v>62</v>
      </c>
      <c r="AU957" t="s">
        <v>62</v>
      </c>
      <c r="AV957">
        <v>225</v>
      </c>
    </row>
    <row r="958" spans="1:48" x14ac:dyDescent="0.25">
      <c r="A958">
        <v>437</v>
      </c>
      <c r="B958" t="s">
        <v>3664</v>
      </c>
      <c r="C958" t="s">
        <v>290</v>
      </c>
      <c r="D958" t="s">
        <v>3665</v>
      </c>
      <c r="E958" t="s">
        <v>3666</v>
      </c>
      <c r="F958" t="s">
        <v>3667</v>
      </c>
      <c r="G958" t="s">
        <v>53</v>
      </c>
      <c r="H958" s="1">
        <v>39414</v>
      </c>
      <c r="I958">
        <v>19</v>
      </c>
      <c r="J958">
        <v>2007</v>
      </c>
      <c r="K958" s="1">
        <v>45864</v>
      </c>
      <c r="L958">
        <v>2025</v>
      </c>
      <c r="M958" t="s">
        <v>111</v>
      </c>
      <c r="N958">
        <v>7</v>
      </c>
      <c r="O958" t="s">
        <v>231</v>
      </c>
      <c r="P958" t="s">
        <v>119</v>
      </c>
      <c r="Q958">
        <v>120</v>
      </c>
      <c r="R958">
        <v>3</v>
      </c>
      <c r="S958" t="s">
        <v>126</v>
      </c>
      <c r="T958" t="s">
        <v>127</v>
      </c>
      <c r="U958">
        <v>3</v>
      </c>
      <c r="V958">
        <v>3</v>
      </c>
      <c r="W958">
        <v>3</v>
      </c>
      <c r="X958">
        <v>3</v>
      </c>
      <c r="Y958">
        <v>1</v>
      </c>
      <c r="Z958">
        <v>3</v>
      </c>
      <c r="AA958">
        <v>2.6666660000000002</v>
      </c>
      <c r="AB958">
        <v>8</v>
      </c>
      <c r="AC958" t="s">
        <v>1061</v>
      </c>
      <c r="AD958" t="s">
        <v>60</v>
      </c>
      <c r="AE958">
        <v>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</v>
      </c>
      <c r="AL958">
        <v>0</v>
      </c>
      <c r="AM958">
        <v>0</v>
      </c>
      <c r="AN958">
        <v>0</v>
      </c>
      <c r="AO958">
        <v>3</v>
      </c>
      <c r="AP958">
        <v>0</v>
      </c>
      <c r="AQ958">
        <v>100</v>
      </c>
      <c r="AR958" s="2">
        <v>45798.039212962962</v>
      </c>
      <c r="AS958" s="2">
        <v>45996.023206018515</v>
      </c>
      <c r="AT958" t="s">
        <v>62</v>
      </c>
      <c r="AU958" t="s">
        <v>62</v>
      </c>
      <c r="AV958">
        <v>198</v>
      </c>
    </row>
    <row r="959" spans="1:48" x14ac:dyDescent="0.25">
      <c r="A959">
        <v>570</v>
      </c>
      <c r="B959" t="s">
        <v>3668</v>
      </c>
      <c r="C959" t="s">
        <v>2477</v>
      </c>
      <c r="D959" t="s">
        <v>439</v>
      </c>
      <c r="E959" t="s">
        <v>3669</v>
      </c>
      <c r="F959" t="s">
        <v>3670</v>
      </c>
      <c r="G959" t="s">
        <v>53</v>
      </c>
      <c r="H959" s="1">
        <v>38509</v>
      </c>
      <c r="I959">
        <v>21</v>
      </c>
      <c r="J959">
        <v>2005</v>
      </c>
      <c r="K959" s="1">
        <v>45883</v>
      </c>
      <c r="L959">
        <v>2025</v>
      </c>
      <c r="M959" t="s">
        <v>225</v>
      </c>
      <c r="N959">
        <v>9</v>
      </c>
      <c r="O959" t="s">
        <v>151</v>
      </c>
      <c r="P959" t="s">
        <v>69</v>
      </c>
      <c r="Q959">
        <v>60</v>
      </c>
      <c r="R959">
        <v>3</v>
      </c>
      <c r="S959" t="s">
        <v>126</v>
      </c>
      <c r="T959" t="s">
        <v>127</v>
      </c>
      <c r="U959">
        <v>3</v>
      </c>
      <c r="V959">
        <v>3</v>
      </c>
      <c r="W959">
        <v>3</v>
      </c>
      <c r="X959">
        <v>3</v>
      </c>
      <c r="Y959">
        <v>1</v>
      </c>
      <c r="Z959">
        <v>3</v>
      </c>
      <c r="AA959">
        <v>2.6666660000000002</v>
      </c>
      <c r="AB959">
        <v>8</v>
      </c>
      <c r="AC959" t="s">
        <v>59</v>
      </c>
      <c r="AD959" t="s">
        <v>60</v>
      </c>
      <c r="AE959">
        <v>1</v>
      </c>
      <c r="AF959">
        <v>0</v>
      </c>
      <c r="AG959">
        <v>0</v>
      </c>
      <c r="AH959">
        <v>1</v>
      </c>
      <c r="AI959">
        <v>0</v>
      </c>
      <c r="AJ959">
        <v>0</v>
      </c>
      <c r="AK959">
        <v>0</v>
      </c>
      <c r="AL959">
        <v>0</v>
      </c>
      <c r="AM959">
        <v>1</v>
      </c>
      <c r="AN959">
        <v>0</v>
      </c>
      <c r="AO959">
        <v>3</v>
      </c>
      <c r="AP959">
        <v>0</v>
      </c>
      <c r="AQ959">
        <v>100</v>
      </c>
      <c r="AR959" s="2">
        <v>45865.047708333332</v>
      </c>
      <c r="AS959" s="2">
        <v>45969.520648148151</v>
      </c>
      <c r="AT959" t="s">
        <v>62</v>
      </c>
      <c r="AU959" t="s">
        <v>62</v>
      </c>
      <c r="AV959">
        <v>104</v>
      </c>
    </row>
    <row r="960" spans="1:48" x14ac:dyDescent="0.25">
      <c r="A960">
        <v>27</v>
      </c>
      <c r="B960" t="s">
        <v>3671</v>
      </c>
      <c r="C960" t="s">
        <v>305</v>
      </c>
      <c r="D960" t="s">
        <v>277</v>
      </c>
      <c r="E960" t="s">
        <v>3672</v>
      </c>
      <c r="F960" t="s">
        <v>3673</v>
      </c>
      <c r="G960" t="s">
        <v>53</v>
      </c>
      <c r="H960" s="1">
        <v>38042</v>
      </c>
      <c r="I960">
        <v>22</v>
      </c>
      <c r="J960">
        <v>2004</v>
      </c>
      <c r="K960" s="1">
        <v>45568</v>
      </c>
      <c r="L960">
        <v>2024</v>
      </c>
      <c r="M960" t="s">
        <v>54</v>
      </c>
      <c r="N960">
        <v>14</v>
      </c>
      <c r="O960" t="s">
        <v>105</v>
      </c>
      <c r="P960" t="s">
        <v>56</v>
      </c>
      <c r="Q960">
        <v>36</v>
      </c>
      <c r="R960">
        <v>5</v>
      </c>
      <c r="S960" t="s">
        <v>92</v>
      </c>
      <c r="T960" t="s">
        <v>93</v>
      </c>
      <c r="U960">
        <v>3</v>
      </c>
      <c r="V960">
        <v>3</v>
      </c>
      <c r="W960">
        <v>3</v>
      </c>
      <c r="X960">
        <v>3</v>
      </c>
      <c r="Y960">
        <v>1</v>
      </c>
      <c r="Z960">
        <v>3</v>
      </c>
      <c r="AA960">
        <v>2.1666660000000002</v>
      </c>
      <c r="AB960">
        <v>6.5</v>
      </c>
      <c r="AC960" t="s">
        <v>70</v>
      </c>
      <c r="AD960" t="s">
        <v>60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1</v>
      </c>
      <c r="AK960">
        <v>0</v>
      </c>
      <c r="AL960">
        <v>0</v>
      </c>
      <c r="AM960">
        <v>0</v>
      </c>
      <c r="AN960">
        <v>1</v>
      </c>
      <c r="AO960">
        <v>2</v>
      </c>
      <c r="AP960">
        <v>1</v>
      </c>
      <c r="AQ960">
        <v>66.666666666666003</v>
      </c>
      <c r="AR960" s="2">
        <v>45769.26116898148</v>
      </c>
      <c r="AS960" s="2">
        <v>46071.436435185184</v>
      </c>
      <c r="AT960" t="s">
        <v>62</v>
      </c>
      <c r="AU960" t="s">
        <v>62</v>
      </c>
      <c r="AV960">
        <v>302</v>
      </c>
    </row>
    <row r="961" spans="1:48" x14ac:dyDescent="0.25">
      <c r="A961">
        <v>836</v>
      </c>
      <c r="B961" t="s">
        <v>3674</v>
      </c>
      <c r="C961" t="s">
        <v>2209</v>
      </c>
      <c r="D961" t="s">
        <v>1881</v>
      </c>
      <c r="E961" t="s">
        <v>3675</v>
      </c>
      <c r="F961" t="s">
        <v>3676</v>
      </c>
      <c r="G961" t="s">
        <v>53</v>
      </c>
      <c r="H961" s="1">
        <v>35080</v>
      </c>
      <c r="I961">
        <v>30</v>
      </c>
      <c r="J961">
        <v>1996</v>
      </c>
      <c r="K961" s="1">
        <v>45097</v>
      </c>
      <c r="L961">
        <v>2023</v>
      </c>
      <c r="M961" t="s">
        <v>225</v>
      </c>
      <c r="N961">
        <v>10</v>
      </c>
      <c r="O961" t="s">
        <v>118</v>
      </c>
      <c r="P961" t="s">
        <v>119</v>
      </c>
      <c r="Q961">
        <v>120</v>
      </c>
      <c r="R961">
        <v>4</v>
      </c>
      <c r="S961" t="s">
        <v>77</v>
      </c>
      <c r="T961" t="s">
        <v>78</v>
      </c>
      <c r="U961">
        <v>3</v>
      </c>
      <c r="V961">
        <v>3</v>
      </c>
      <c r="W961">
        <v>3</v>
      </c>
      <c r="X961">
        <v>3</v>
      </c>
      <c r="Y961">
        <v>1</v>
      </c>
      <c r="Z961">
        <v>3</v>
      </c>
      <c r="AA961">
        <v>3.1666660000000002</v>
      </c>
      <c r="AB961">
        <v>9.5</v>
      </c>
      <c r="AC961" t="s">
        <v>540</v>
      </c>
      <c r="AD961" t="s">
        <v>60</v>
      </c>
      <c r="AE961">
        <v>1</v>
      </c>
      <c r="AF961">
        <v>0</v>
      </c>
      <c r="AG961">
        <v>0</v>
      </c>
      <c r="AH961">
        <v>1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0</v>
      </c>
      <c r="AO961">
        <v>3</v>
      </c>
      <c r="AP961">
        <v>0</v>
      </c>
      <c r="AQ961">
        <v>100</v>
      </c>
      <c r="AR961" s="2">
        <v>45875.958935185183</v>
      </c>
      <c r="AS961" s="2">
        <v>46034.095555555556</v>
      </c>
      <c r="AT961" t="s">
        <v>62</v>
      </c>
      <c r="AU961" t="s">
        <v>62</v>
      </c>
      <c r="AV961">
        <v>159</v>
      </c>
    </row>
    <row r="962" spans="1:48" x14ac:dyDescent="0.25">
      <c r="A962">
        <v>214</v>
      </c>
      <c r="B962" t="s">
        <v>3677</v>
      </c>
      <c r="C962" t="s">
        <v>479</v>
      </c>
      <c r="D962" t="s">
        <v>3678</v>
      </c>
      <c r="E962" t="s">
        <v>3679</v>
      </c>
      <c r="F962" t="s">
        <v>3680</v>
      </c>
      <c r="G962" t="s">
        <v>53</v>
      </c>
      <c r="H962" s="1">
        <v>36532</v>
      </c>
      <c r="I962">
        <v>26</v>
      </c>
      <c r="J962">
        <v>2000</v>
      </c>
      <c r="K962" s="1">
        <v>45125</v>
      </c>
      <c r="L962">
        <v>2023</v>
      </c>
      <c r="M962" t="s">
        <v>111</v>
      </c>
      <c r="N962">
        <v>15</v>
      </c>
      <c r="O962" t="s">
        <v>91</v>
      </c>
      <c r="P962" t="s">
        <v>69</v>
      </c>
      <c r="Q962">
        <v>60</v>
      </c>
      <c r="R962">
        <v>5</v>
      </c>
      <c r="S962" t="s">
        <v>92</v>
      </c>
      <c r="T962" t="s">
        <v>93</v>
      </c>
      <c r="U962">
        <v>3</v>
      </c>
      <c r="V962">
        <v>3</v>
      </c>
      <c r="W962">
        <v>3</v>
      </c>
      <c r="X962">
        <v>3</v>
      </c>
      <c r="Y962">
        <v>1</v>
      </c>
      <c r="Z962">
        <v>1</v>
      </c>
      <c r="AA962">
        <v>4</v>
      </c>
      <c r="AB962">
        <v>4</v>
      </c>
      <c r="AC962" t="s">
        <v>60</v>
      </c>
      <c r="AD962" t="s">
        <v>60</v>
      </c>
      <c r="AE962">
        <v>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</v>
      </c>
      <c r="AP962">
        <v>0</v>
      </c>
      <c r="AQ962">
        <v>100</v>
      </c>
      <c r="AR962" s="2">
        <v>45969.810868055552</v>
      </c>
      <c r="AS962" s="2">
        <v>46070.689641203702</v>
      </c>
      <c r="AT962" t="s">
        <v>1357</v>
      </c>
      <c r="AU962" t="s">
        <v>1357</v>
      </c>
      <c r="AV962">
        <v>101</v>
      </c>
    </row>
    <row r="963" spans="1:48" x14ac:dyDescent="0.25">
      <c r="A963">
        <v>643</v>
      </c>
      <c r="B963" t="s">
        <v>3681</v>
      </c>
      <c r="C963" t="s">
        <v>3260</v>
      </c>
      <c r="D963" t="s">
        <v>759</v>
      </c>
      <c r="E963" t="s">
        <v>3682</v>
      </c>
      <c r="F963">
        <v>2944101759</v>
      </c>
      <c r="G963" t="s">
        <v>53</v>
      </c>
      <c r="H963" s="1">
        <v>36288</v>
      </c>
      <c r="I963">
        <v>27</v>
      </c>
      <c r="J963">
        <v>1999</v>
      </c>
      <c r="K963" s="1">
        <v>45645</v>
      </c>
      <c r="L963">
        <v>2024</v>
      </c>
      <c r="M963" t="s">
        <v>54</v>
      </c>
      <c r="N963">
        <v>11</v>
      </c>
      <c r="O963" t="s">
        <v>378</v>
      </c>
      <c r="P963" t="s">
        <v>56</v>
      </c>
      <c r="Q963">
        <v>36</v>
      </c>
      <c r="R963">
        <v>4</v>
      </c>
      <c r="S963" t="s">
        <v>77</v>
      </c>
      <c r="T963" t="s">
        <v>78</v>
      </c>
      <c r="U963">
        <v>3</v>
      </c>
      <c r="V963">
        <v>3</v>
      </c>
      <c r="W963">
        <v>3</v>
      </c>
      <c r="X963">
        <v>3</v>
      </c>
      <c r="Y963">
        <v>1</v>
      </c>
      <c r="Z963">
        <v>2</v>
      </c>
      <c r="AA963">
        <v>3.25</v>
      </c>
      <c r="AB963">
        <v>6.5</v>
      </c>
      <c r="AC963" t="s">
        <v>540</v>
      </c>
      <c r="AD963" t="s">
        <v>60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1</v>
      </c>
      <c r="AK963">
        <v>0</v>
      </c>
      <c r="AL963">
        <v>0</v>
      </c>
      <c r="AM963">
        <v>0</v>
      </c>
      <c r="AN963">
        <v>0</v>
      </c>
      <c r="AO963">
        <v>2</v>
      </c>
      <c r="AP963">
        <v>0</v>
      </c>
      <c r="AQ963">
        <v>100</v>
      </c>
      <c r="AR963" s="2">
        <v>45729.495763888888</v>
      </c>
      <c r="AS963" s="2">
        <v>45977.343935185185</v>
      </c>
      <c r="AT963" t="s">
        <v>1357</v>
      </c>
      <c r="AU963" t="s">
        <v>1357</v>
      </c>
      <c r="AV963">
        <v>248</v>
      </c>
    </row>
    <row r="964" spans="1:48" x14ac:dyDescent="0.25">
      <c r="A964">
        <v>587</v>
      </c>
      <c r="B964" t="s">
        <v>3683</v>
      </c>
      <c r="C964" t="s">
        <v>248</v>
      </c>
      <c r="D964" t="s">
        <v>3678</v>
      </c>
      <c r="E964" t="s">
        <v>3684</v>
      </c>
      <c r="F964" t="s">
        <v>3685</v>
      </c>
      <c r="G964" t="s">
        <v>104</v>
      </c>
      <c r="H964" s="1">
        <v>35069</v>
      </c>
      <c r="I964">
        <v>30</v>
      </c>
      <c r="J964">
        <v>1996</v>
      </c>
      <c r="K964" s="1">
        <v>45125</v>
      </c>
      <c r="L964">
        <v>2023</v>
      </c>
      <c r="M964" t="s">
        <v>54</v>
      </c>
      <c r="N964">
        <v>17</v>
      </c>
      <c r="O964" t="s">
        <v>350</v>
      </c>
      <c r="P964" t="s">
        <v>56</v>
      </c>
      <c r="Q964">
        <v>36</v>
      </c>
      <c r="R964">
        <v>6</v>
      </c>
      <c r="S964" t="s">
        <v>140</v>
      </c>
      <c r="T964" t="s">
        <v>141</v>
      </c>
      <c r="U964">
        <v>3</v>
      </c>
      <c r="V964">
        <v>3</v>
      </c>
      <c r="W964">
        <v>3</v>
      </c>
      <c r="X964">
        <v>3</v>
      </c>
      <c r="Y964">
        <v>1</v>
      </c>
      <c r="Z964">
        <v>3</v>
      </c>
      <c r="AA964">
        <v>3</v>
      </c>
      <c r="AB964">
        <v>9</v>
      </c>
      <c r="AC964" t="s">
        <v>1061</v>
      </c>
      <c r="AD964" t="s">
        <v>281</v>
      </c>
      <c r="AE964">
        <v>0</v>
      </c>
      <c r="AF964">
        <v>0</v>
      </c>
      <c r="AG964">
        <v>2</v>
      </c>
      <c r="AH964">
        <v>0</v>
      </c>
      <c r="AI964">
        <v>0</v>
      </c>
      <c r="AJ964">
        <v>0</v>
      </c>
      <c r="AK964">
        <v>1</v>
      </c>
      <c r="AL964">
        <v>0</v>
      </c>
      <c r="AM964">
        <v>0</v>
      </c>
      <c r="AN964">
        <v>0</v>
      </c>
      <c r="AO964">
        <v>3</v>
      </c>
      <c r="AP964">
        <v>0</v>
      </c>
      <c r="AQ964">
        <v>100</v>
      </c>
      <c r="AR964" s="2">
        <v>45753.146319444444</v>
      </c>
      <c r="AS964" s="2">
        <v>46048.187581018516</v>
      </c>
      <c r="AT964" t="s">
        <v>62</v>
      </c>
      <c r="AU964" t="s">
        <v>62</v>
      </c>
      <c r="AV964">
        <v>295</v>
      </c>
    </row>
    <row r="965" spans="1:48" x14ac:dyDescent="0.25">
      <c r="A965">
        <v>493</v>
      </c>
      <c r="B965" t="s">
        <v>3686</v>
      </c>
      <c r="C965" t="s">
        <v>1480</v>
      </c>
      <c r="D965" t="s">
        <v>543</v>
      </c>
      <c r="E965" t="s">
        <v>3687</v>
      </c>
      <c r="F965" t="s">
        <v>3688</v>
      </c>
      <c r="G965" t="s">
        <v>104</v>
      </c>
      <c r="H965" s="1">
        <v>36620</v>
      </c>
      <c r="I965">
        <v>26</v>
      </c>
      <c r="J965">
        <v>2000</v>
      </c>
      <c r="K965" s="1">
        <v>46070</v>
      </c>
      <c r="L965">
        <v>2026</v>
      </c>
      <c r="M965" t="s">
        <v>54</v>
      </c>
      <c r="N965">
        <v>2</v>
      </c>
      <c r="O965" t="s">
        <v>55</v>
      </c>
      <c r="P965" t="s">
        <v>56</v>
      </c>
      <c r="Q965">
        <v>36</v>
      </c>
      <c r="R965">
        <v>1</v>
      </c>
      <c r="S965" t="s">
        <v>57</v>
      </c>
      <c r="T965" t="s">
        <v>58</v>
      </c>
      <c r="U965">
        <v>3</v>
      </c>
      <c r="V965">
        <v>3</v>
      </c>
      <c r="W965">
        <v>3</v>
      </c>
      <c r="X965">
        <v>3</v>
      </c>
      <c r="Y965">
        <v>1</v>
      </c>
      <c r="Z965">
        <v>3</v>
      </c>
      <c r="AA965">
        <v>1.3333330000000001</v>
      </c>
      <c r="AB965">
        <v>4</v>
      </c>
      <c r="AC965" t="s">
        <v>70</v>
      </c>
      <c r="AD965" t="s">
        <v>112</v>
      </c>
      <c r="AE965">
        <v>0</v>
      </c>
      <c r="AF965">
        <v>0</v>
      </c>
      <c r="AG965">
        <v>0</v>
      </c>
      <c r="AH965">
        <v>1</v>
      </c>
      <c r="AI965">
        <v>0</v>
      </c>
      <c r="AJ965">
        <v>0</v>
      </c>
      <c r="AK965">
        <v>0</v>
      </c>
      <c r="AL965">
        <v>0</v>
      </c>
      <c r="AM965">
        <v>1</v>
      </c>
      <c r="AN965">
        <v>1</v>
      </c>
      <c r="AO965">
        <v>2</v>
      </c>
      <c r="AP965">
        <v>1</v>
      </c>
      <c r="AQ965">
        <v>66.666666666666003</v>
      </c>
      <c r="AR965" s="2">
        <v>45863.155868055554</v>
      </c>
      <c r="AS965" s="2">
        <v>45989.109120370369</v>
      </c>
      <c r="AT965" t="s">
        <v>62</v>
      </c>
      <c r="AU965" t="s">
        <v>62</v>
      </c>
      <c r="AV965">
        <v>126</v>
      </c>
    </row>
    <row r="966" spans="1:48" x14ac:dyDescent="0.25">
      <c r="A966">
        <v>775</v>
      </c>
      <c r="B966" t="s">
        <v>1279</v>
      </c>
      <c r="C966" t="s">
        <v>1042</v>
      </c>
      <c r="D966" t="s">
        <v>889</v>
      </c>
      <c r="E966" t="s">
        <v>3689</v>
      </c>
      <c r="F966" t="s">
        <v>3690</v>
      </c>
      <c r="G966" t="s">
        <v>104</v>
      </c>
      <c r="H966" s="1">
        <v>36985</v>
      </c>
      <c r="I966">
        <v>25</v>
      </c>
      <c r="J966">
        <v>2001</v>
      </c>
      <c r="K966" s="1">
        <v>44823</v>
      </c>
      <c r="L966">
        <v>2022</v>
      </c>
      <c r="M966" t="s">
        <v>54</v>
      </c>
      <c r="N966">
        <v>3</v>
      </c>
      <c r="O966" t="s">
        <v>68</v>
      </c>
      <c r="P966" t="s">
        <v>69</v>
      </c>
      <c r="Q966">
        <v>60</v>
      </c>
      <c r="R966">
        <v>1</v>
      </c>
      <c r="S966" t="s">
        <v>57</v>
      </c>
      <c r="T966" t="s">
        <v>58</v>
      </c>
      <c r="U966">
        <v>3</v>
      </c>
      <c r="V966">
        <v>3</v>
      </c>
      <c r="W966">
        <v>3</v>
      </c>
      <c r="X966">
        <v>3</v>
      </c>
      <c r="Y966">
        <v>1</v>
      </c>
      <c r="Z966">
        <v>3</v>
      </c>
      <c r="AA966">
        <v>2.8333330000000001</v>
      </c>
      <c r="AB966">
        <v>8.5</v>
      </c>
      <c r="AC966" t="s">
        <v>59</v>
      </c>
      <c r="AD966" t="s">
        <v>60</v>
      </c>
      <c r="AE966">
        <v>1</v>
      </c>
      <c r="AF966">
        <v>0</v>
      </c>
      <c r="AG966">
        <v>1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</v>
      </c>
      <c r="AN966">
        <v>0</v>
      </c>
      <c r="AO966">
        <v>3</v>
      </c>
      <c r="AP966">
        <v>0</v>
      </c>
      <c r="AQ966">
        <v>100</v>
      </c>
      <c r="AR966" s="2">
        <v>45727.315451388888</v>
      </c>
      <c r="AS966" s="2">
        <v>45976.964155092595</v>
      </c>
      <c r="AT966" t="s">
        <v>61</v>
      </c>
      <c r="AU966" t="s">
        <v>61</v>
      </c>
      <c r="AV966">
        <v>249</v>
      </c>
    </row>
    <row r="967" spans="1:48" x14ac:dyDescent="0.25">
      <c r="A967">
        <v>398</v>
      </c>
      <c r="B967" t="s">
        <v>3691</v>
      </c>
      <c r="C967" t="s">
        <v>1661</v>
      </c>
      <c r="D967" t="s">
        <v>144</v>
      </c>
      <c r="E967" t="s">
        <v>3692</v>
      </c>
      <c r="F967" t="s">
        <v>3693</v>
      </c>
      <c r="G967" t="s">
        <v>104</v>
      </c>
      <c r="H967" s="1">
        <v>37902</v>
      </c>
      <c r="I967">
        <v>23</v>
      </c>
      <c r="J967">
        <v>2003</v>
      </c>
      <c r="K967" s="1">
        <v>45384</v>
      </c>
      <c r="L967">
        <v>2024</v>
      </c>
      <c r="M967" t="s">
        <v>54</v>
      </c>
      <c r="N967">
        <v>4</v>
      </c>
      <c r="O967" t="s">
        <v>215</v>
      </c>
      <c r="P967" t="s">
        <v>119</v>
      </c>
      <c r="Q967">
        <v>120</v>
      </c>
      <c r="R967">
        <v>2</v>
      </c>
      <c r="S967" t="s">
        <v>85</v>
      </c>
      <c r="T967" t="s">
        <v>86</v>
      </c>
      <c r="U967">
        <v>3</v>
      </c>
      <c r="V967">
        <v>3</v>
      </c>
      <c r="W967">
        <v>3</v>
      </c>
      <c r="X967">
        <v>3</v>
      </c>
      <c r="Y967">
        <v>1</v>
      </c>
      <c r="Z967">
        <v>3</v>
      </c>
      <c r="AA967">
        <v>3.1666660000000002</v>
      </c>
      <c r="AB967">
        <v>9.5</v>
      </c>
      <c r="AC967" t="s">
        <v>281</v>
      </c>
      <c r="AD967" t="s">
        <v>112</v>
      </c>
      <c r="AE967">
        <v>0</v>
      </c>
      <c r="AF967">
        <v>0</v>
      </c>
      <c r="AG967">
        <v>1</v>
      </c>
      <c r="AH967">
        <v>2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3</v>
      </c>
      <c r="AP967">
        <v>0</v>
      </c>
      <c r="AQ967">
        <v>100</v>
      </c>
      <c r="AR967" s="2">
        <v>45721.566990740743</v>
      </c>
      <c r="AS967" s="2">
        <v>46041.778402777774</v>
      </c>
      <c r="AT967" t="s">
        <v>62</v>
      </c>
      <c r="AU967" t="s">
        <v>62</v>
      </c>
      <c r="AV967">
        <v>320</v>
      </c>
    </row>
    <row r="968" spans="1:48" x14ac:dyDescent="0.25">
      <c r="A968">
        <v>945</v>
      </c>
      <c r="B968" t="s">
        <v>3694</v>
      </c>
      <c r="C968" t="s">
        <v>1131</v>
      </c>
      <c r="D968" t="s">
        <v>611</v>
      </c>
      <c r="E968" t="s">
        <v>3695</v>
      </c>
      <c r="F968" t="s">
        <v>3696</v>
      </c>
      <c r="G968" t="s">
        <v>53</v>
      </c>
      <c r="H968" s="1">
        <v>35207</v>
      </c>
      <c r="I968">
        <v>30</v>
      </c>
      <c r="J968">
        <v>1996</v>
      </c>
      <c r="K968" s="1">
        <v>44990</v>
      </c>
      <c r="L968">
        <v>2023</v>
      </c>
      <c r="M968" t="s">
        <v>54</v>
      </c>
      <c r="N968">
        <v>4</v>
      </c>
      <c r="O968" t="s">
        <v>215</v>
      </c>
      <c r="P968" t="s">
        <v>119</v>
      </c>
      <c r="Q968">
        <v>120</v>
      </c>
      <c r="R968">
        <v>2</v>
      </c>
      <c r="S968" t="s">
        <v>85</v>
      </c>
      <c r="T968" t="s">
        <v>86</v>
      </c>
      <c r="U968">
        <v>3</v>
      </c>
      <c r="V968">
        <v>3</v>
      </c>
      <c r="W968">
        <v>3</v>
      </c>
      <c r="X968">
        <v>3</v>
      </c>
      <c r="Y968">
        <v>1</v>
      </c>
      <c r="Z968">
        <v>3</v>
      </c>
      <c r="AA968">
        <v>2.5</v>
      </c>
      <c r="AB968">
        <v>7.5</v>
      </c>
      <c r="AC968" t="s">
        <v>540</v>
      </c>
      <c r="AD968" t="s">
        <v>112</v>
      </c>
      <c r="AE968">
        <v>0</v>
      </c>
      <c r="AF968">
        <v>0</v>
      </c>
      <c r="AG968">
        <v>0</v>
      </c>
      <c r="AH968">
        <v>1</v>
      </c>
      <c r="AI968">
        <v>0</v>
      </c>
      <c r="AJ968">
        <v>1</v>
      </c>
      <c r="AK968">
        <v>1</v>
      </c>
      <c r="AL968">
        <v>0</v>
      </c>
      <c r="AM968">
        <v>0</v>
      </c>
      <c r="AN968">
        <v>0</v>
      </c>
      <c r="AO968">
        <v>3</v>
      </c>
      <c r="AP968">
        <v>0</v>
      </c>
      <c r="AQ968">
        <v>100</v>
      </c>
      <c r="AR968" s="2">
        <v>45784.95957175926</v>
      </c>
      <c r="AS968" s="2">
        <v>46050.432523148149</v>
      </c>
      <c r="AT968" t="s">
        <v>61</v>
      </c>
      <c r="AU968" t="s">
        <v>61</v>
      </c>
      <c r="AV968">
        <v>266</v>
      </c>
    </row>
    <row r="969" spans="1:48" x14ac:dyDescent="0.25">
      <c r="A969">
        <v>365</v>
      </c>
      <c r="B969" t="s">
        <v>3697</v>
      </c>
      <c r="C969" t="s">
        <v>2037</v>
      </c>
      <c r="D969" t="s">
        <v>850</v>
      </c>
      <c r="E969" t="s">
        <v>3698</v>
      </c>
      <c r="F969" t="s">
        <v>3699</v>
      </c>
      <c r="G969" t="s">
        <v>53</v>
      </c>
      <c r="H969" s="1">
        <v>35290</v>
      </c>
      <c r="I969">
        <v>30</v>
      </c>
      <c r="J969">
        <v>1996</v>
      </c>
      <c r="K969" s="1">
        <v>45305</v>
      </c>
      <c r="L969">
        <v>2024</v>
      </c>
      <c r="M969" t="s">
        <v>54</v>
      </c>
      <c r="N969">
        <v>20</v>
      </c>
      <c r="O969" t="s">
        <v>180</v>
      </c>
      <c r="P969" t="s">
        <v>56</v>
      </c>
      <c r="Q969">
        <v>36</v>
      </c>
      <c r="R969">
        <v>7</v>
      </c>
      <c r="S969" t="s">
        <v>163</v>
      </c>
      <c r="T969" t="s">
        <v>164</v>
      </c>
      <c r="U969">
        <v>3</v>
      </c>
      <c r="V969">
        <v>3</v>
      </c>
      <c r="W969">
        <v>3</v>
      </c>
      <c r="X969">
        <v>3</v>
      </c>
      <c r="Y969">
        <v>1</v>
      </c>
      <c r="Z969">
        <v>3</v>
      </c>
      <c r="AA969">
        <v>3</v>
      </c>
      <c r="AB969">
        <v>9</v>
      </c>
      <c r="AC969" t="s">
        <v>540</v>
      </c>
      <c r="AD969" t="s">
        <v>112</v>
      </c>
      <c r="AE969">
        <v>0</v>
      </c>
      <c r="AF969">
        <v>0</v>
      </c>
      <c r="AG969">
        <v>1</v>
      </c>
      <c r="AH969">
        <v>1</v>
      </c>
      <c r="AI969">
        <v>0</v>
      </c>
      <c r="AJ969">
        <v>1</v>
      </c>
      <c r="AK969">
        <v>0</v>
      </c>
      <c r="AL969">
        <v>0</v>
      </c>
      <c r="AM969">
        <v>0</v>
      </c>
      <c r="AN969">
        <v>0</v>
      </c>
      <c r="AO969">
        <v>3</v>
      </c>
      <c r="AP969">
        <v>0</v>
      </c>
      <c r="AQ969">
        <v>100</v>
      </c>
      <c r="AR969" s="2">
        <v>45778.723090277781</v>
      </c>
      <c r="AS969" s="2">
        <v>46032.18414351852</v>
      </c>
      <c r="AT969" t="s">
        <v>61</v>
      </c>
      <c r="AU969" t="s">
        <v>61</v>
      </c>
      <c r="AV969">
        <v>254</v>
      </c>
    </row>
    <row r="970" spans="1:48" x14ac:dyDescent="0.25">
      <c r="A970">
        <v>951</v>
      </c>
      <c r="B970" t="s">
        <v>3700</v>
      </c>
      <c r="C970" t="s">
        <v>3701</v>
      </c>
      <c r="D970" t="s">
        <v>2642</v>
      </c>
      <c r="E970" t="s">
        <v>3702</v>
      </c>
      <c r="F970" t="s">
        <v>3703</v>
      </c>
      <c r="G970" t="s">
        <v>104</v>
      </c>
      <c r="H970" s="1">
        <v>38546</v>
      </c>
      <c r="I970">
        <v>21</v>
      </c>
      <c r="J970">
        <v>2005</v>
      </c>
      <c r="K970" s="1">
        <v>44810</v>
      </c>
      <c r="L970">
        <v>2022</v>
      </c>
      <c r="M970" t="s">
        <v>54</v>
      </c>
      <c r="N970">
        <v>18</v>
      </c>
      <c r="O970" t="s">
        <v>139</v>
      </c>
      <c r="P970" t="s">
        <v>69</v>
      </c>
      <c r="Q970">
        <v>60</v>
      </c>
      <c r="R970">
        <v>6</v>
      </c>
      <c r="S970" t="s">
        <v>140</v>
      </c>
      <c r="T970" t="s">
        <v>141</v>
      </c>
      <c r="U970">
        <v>3</v>
      </c>
      <c r="V970">
        <v>3</v>
      </c>
      <c r="W970">
        <v>3</v>
      </c>
      <c r="X970">
        <v>2</v>
      </c>
      <c r="Y970">
        <v>1</v>
      </c>
      <c r="Z970">
        <v>3</v>
      </c>
      <c r="AA970">
        <v>2.6666660000000002</v>
      </c>
      <c r="AB970">
        <v>8</v>
      </c>
      <c r="AC970" t="s">
        <v>540</v>
      </c>
      <c r="AD970" t="s">
        <v>112</v>
      </c>
      <c r="AE970">
        <v>0</v>
      </c>
      <c r="AF970">
        <v>0</v>
      </c>
      <c r="AG970">
        <v>0</v>
      </c>
      <c r="AH970">
        <v>1</v>
      </c>
      <c r="AI970">
        <v>0</v>
      </c>
      <c r="AJ970">
        <v>2</v>
      </c>
      <c r="AK970">
        <v>0</v>
      </c>
      <c r="AL970">
        <v>0</v>
      </c>
      <c r="AM970">
        <v>0</v>
      </c>
      <c r="AN970">
        <v>0</v>
      </c>
      <c r="AO970">
        <v>3</v>
      </c>
      <c r="AP970">
        <v>0</v>
      </c>
      <c r="AQ970">
        <v>100</v>
      </c>
      <c r="AR970" s="2">
        <v>45769.222488425927</v>
      </c>
      <c r="AS970" s="2">
        <v>45870.119652777779</v>
      </c>
      <c r="AT970" t="s">
        <v>61</v>
      </c>
      <c r="AU970" t="s">
        <v>61</v>
      </c>
      <c r="AV970">
        <v>101</v>
      </c>
    </row>
    <row r="971" spans="1:48" x14ac:dyDescent="0.25">
      <c r="A971">
        <v>572</v>
      </c>
      <c r="B971" t="s">
        <v>3704</v>
      </c>
      <c r="C971" t="s">
        <v>2269</v>
      </c>
      <c r="D971" t="s">
        <v>3705</v>
      </c>
      <c r="E971" t="s">
        <v>3706</v>
      </c>
      <c r="F971" t="s">
        <v>3707</v>
      </c>
      <c r="G971" t="s">
        <v>53</v>
      </c>
      <c r="H971" s="1">
        <v>37291</v>
      </c>
      <c r="I971">
        <v>24</v>
      </c>
      <c r="J971">
        <v>2002</v>
      </c>
      <c r="K971" s="1">
        <v>45825</v>
      </c>
      <c r="L971">
        <v>2025</v>
      </c>
      <c r="M971" t="s">
        <v>54</v>
      </c>
      <c r="N971">
        <v>15</v>
      </c>
      <c r="O971" t="s">
        <v>91</v>
      </c>
      <c r="P971" t="s">
        <v>69</v>
      </c>
      <c r="Q971">
        <v>60</v>
      </c>
      <c r="R971">
        <v>5</v>
      </c>
      <c r="S971" t="s">
        <v>92</v>
      </c>
      <c r="T971" t="s">
        <v>93</v>
      </c>
      <c r="U971">
        <v>3</v>
      </c>
      <c r="V971">
        <v>3</v>
      </c>
      <c r="W971">
        <v>3</v>
      </c>
      <c r="X971">
        <v>3</v>
      </c>
      <c r="Y971">
        <v>1</v>
      </c>
      <c r="Z971">
        <v>3</v>
      </c>
      <c r="AA971">
        <v>1.8333330000000001</v>
      </c>
      <c r="AB971">
        <v>5.5</v>
      </c>
      <c r="AC971" t="s">
        <v>59</v>
      </c>
      <c r="AD971" t="s">
        <v>1061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1</v>
      </c>
      <c r="AK971">
        <v>1</v>
      </c>
      <c r="AL971">
        <v>0</v>
      </c>
      <c r="AM971">
        <v>1</v>
      </c>
      <c r="AN971">
        <v>0</v>
      </c>
      <c r="AO971">
        <v>3</v>
      </c>
      <c r="AP971">
        <v>0</v>
      </c>
      <c r="AQ971">
        <v>100</v>
      </c>
      <c r="AR971" s="2">
        <v>45730.644872685189</v>
      </c>
      <c r="AS971" s="2">
        <v>46026.067256944443</v>
      </c>
      <c r="AT971" t="s">
        <v>62</v>
      </c>
      <c r="AU971" t="s">
        <v>62</v>
      </c>
      <c r="AV971">
        <v>296</v>
      </c>
    </row>
    <row r="972" spans="1:48" x14ac:dyDescent="0.25">
      <c r="A972">
        <v>785</v>
      </c>
      <c r="B972" t="s">
        <v>3708</v>
      </c>
      <c r="C972" t="s">
        <v>3709</v>
      </c>
      <c r="D972" t="s">
        <v>228</v>
      </c>
      <c r="E972" t="s">
        <v>3710</v>
      </c>
      <c r="F972" t="s">
        <v>3711</v>
      </c>
      <c r="G972" t="s">
        <v>53</v>
      </c>
      <c r="H972" s="1">
        <v>38355</v>
      </c>
      <c r="I972">
        <v>21</v>
      </c>
      <c r="J972">
        <v>2005</v>
      </c>
      <c r="K972" s="1">
        <v>44920</v>
      </c>
      <c r="L972">
        <v>2022</v>
      </c>
      <c r="M972" t="s">
        <v>54</v>
      </c>
      <c r="N972">
        <v>21</v>
      </c>
      <c r="O972" t="s">
        <v>339</v>
      </c>
      <c r="P972" t="s">
        <v>69</v>
      </c>
      <c r="Q972">
        <v>60</v>
      </c>
      <c r="R972">
        <v>7</v>
      </c>
      <c r="S972" t="s">
        <v>163</v>
      </c>
      <c r="T972" t="s">
        <v>164</v>
      </c>
      <c r="U972">
        <v>3</v>
      </c>
      <c r="V972">
        <v>3</v>
      </c>
      <c r="W972">
        <v>3</v>
      </c>
      <c r="X972">
        <v>3</v>
      </c>
      <c r="Y972">
        <v>1</v>
      </c>
      <c r="Z972">
        <v>2</v>
      </c>
      <c r="AA972">
        <v>2.5</v>
      </c>
      <c r="AB972">
        <v>5</v>
      </c>
      <c r="AC972" t="s">
        <v>1061</v>
      </c>
      <c r="AD972" t="s">
        <v>112</v>
      </c>
      <c r="AE972">
        <v>0</v>
      </c>
      <c r="AF972">
        <v>0</v>
      </c>
      <c r="AG972">
        <v>0</v>
      </c>
      <c r="AH972">
        <v>1</v>
      </c>
      <c r="AI972">
        <v>0</v>
      </c>
      <c r="AJ972">
        <v>0</v>
      </c>
      <c r="AK972">
        <v>1</v>
      </c>
      <c r="AL972">
        <v>0</v>
      </c>
      <c r="AM972">
        <v>0</v>
      </c>
      <c r="AN972">
        <v>0</v>
      </c>
      <c r="AO972">
        <v>2</v>
      </c>
      <c r="AP972">
        <v>0</v>
      </c>
      <c r="AQ972">
        <v>100</v>
      </c>
      <c r="AR972" s="2">
        <v>45839.148310185185</v>
      </c>
      <c r="AS972" s="2">
        <v>46067.258310185185</v>
      </c>
      <c r="AT972" t="s">
        <v>1357</v>
      </c>
      <c r="AU972" t="s">
        <v>1357</v>
      </c>
      <c r="AV972">
        <v>228</v>
      </c>
    </row>
    <row r="973" spans="1:48" x14ac:dyDescent="0.25">
      <c r="A973">
        <v>942</v>
      </c>
      <c r="B973" t="s">
        <v>3712</v>
      </c>
      <c r="C973" t="s">
        <v>708</v>
      </c>
      <c r="D973" t="s">
        <v>1805</v>
      </c>
      <c r="E973" t="s">
        <v>3713</v>
      </c>
      <c r="F973" t="s">
        <v>3714</v>
      </c>
      <c r="G973" t="s">
        <v>53</v>
      </c>
      <c r="H973" s="1">
        <v>35219</v>
      </c>
      <c r="I973">
        <v>30</v>
      </c>
      <c r="J973">
        <v>1996</v>
      </c>
      <c r="K973" s="1">
        <v>45314</v>
      </c>
      <c r="L973">
        <v>2024</v>
      </c>
      <c r="M973" t="s">
        <v>111</v>
      </c>
      <c r="N973">
        <v>15</v>
      </c>
      <c r="O973" t="s">
        <v>91</v>
      </c>
      <c r="P973" t="s">
        <v>69</v>
      </c>
      <c r="Q973">
        <v>60</v>
      </c>
      <c r="R973">
        <v>5</v>
      </c>
      <c r="S973" t="s">
        <v>92</v>
      </c>
      <c r="T973" t="s">
        <v>93</v>
      </c>
      <c r="U973">
        <v>3</v>
      </c>
      <c r="V973">
        <v>3</v>
      </c>
      <c r="W973">
        <v>3</v>
      </c>
      <c r="X973">
        <v>3</v>
      </c>
      <c r="Y973">
        <v>1</v>
      </c>
      <c r="Z973">
        <v>3</v>
      </c>
      <c r="AA973">
        <v>2.8333330000000001</v>
      </c>
      <c r="AB973">
        <v>8.5</v>
      </c>
      <c r="AC973" t="s">
        <v>59</v>
      </c>
      <c r="AD973" t="s">
        <v>60</v>
      </c>
      <c r="AE973">
        <v>1</v>
      </c>
      <c r="AF973">
        <v>0</v>
      </c>
      <c r="AG973">
        <v>1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1</v>
      </c>
      <c r="AN973">
        <v>0</v>
      </c>
      <c r="AO973">
        <v>3</v>
      </c>
      <c r="AP973">
        <v>0</v>
      </c>
      <c r="AQ973">
        <v>100</v>
      </c>
      <c r="AR973" s="2">
        <v>45829.391770833332</v>
      </c>
      <c r="AS973" s="2">
        <v>46031.412789351853</v>
      </c>
      <c r="AT973" t="s">
        <v>61</v>
      </c>
      <c r="AU973" t="s">
        <v>61</v>
      </c>
      <c r="AV973">
        <v>202</v>
      </c>
    </row>
    <row r="974" spans="1:48" x14ac:dyDescent="0.25">
      <c r="A974">
        <v>409</v>
      </c>
      <c r="B974" t="s">
        <v>3715</v>
      </c>
      <c r="C974" t="s">
        <v>153</v>
      </c>
      <c r="D974" t="s">
        <v>3716</v>
      </c>
      <c r="E974" t="s">
        <v>3717</v>
      </c>
      <c r="F974" t="s">
        <v>3718</v>
      </c>
      <c r="G974" t="s">
        <v>104</v>
      </c>
      <c r="H974" s="1">
        <v>37822</v>
      </c>
      <c r="I974">
        <v>23</v>
      </c>
      <c r="J974">
        <v>2003</v>
      </c>
      <c r="K974" s="1">
        <v>44686</v>
      </c>
      <c r="L974">
        <v>2022</v>
      </c>
      <c r="M974" t="s">
        <v>54</v>
      </c>
      <c r="N974">
        <v>2</v>
      </c>
      <c r="O974" t="s">
        <v>55</v>
      </c>
      <c r="P974" t="s">
        <v>56</v>
      </c>
      <c r="Q974">
        <v>36</v>
      </c>
      <c r="R974">
        <v>1</v>
      </c>
      <c r="S974" t="s">
        <v>57</v>
      </c>
      <c r="T974" t="s">
        <v>58</v>
      </c>
      <c r="U974">
        <v>3</v>
      </c>
      <c r="V974">
        <v>3</v>
      </c>
      <c r="W974">
        <v>3</v>
      </c>
      <c r="X974">
        <v>3</v>
      </c>
      <c r="Y974">
        <v>1</v>
      </c>
      <c r="Z974">
        <v>3</v>
      </c>
      <c r="AA974">
        <v>2.8333330000000001</v>
      </c>
      <c r="AB974">
        <v>8.5</v>
      </c>
      <c r="AC974" t="s">
        <v>1061</v>
      </c>
      <c r="AD974" t="s">
        <v>112</v>
      </c>
      <c r="AE974">
        <v>0</v>
      </c>
      <c r="AF974">
        <v>0</v>
      </c>
      <c r="AG974">
        <v>1</v>
      </c>
      <c r="AH974">
        <v>1</v>
      </c>
      <c r="AI974">
        <v>0</v>
      </c>
      <c r="AJ974">
        <v>0</v>
      </c>
      <c r="AK974">
        <v>1</v>
      </c>
      <c r="AL974">
        <v>0</v>
      </c>
      <c r="AM974">
        <v>0</v>
      </c>
      <c r="AN974">
        <v>0</v>
      </c>
      <c r="AO974">
        <v>3</v>
      </c>
      <c r="AP974">
        <v>0</v>
      </c>
      <c r="AQ974">
        <v>100</v>
      </c>
      <c r="AR974" s="2">
        <v>45863.372465277775</v>
      </c>
      <c r="AS974" s="2">
        <v>45971.460370370369</v>
      </c>
      <c r="AT974" t="s">
        <v>61</v>
      </c>
      <c r="AU974" t="s">
        <v>61</v>
      </c>
      <c r="AV974">
        <v>108</v>
      </c>
    </row>
    <row r="975" spans="1:48" x14ac:dyDescent="0.25">
      <c r="A975">
        <v>355</v>
      </c>
      <c r="B975" t="s">
        <v>3719</v>
      </c>
      <c r="C975" t="s">
        <v>3720</v>
      </c>
      <c r="D975" t="s">
        <v>615</v>
      </c>
      <c r="E975" t="s">
        <v>3721</v>
      </c>
      <c r="F975" t="s">
        <v>3722</v>
      </c>
      <c r="G975" t="s">
        <v>104</v>
      </c>
      <c r="H975" s="1">
        <v>34938</v>
      </c>
      <c r="I975">
        <v>31</v>
      </c>
      <c r="J975">
        <v>1995</v>
      </c>
      <c r="K975" s="1">
        <v>44706</v>
      </c>
      <c r="L975">
        <v>2022</v>
      </c>
      <c r="M975" t="s">
        <v>54</v>
      </c>
      <c r="N975">
        <v>15</v>
      </c>
      <c r="O975" t="s">
        <v>91</v>
      </c>
      <c r="P975" t="s">
        <v>69</v>
      </c>
      <c r="Q975">
        <v>60</v>
      </c>
      <c r="R975">
        <v>5</v>
      </c>
      <c r="S975" t="s">
        <v>92</v>
      </c>
      <c r="T975" t="s">
        <v>93</v>
      </c>
      <c r="U975">
        <v>3</v>
      </c>
      <c r="V975">
        <v>3</v>
      </c>
      <c r="W975">
        <v>3</v>
      </c>
      <c r="X975">
        <v>3</v>
      </c>
      <c r="Y975">
        <v>1</v>
      </c>
      <c r="Z975">
        <v>3</v>
      </c>
      <c r="AA975">
        <v>2</v>
      </c>
      <c r="AB975">
        <v>6</v>
      </c>
      <c r="AC975" t="s">
        <v>70</v>
      </c>
      <c r="AD975" t="s">
        <v>60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1</v>
      </c>
      <c r="AL975">
        <v>0</v>
      </c>
      <c r="AM975">
        <v>0</v>
      </c>
      <c r="AN975">
        <v>1</v>
      </c>
      <c r="AO975">
        <v>2</v>
      </c>
      <c r="AP975">
        <v>1</v>
      </c>
      <c r="AQ975">
        <v>66.666666666666003</v>
      </c>
      <c r="AR975" s="2">
        <v>45866.46361111111</v>
      </c>
      <c r="AS975" s="2">
        <v>46051.46234953704</v>
      </c>
      <c r="AT975" t="s">
        <v>62</v>
      </c>
      <c r="AU975" t="s">
        <v>62</v>
      </c>
      <c r="AV975">
        <v>185</v>
      </c>
    </row>
    <row r="976" spans="1:48" x14ac:dyDescent="0.25">
      <c r="A976">
        <v>64</v>
      </c>
      <c r="B976" t="s">
        <v>3723</v>
      </c>
      <c r="C976" t="s">
        <v>824</v>
      </c>
      <c r="D976" t="s">
        <v>311</v>
      </c>
      <c r="E976" t="s">
        <v>3724</v>
      </c>
      <c r="F976" t="s">
        <v>3725</v>
      </c>
      <c r="G976" t="s">
        <v>104</v>
      </c>
      <c r="H976" s="1">
        <v>36060</v>
      </c>
      <c r="I976">
        <v>28</v>
      </c>
      <c r="J976">
        <v>1998</v>
      </c>
      <c r="K976" s="1">
        <v>45727</v>
      </c>
      <c r="L976">
        <v>2025</v>
      </c>
      <c r="M976" t="s">
        <v>54</v>
      </c>
      <c r="N976">
        <v>8</v>
      </c>
      <c r="O976" t="s">
        <v>125</v>
      </c>
      <c r="P976" t="s">
        <v>56</v>
      </c>
      <c r="Q976">
        <v>36</v>
      </c>
      <c r="R976">
        <v>3</v>
      </c>
      <c r="S976" t="s">
        <v>126</v>
      </c>
      <c r="T976" t="s">
        <v>127</v>
      </c>
      <c r="U976">
        <v>3</v>
      </c>
      <c r="V976">
        <v>3</v>
      </c>
      <c r="W976">
        <v>3</v>
      </c>
      <c r="X976">
        <v>3</v>
      </c>
      <c r="Y976">
        <v>1</v>
      </c>
      <c r="Z976">
        <v>1</v>
      </c>
      <c r="AA976">
        <v>3</v>
      </c>
      <c r="AB976">
        <v>3</v>
      </c>
      <c r="AC976" t="s">
        <v>112</v>
      </c>
      <c r="AD976" t="s">
        <v>112</v>
      </c>
      <c r="AE976">
        <v>0</v>
      </c>
      <c r="AF976">
        <v>0</v>
      </c>
      <c r="AG976">
        <v>0</v>
      </c>
      <c r="AH976">
        <v>1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</v>
      </c>
      <c r="AP976">
        <v>0</v>
      </c>
      <c r="AQ976">
        <v>100</v>
      </c>
      <c r="AR976" s="2">
        <v>45729.542233796295</v>
      </c>
      <c r="AS976" s="2">
        <v>45804.716249999998</v>
      </c>
      <c r="AT976" t="s">
        <v>1357</v>
      </c>
      <c r="AU976" t="s">
        <v>1357</v>
      </c>
      <c r="AV976">
        <v>75</v>
      </c>
    </row>
    <row r="977" spans="1:48" x14ac:dyDescent="0.25">
      <c r="A977">
        <v>908</v>
      </c>
      <c r="B977" t="s">
        <v>3726</v>
      </c>
      <c r="C977" t="s">
        <v>733</v>
      </c>
      <c r="D977" t="s">
        <v>253</v>
      </c>
      <c r="E977" t="s">
        <v>3727</v>
      </c>
      <c r="F977" t="s">
        <v>3728</v>
      </c>
      <c r="G977" t="s">
        <v>53</v>
      </c>
      <c r="H977" s="1">
        <v>37662</v>
      </c>
      <c r="I977">
        <v>23</v>
      </c>
      <c r="J977">
        <v>2003</v>
      </c>
      <c r="K977" s="1">
        <v>44865</v>
      </c>
      <c r="L977">
        <v>2022</v>
      </c>
      <c r="M977" t="s">
        <v>54</v>
      </c>
      <c r="N977">
        <v>12</v>
      </c>
      <c r="O977" t="s">
        <v>76</v>
      </c>
      <c r="P977" t="s">
        <v>69</v>
      </c>
      <c r="Q977">
        <v>60</v>
      </c>
      <c r="R977">
        <v>4</v>
      </c>
      <c r="S977" t="s">
        <v>77</v>
      </c>
      <c r="T977" t="s">
        <v>78</v>
      </c>
      <c r="U977">
        <v>3</v>
      </c>
      <c r="V977">
        <v>3</v>
      </c>
      <c r="W977">
        <v>3</v>
      </c>
      <c r="X977">
        <v>3</v>
      </c>
      <c r="Y977">
        <v>1</v>
      </c>
      <c r="Z977">
        <v>3</v>
      </c>
      <c r="AA977">
        <v>2.1666660000000002</v>
      </c>
      <c r="AB977">
        <v>6.5</v>
      </c>
      <c r="AC977" t="s">
        <v>70</v>
      </c>
      <c r="AD977" t="s">
        <v>112</v>
      </c>
      <c r="AE977">
        <v>0</v>
      </c>
      <c r="AF977">
        <v>0</v>
      </c>
      <c r="AG977">
        <v>1</v>
      </c>
      <c r="AH977">
        <v>1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1</v>
      </c>
      <c r="AO977">
        <v>2</v>
      </c>
      <c r="AP977">
        <v>1</v>
      </c>
      <c r="AQ977">
        <v>66.666666666666003</v>
      </c>
      <c r="AR977" s="2">
        <v>45752.928553240738</v>
      </c>
      <c r="AS977" s="2">
        <v>45977.726354166669</v>
      </c>
      <c r="AT977" t="s">
        <v>62</v>
      </c>
      <c r="AU977" t="s">
        <v>62</v>
      </c>
      <c r="AV977">
        <v>225</v>
      </c>
    </row>
    <row r="978" spans="1:48" x14ac:dyDescent="0.25">
      <c r="A978">
        <v>352</v>
      </c>
      <c r="B978" t="s">
        <v>3729</v>
      </c>
      <c r="C978" t="s">
        <v>970</v>
      </c>
      <c r="D978" t="s">
        <v>1450</v>
      </c>
      <c r="E978" t="s">
        <v>3730</v>
      </c>
      <c r="F978" t="s">
        <v>3731</v>
      </c>
      <c r="G978" t="s">
        <v>53</v>
      </c>
      <c r="H978" s="1">
        <v>36588</v>
      </c>
      <c r="I978">
        <v>26</v>
      </c>
      <c r="J978">
        <v>2000</v>
      </c>
      <c r="K978" s="1">
        <v>45632</v>
      </c>
      <c r="L978">
        <v>2024</v>
      </c>
      <c r="M978" t="s">
        <v>54</v>
      </c>
      <c r="N978">
        <v>17</v>
      </c>
      <c r="O978" t="s">
        <v>350</v>
      </c>
      <c r="P978" t="s">
        <v>56</v>
      </c>
      <c r="Q978">
        <v>36</v>
      </c>
      <c r="R978">
        <v>6</v>
      </c>
      <c r="S978" t="s">
        <v>140</v>
      </c>
      <c r="T978" t="s">
        <v>141</v>
      </c>
      <c r="U978">
        <v>3</v>
      </c>
      <c r="V978">
        <v>3</v>
      </c>
      <c r="W978">
        <v>3</v>
      </c>
      <c r="X978">
        <v>3</v>
      </c>
      <c r="Y978">
        <v>1</v>
      </c>
      <c r="Z978">
        <v>3</v>
      </c>
      <c r="AA978">
        <v>2.8333330000000001</v>
      </c>
      <c r="AB978">
        <v>8.5</v>
      </c>
      <c r="AC978" t="s">
        <v>59</v>
      </c>
      <c r="AD978" t="s">
        <v>60</v>
      </c>
      <c r="AE978">
        <v>1</v>
      </c>
      <c r="AF978">
        <v>0</v>
      </c>
      <c r="AG978">
        <v>1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1</v>
      </c>
      <c r="AN978">
        <v>0</v>
      </c>
      <c r="AO978">
        <v>3</v>
      </c>
      <c r="AP978">
        <v>0</v>
      </c>
      <c r="AQ978">
        <v>100</v>
      </c>
      <c r="AR978" s="2">
        <v>45842.114039351851</v>
      </c>
      <c r="AS978" s="2">
        <v>45933.247615740744</v>
      </c>
      <c r="AT978" t="s">
        <v>61</v>
      </c>
      <c r="AU978" t="s">
        <v>61</v>
      </c>
      <c r="AV978">
        <v>91</v>
      </c>
    </row>
    <row r="979" spans="1:48" x14ac:dyDescent="0.25">
      <c r="A979">
        <v>202</v>
      </c>
      <c r="B979" t="s">
        <v>3732</v>
      </c>
      <c r="C979" t="s">
        <v>64</v>
      </c>
      <c r="D979" t="s">
        <v>3733</v>
      </c>
      <c r="E979" t="s">
        <v>3734</v>
      </c>
      <c r="F979" t="s">
        <v>3735</v>
      </c>
      <c r="G979" t="s">
        <v>53</v>
      </c>
      <c r="H979" s="1">
        <v>38213</v>
      </c>
      <c r="I979">
        <v>22</v>
      </c>
      <c r="J979">
        <v>2004</v>
      </c>
      <c r="K979" s="1">
        <v>44949</v>
      </c>
      <c r="L979">
        <v>2023</v>
      </c>
      <c r="M979" t="s">
        <v>54</v>
      </c>
      <c r="N979">
        <v>8</v>
      </c>
      <c r="O979" t="s">
        <v>125</v>
      </c>
      <c r="P979" t="s">
        <v>56</v>
      </c>
      <c r="Q979">
        <v>36</v>
      </c>
      <c r="R979">
        <v>3</v>
      </c>
      <c r="S979" t="s">
        <v>126</v>
      </c>
      <c r="T979" t="s">
        <v>127</v>
      </c>
      <c r="U979">
        <v>3</v>
      </c>
      <c r="V979">
        <v>3</v>
      </c>
      <c r="W979">
        <v>3</v>
      </c>
      <c r="X979">
        <v>3</v>
      </c>
      <c r="Y979">
        <v>1</v>
      </c>
      <c r="Z979">
        <v>1</v>
      </c>
      <c r="AA979">
        <v>0</v>
      </c>
      <c r="AB979">
        <v>0</v>
      </c>
      <c r="AC979" t="s">
        <v>70</v>
      </c>
      <c r="AD979" t="s">
        <v>70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0</v>
      </c>
      <c r="AP979">
        <v>1</v>
      </c>
      <c r="AQ979">
        <v>0</v>
      </c>
      <c r="AR979" s="2">
        <v>45751.570810185185</v>
      </c>
      <c r="AS979" s="2">
        <v>45881.24722222222</v>
      </c>
      <c r="AT979" t="s">
        <v>1357</v>
      </c>
      <c r="AU979" t="s">
        <v>1357</v>
      </c>
      <c r="AV979">
        <v>130</v>
      </c>
    </row>
    <row r="980" spans="1:48" x14ac:dyDescent="0.25">
      <c r="A980">
        <v>625</v>
      </c>
      <c r="B980" t="s">
        <v>3736</v>
      </c>
      <c r="C980" t="s">
        <v>1989</v>
      </c>
      <c r="D980" t="s">
        <v>218</v>
      </c>
      <c r="E980" t="s">
        <v>3737</v>
      </c>
      <c r="F980" t="s">
        <v>3738</v>
      </c>
      <c r="G980" t="s">
        <v>104</v>
      </c>
      <c r="H980" s="1">
        <v>37505</v>
      </c>
      <c r="I980">
        <v>24</v>
      </c>
      <c r="J980">
        <v>2002</v>
      </c>
      <c r="K980" s="1">
        <v>45641</v>
      </c>
      <c r="L980">
        <v>2024</v>
      </c>
      <c r="M980" t="s">
        <v>54</v>
      </c>
      <c r="N980">
        <v>3</v>
      </c>
      <c r="O980" t="s">
        <v>68</v>
      </c>
      <c r="P980" t="s">
        <v>69</v>
      </c>
      <c r="Q980">
        <v>60</v>
      </c>
      <c r="R980">
        <v>1</v>
      </c>
      <c r="S980" t="s">
        <v>57</v>
      </c>
      <c r="T980" t="s">
        <v>58</v>
      </c>
      <c r="U980">
        <v>3</v>
      </c>
      <c r="V980">
        <v>3</v>
      </c>
      <c r="W980">
        <v>3</v>
      </c>
      <c r="X980">
        <v>3</v>
      </c>
      <c r="Y980">
        <v>1</v>
      </c>
      <c r="Z980">
        <v>3</v>
      </c>
      <c r="AA980">
        <v>2.8333330000000001</v>
      </c>
      <c r="AB980">
        <v>8.5</v>
      </c>
      <c r="AC980" t="s">
        <v>540</v>
      </c>
      <c r="AD980" t="s">
        <v>112</v>
      </c>
      <c r="AE980">
        <v>0</v>
      </c>
      <c r="AF980">
        <v>0</v>
      </c>
      <c r="AG980">
        <v>0</v>
      </c>
      <c r="AH980">
        <v>2</v>
      </c>
      <c r="AI980">
        <v>0</v>
      </c>
      <c r="AJ980">
        <v>1</v>
      </c>
      <c r="AK980">
        <v>0</v>
      </c>
      <c r="AL980">
        <v>0</v>
      </c>
      <c r="AM980">
        <v>0</v>
      </c>
      <c r="AN980">
        <v>0</v>
      </c>
      <c r="AO980">
        <v>3</v>
      </c>
      <c r="AP980">
        <v>0</v>
      </c>
      <c r="AQ980">
        <v>100</v>
      </c>
      <c r="AR980" s="2">
        <v>45725.908252314817</v>
      </c>
      <c r="AS980" s="2">
        <v>45871.2503125</v>
      </c>
      <c r="AT980" t="s">
        <v>61</v>
      </c>
      <c r="AU980" t="s">
        <v>61</v>
      </c>
      <c r="AV980">
        <v>146</v>
      </c>
    </row>
    <row r="981" spans="1:48" x14ac:dyDescent="0.25">
      <c r="A981">
        <v>721</v>
      </c>
      <c r="B981" t="s">
        <v>3739</v>
      </c>
      <c r="C981" t="s">
        <v>172</v>
      </c>
      <c r="D981" t="s">
        <v>3740</v>
      </c>
      <c r="E981" t="s">
        <v>3741</v>
      </c>
      <c r="F981" t="s">
        <v>3742</v>
      </c>
      <c r="G981" t="s">
        <v>104</v>
      </c>
      <c r="H981" s="1">
        <v>36970</v>
      </c>
      <c r="I981">
        <v>25</v>
      </c>
      <c r="J981">
        <v>2001</v>
      </c>
      <c r="K981" s="1">
        <v>44683</v>
      </c>
      <c r="L981">
        <v>2022</v>
      </c>
      <c r="M981" t="s">
        <v>54</v>
      </c>
      <c r="N981">
        <v>19</v>
      </c>
      <c r="O981" t="s">
        <v>162</v>
      </c>
      <c r="P981" t="s">
        <v>119</v>
      </c>
      <c r="Q981">
        <v>120</v>
      </c>
      <c r="R981">
        <v>7</v>
      </c>
      <c r="S981" t="s">
        <v>163</v>
      </c>
      <c r="T981" t="s">
        <v>164</v>
      </c>
      <c r="U981">
        <v>3</v>
      </c>
      <c r="V981">
        <v>3</v>
      </c>
      <c r="W981">
        <v>3</v>
      </c>
      <c r="X981">
        <v>3</v>
      </c>
      <c r="Y981">
        <v>1</v>
      </c>
      <c r="Z981">
        <v>3</v>
      </c>
      <c r="AA981">
        <v>2.1666660000000002</v>
      </c>
      <c r="AB981">
        <v>6.5</v>
      </c>
      <c r="AC981" t="s">
        <v>70</v>
      </c>
      <c r="AD981" t="s">
        <v>60</v>
      </c>
      <c r="AE981">
        <v>1</v>
      </c>
      <c r="AF981">
        <v>0</v>
      </c>
      <c r="AG981">
        <v>0</v>
      </c>
      <c r="AH981">
        <v>0</v>
      </c>
      <c r="AI981">
        <v>0</v>
      </c>
      <c r="AJ981">
        <v>1</v>
      </c>
      <c r="AK981">
        <v>0</v>
      </c>
      <c r="AL981">
        <v>0</v>
      </c>
      <c r="AM981">
        <v>0</v>
      </c>
      <c r="AN981">
        <v>1</v>
      </c>
      <c r="AO981">
        <v>2</v>
      </c>
      <c r="AP981">
        <v>1</v>
      </c>
      <c r="AQ981">
        <v>66.666666666666003</v>
      </c>
      <c r="AR981" s="2">
        <v>45776.72078703704</v>
      </c>
      <c r="AS981" s="2">
        <v>45918.774722222224</v>
      </c>
      <c r="AT981" t="s">
        <v>62</v>
      </c>
      <c r="AU981" t="s">
        <v>62</v>
      </c>
      <c r="AV981">
        <v>142</v>
      </c>
    </row>
    <row r="982" spans="1:48" x14ac:dyDescent="0.25">
      <c r="A982">
        <v>658</v>
      </c>
      <c r="B982" t="s">
        <v>3743</v>
      </c>
      <c r="C982" t="s">
        <v>3744</v>
      </c>
      <c r="D982" t="s">
        <v>2592</v>
      </c>
      <c r="E982" t="s">
        <v>3745</v>
      </c>
      <c r="F982" t="s">
        <v>3746</v>
      </c>
      <c r="G982" t="s">
        <v>104</v>
      </c>
      <c r="H982" s="1">
        <v>39084</v>
      </c>
      <c r="I982">
        <v>19</v>
      </c>
      <c r="J982">
        <v>2007</v>
      </c>
      <c r="K982" s="1">
        <v>45727</v>
      </c>
      <c r="L982">
        <v>2025</v>
      </c>
      <c r="M982" t="s">
        <v>54</v>
      </c>
      <c r="N982">
        <v>14</v>
      </c>
      <c r="O982" t="s">
        <v>105</v>
      </c>
      <c r="P982" t="s">
        <v>56</v>
      </c>
      <c r="Q982">
        <v>36</v>
      </c>
      <c r="R982">
        <v>5</v>
      </c>
      <c r="S982" t="s">
        <v>92</v>
      </c>
      <c r="T982" t="s">
        <v>93</v>
      </c>
      <c r="U982">
        <v>3</v>
      </c>
      <c r="V982">
        <v>3</v>
      </c>
      <c r="W982">
        <v>3</v>
      </c>
      <c r="X982">
        <v>3</v>
      </c>
      <c r="Y982">
        <v>1</v>
      </c>
      <c r="Z982">
        <v>3</v>
      </c>
      <c r="AA982">
        <v>2.5</v>
      </c>
      <c r="AB982">
        <v>7.5</v>
      </c>
      <c r="AC982" t="s">
        <v>70</v>
      </c>
      <c r="AD982" t="s">
        <v>60</v>
      </c>
      <c r="AE982">
        <v>1</v>
      </c>
      <c r="AF982">
        <v>0</v>
      </c>
      <c r="AG982">
        <v>1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1</v>
      </c>
      <c r="AO982">
        <v>2</v>
      </c>
      <c r="AP982">
        <v>1</v>
      </c>
      <c r="AQ982">
        <v>66.666666666666003</v>
      </c>
      <c r="AR982" s="2">
        <v>45976.077164351853</v>
      </c>
      <c r="AS982" s="2">
        <v>46017.841747685183</v>
      </c>
      <c r="AT982" t="s">
        <v>62</v>
      </c>
      <c r="AU982" t="s">
        <v>62</v>
      </c>
      <c r="AV982">
        <v>41</v>
      </c>
    </row>
    <row r="983" spans="1:48" x14ac:dyDescent="0.25">
      <c r="A983">
        <v>799</v>
      </c>
      <c r="B983" t="s">
        <v>3747</v>
      </c>
      <c r="C983" t="s">
        <v>1042</v>
      </c>
      <c r="D983" t="s">
        <v>636</v>
      </c>
      <c r="E983" t="s">
        <v>3748</v>
      </c>
      <c r="F983" t="s">
        <v>3749</v>
      </c>
      <c r="G983" t="s">
        <v>104</v>
      </c>
      <c r="H983" s="1">
        <v>36369</v>
      </c>
      <c r="I983">
        <v>27</v>
      </c>
      <c r="J983">
        <v>1999</v>
      </c>
      <c r="K983" s="1">
        <v>45159</v>
      </c>
      <c r="L983">
        <v>2023</v>
      </c>
      <c r="M983" t="s">
        <v>54</v>
      </c>
      <c r="N983">
        <v>1</v>
      </c>
      <c r="O983" t="s">
        <v>157</v>
      </c>
      <c r="P983" t="s">
        <v>119</v>
      </c>
      <c r="Q983">
        <v>120</v>
      </c>
      <c r="R983">
        <v>1</v>
      </c>
      <c r="S983" t="s">
        <v>57</v>
      </c>
      <c r="T983" t="s">
        <v>58</v>
      </c>
      <c r="U983">
        <v>3</v>
      </c>
      <c r="V983">
        <v>3</v>
      </c>
      <c r="W983">
        <v>3</v>
      </c>
      <c r="X983">
        <v>3</v>
      </c>
      <c r="Y983">
        <v>1</v>
      </c>
      <c r="Z983">
        <v>3</v>
      </c>
      <c r="AA983">
        <v>3.5</v>
      </c>
      <c r="AB983">
        <v>10.5</v>
      </c>
      <c r="AC983" t="s">
        <v>281</v>
      </c>
      <c r="AD983" t="s">
        <v>60</v>
      </c>
      <c r="AE983">
        <v>1</v>
      </c>
      <c r="AF983">
        <v>0</v>
      </c>
      <c r="AG983">
        <v>1</v>
      </c>
      <c r="AH983">
        <v>1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3</v>
      </c>
      <c r="AP983">
        <v>0</v>
      </c>
      <c r="AQ983">
        <v>100</v>
      </c>
      <c r="AR983" s="2">
        <v>45728.248599537037</v>
      </c>
      <c r="AS983" s="2">
        <v>45813.121701388889</v>
      </c>
      <c r="AT983" t="s">
        <v>1357</v>
      </c>
      <c r="AU983" t="s">
        <v>1357</v>
      </c>
      <c r="AV983">
        <v>85</v>
      </c>
    </row>
    <row r="984" spans="1:48" x14ac:dyDescent="0.25">
      <c r="A984">
        <v>807</v>
      </c>
      <c r="B984" t="s">
        <v>3750</v>
      </c>
      <c r="C984" t="s">
        <v>3751</v>
      </c>
      <c r="D984" t="s">
        <v>2819</v>
      </c>
      <c r="E984" t="s">
        <v>3752</v>
      </c>
      <c r="F984" t="s">
        <v>3753</v>
      </c>
      <c r="G984" t="s">
        <v>53</v>
      </c>
      <c r="H984" s="1">
        <v>39299</v>
      </c>
      <c r="I984">
        <v>19</v>
      </c>
      <c r="J984">
        <v>2007</v>
      </c>
      <c r="K984" s="1">
        <v>45669</v>
      </c>
      <c r="L984">
        <v>2025</v>
      </c>
      <c r="M984" t="s">
        <v>54</v>
      </c>
      <c r="N984">
        <v>13</v>
      </c>
      <c r="O984" t="s">
        <v>146</v>
      </c>
      <c r="P984" t="s">
        <v>119</v>
      </c>
      <c r="Q984">
        <v>120</v>
      </c>
      <c r="R984">
        <v>5</v>
      </c>
      <c r="S984" t="s">
        <v>92</v>
      </c>
      <c r="T984" t="s">
        <v>93</v>
      </c>
      <c r="U984">
        <v>3</v>
      </c>
      <c r="V984">
        <v>3</v>
      </c>
      <c r="W984">
        <v>3</v>
      </c>
      <c r="X984">
        <v>3</v>
      </c>
      <c r="Y984">
        <v>1</v>
      </c>
      <c r="Z984">
        <v>3</v>
      </c>
      <c r="AA984">
        <v>1.8333330000000001</v>
      </c>
      <c r="AB984">
        <v>5.5</v>
      </c>
      <c r="AC984" t="s">
        <v>59</v>
      </c>
      <c r="AD984" t="s">
        <v>1061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1</v>
      </c>
      <c r="AK984">
        <v>1</v>
      </c>
      <c r="AL984">
        <v>0</v>
      </c>
      <c r="AM984">
        <v>1</v>
      </c>
      <c r="AN984">
        <v>0</v>
      </c>
      <c r="AO984">
        <v>3</v>
      </c>
      <c r="AP984">
        <v>0</v>
      </c>
      <c r="AQ984">
        <v>100</v>
      </c>
      <c r="AR984" s="2">
        <v>45853.071562500001</v>
      </c>
      <c r="AS984" s="2">
        <v>45990.487326388888</v>
      </c>
      <c r="AT984" t="s">
        <v>1357</v>
      </c>
      <c r="AU984" t="s">
        <v>1357</v>
      </c>
      <c r="AV984">
        <v>137</v>
      </c>
    </row>
    <row r="985" spans="1:48" x14ac:dyDescent="0.25">
      <c r="A985">
        <v>538</v>
      </c>
      <c r="B985" t="s">
        <v>3754</v>
      </c>
      <c r="C985" t="s">
        <v>1329</v>
      </c>
      <c r="D985" t="s">
        <v>3755</v>
      </c>
      <c r="E985" t="s">
        <v>3756</v>
      </c>
      <c r="F985" t="s">
        <v>3757</v>
      </c>
      <c r="G985" t="s">
        <v>53</v>
      </c>
      <c r="H985" s="1">
        <v>35131</v>
      </c>
      <c r="I985">
        <v>30</v>
      </c>
      <c r="J985">
        <v>1996</v>
      </c>
      <c r="K985" s="1">
        <v>44807</v>
      </c>
      <c r="L985">
        <v>2022</v>
      </c>
      <c r="M985" t="s">
        <v>54</v>
      </c>
      <c r="N985">
        <v>17</v>
      </c>
      <c r="O985" t="s">
        <v>350</v>
      </c>
      <c r="P985" t="s">
        <v>56</v>
      </c>
      <c r="Q985">
        <v>36</v>
      </c>
      <c r="R985">
        <v>6</v>
      </c>
      <c r="S985" t="s">
        <v>140</v>
      </c>
      <c r="T985" t="s">
        <v>141</v>
      </c>
      <c r="U985">
        <v>3</v>
      </c>
      <c r="V985">
        <v>3</v>
      </c>
      <c r="W985">
        <v>3</v>
      </c>
      <c r="X985">
        <v>3</v>
      </c>
      <c r="Y985">
        <v>1</v>
      </c>
      <c r="Z985">
        <v>1</v>
      </c>
      <c r="AA985">
        <v>3.5</v>
      </c>
      <c r="AB985">
        <v>3.5</v>
      </c>
      <c r="AC985" t="s">
        <v>281</v>
      </c>
      <c r="AD985" t="s">
        <v>281</v>
      </c>
      <c r="AE985">
        <v>0</v>
      </c>
      <c r="AF985">
        <v>0</v>
      </c>
      <c r="AG985">
        <v>1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1</v>
      </c>
      <c r="AP985">
        <v>0</v>
      </c>
      <c r="AQ985">
        <v>100</v>
      </c>
      <c r="AR985" s="2">
        <v>45765.421249999999</v>
      </c>
      <c r="AS985" s="2">
        <v>45900.48537037037</v>
      </c>
      <c r="AT985" t="s">
        <v>1357</v>
      </c>
      <c r="AU985" t="s">
        <v>1357</v>
      </c>
      <c r="AV985">
        <v>135</v>
      </c>
    </row>
    <row r="986" spans="1:48" x14ac:dyDescent="0.25">
      <c r="A986">
        <v>423</v>
      </c>
      <c r="B986" t="s">
        <v>3758</v>
      </c>
      <c r="C986" t="s">
        <v>677</v>
      </c>
      <c r="D986" t="s">
        <v>3488</v>
      </c>
      <c r="E986" t="s">
        <v>3759</v>
      </c>
      <c r="F986" t="s">
        <v>3760</v>
      </c>
      <c r="G986" t="s">
        <v>104</v>
      </c>
      <c r="H986" s="1">
        <v>38902</v>
      </c>
      <c r="I986">
        <v>20</v>
      </c>
      <c r="J986">
        <v>2006</v>
      </c>
      <c r="K986" s="1">
        <v>45844</v>
      </c>
      <c r="L986">
        <v>2025</v>
      </c>
      <c r="M986" t="s">
        <v>54</v>
      </c>
      <c r="N986">
        <v>2</v>
      </c>
      <c r="O986" t="s">
        <v>55</v>
      </c>
      <c r="P986" t="s">
        <v>56</v>
      </c>
      <c r="Q986">
        <v>36</v>
      </c>
      <c r="R986">
        <v>1</v>
      </c>
      <c r="S986" t="s">
        <v>57</v>
      </c>
      <c r="T986" t="s">
        <v>58</v>
      </c>
      <c r="U986">
        <v>3</v>
      </c>
      <c r="V986">
        <v>3</v>
      </c>
      <c r="W986">
        <v>3</v>
      </c>
      <c r="X986">
        <v>3</v>
      </c>
      <c r="Y986">
        <v>1</v>
      </c>
      <c r="Z986">
        <v>3</v>
      </c>
      <c r="AA986">
        <v>3.6666660000000002</v>
      </c>
      <c r="AB986">
        <v>11</v>
      </c>
      <c r="AC986" t="s">
        <v>281</v>
      </c>
      <c r="AD986" t="s">
        <v>60</v>
      </c>
      <c r="AE986">
        <v>1</v>
      </c>
      <c r="AF986">
        <v>0</v>
      </c>
      <c r="AG986">
        <v>2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3</v>
      </c>
      <c r="AP986">
        <v>0</v>
      </c>
      <c r="AQ986">
        <v>100</v>
      </c>
      <c r="AR986" s="2">
        <v>45897.644143518519</v>
      </c>
      <c r="AS986" s="2">
        <v>46015.670011574075</v>
      </c>
      <c r="AT986" t="s">
        <v>61</v>
      </c>
      <c r="AU986" t="s">
        <v>61</v>
      </c>
      <c r="AV986">
        <v>118</v>
      </c>
    </row>
    <row r="987" spans="1:48" x14ac:dyDescent="0.25">
      <c r="A987">
        <v>932</v>
      </c>
      <c r="B987" t="s">
        <v>3761</v>
      </c>
      <c r="C987" t="s">
        <v>1142</v>
      </c>
      <c r="D987" t="s">
        <v>2790</v>
      </c>
      <c r="E987" t="s">
        <v>3762</v>
      </c>
      <c r="F987" t="s">
        <v>3763</v>
      </c>
      <c r="G987" t="s">
        <v>104</v>
      </c>
      <c r="H987" s="1">
        <v>35517</v>
      </c>
      <c r="I987">
        <v>29</v>
      </c>
      <c r="J987">
        <v>1997</v>
      </c>
      <c r="K987" s="1">
        <v>45997</v>
      </c>
      <c r="L987">
        <v>2025</v>
      </c>
      <c r="M987" t="s">
        <v>54</v>
      </c>
      <c r="N987">
        <v>6</v>
      </c>
      <c r="O987" t="s">
        <v>133</v>
      </c>
      <c r="P987" t="s">
        <v>69</v>
      </c>
      <c r="Q987">
        <v>60</v>
      </c>
      <c r="R987">
        <v>2</v>
      </c>
      <c r="S987" t="s">
        <v>85</v>
      </c>
      <c r="T987" t="s">
        <v>86</v>
      </c>
      <c r="U987">
        <v>3</v>
      </c>
      <c r="V987">
        <v>3</v>
      </c>
      <c r="W987">
        <v>3</v>
      </c>
      <c r="X987">
        <v>3</v>
      </c>
      <c r="Y987">
        <v>1</v>
      </c>
      <c r="Z987">
        <v>2</v>
      </c>
      <c r="AA987">
        <v>1.5</v>
      </c>
      <c r="AB987">
        <v>3</v>
      </c>
      <c r="AC987" t="s">
        <v>59</v>
      </c>
      <c r="AD987" t="s">
        <v>1061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</v>
      </c>
      <c r="AL987">
        <v>0</v>
      </c>
      <c r="AM987">
        <v>1</v>
      </c>
      <c r="AN987">
        <v>0</v>
      </c>
      <c r="AO987">
        <v>2</v>
      </c>
      <c r="AP987">
        <v>0</v>
      </c>
      <c r="AQ987">
        <v>100</v>
      </c>
      <c r="AR987" s="2">
        <v>45831.408379629633</v>
      </c>
      <c r="AS987" s="2">
        <v>46039.70648148148</v>
      </c>
      <c r="AT987" t="s">
        <v>1357</v>
      </c>
      <c r="AU987" t="s">
        <v>1357</v>
      </c>
      <c r="AV987">
        <v>208</v>
      </c>
    </row>
    <row r="988" spans="1:48" x14ac:dyDescent="0.25">
      <c r="A988">
        <v>184</v>
      </c>
      <c r="B988" t="s">
        <v>3764</v>
      </c>
      <c r="C988" t="s">
        <v>3765</v>
      </c>
      <c r="D988" t="s">
        <v>3464</v>
      </c>
      <c r="E988" t="s">
        <v>3766</v>
      </c>
      <c r="F988" t="s">
        <v>3767</v>
      </c>
      <c r="G988" t="s">
        <v>104</v>
      </c>
      <c r="H988" s="1">
        <v>36844</v>
      </c>
      <c r="I988">
        <v>26</v>
      </c>
      <c r="J988">
        <v>2000</v>
      </c>
      <c r="K988" s="1">
        <v>45238</v>
      </c>
      <c r="L988">
        <v>2023</v>
      </c>
      <c r="M988" t="s">
        <v>54</v>
      </c>
      <c r="N988">
        <v>7</v>
      </c>
      <c r="O988" t="s">
        <v>231</v>
      </c>
      <c r="P988" t="s">
        <v>119</v>
      </c>
      <c r="Q988">
        <v>120</v>
      </c>
      <c r="R988">
        <v>3</v>
      </c>
      <c r="S988" t="s">
        <v>126</v>
      </c>
      <c r="T988" t="s">
        <v>127</v>
      </c>
      <c r="U988">
        <v>3</v>
      </c>
      <c r="V988">
        <v>3</v>
      </c>
      <c r="W988">
        <v>3</v>
      </c>
      <c r="X988">
        <v>3</v>
      </c>
      <c r="Y988">
        <v>1</v>
      </c>
      <c r="Z988">
        <v>3</v>
      </c>
      <c r="AA988">
        <v>1.3333330000000001</v>
      </c>
      <c r="AB988">
        <v>4</v>
      </c>
      <c r="AC988" t="s">
        <v>70</v>
      </c>
      <c r="AD988" t="s">
        <v>60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2</v>
      </c>
      <c r="AO988">
        <v>1</v>
      </c>
      <c r="AP988">
        <v>2</v>
      </c>
      <c r="AQ988">
        <v>33.333333333333002</v>
      </c>
      <c r="AR988" s="2">
        <v>45752.842083333337</v>
      </c>
      <c r="AS988" s="2">
        <v>46019.506712962961</v>
      </c>
      <c r="AT988" t="s">
        <v>61</v>
      </c>
      <c r="AU988" t="s">
        <v>61</v>
      </c>
      <c r="AV988">
        <v>267</v>
      </c>
    </row>
    <row r="989" spans="1:48" x14ac:dyDescent="0.25">
      <c r="A989">
        <v>556</v>
      </c>
      <c r="B989" t="s">
        <v>3768</v>
      </c>
      <c r="C989" t="s">
        <v>1134</v>
      </c>
      <c r="D989" t="s">
        <v>3769</v>
      </c>
      <c r="E989" t="s">
        <v>3770</v>
      </c>
      <c r="F989" t="s">
        <v>3771</v>
      </c>
      <c r="G989" t="s">
        <v>104</v>
      </c>
      <c r="H989" s="1">
        <v>37851</v>
      </c>
      <c r="I989">
        <v>23</v>
      </c>
      <c r="J989">
        <v>2003</v>
      </c>
      <c r="K989" s="1">
        <v>44931</v>
      </c>
      <c r="L989">
        <v>2023</v>
      </c>
      <c r="M989" t="s">
        <v>54</v>
      </c>
      <c r="N989">
        <v>13</v>
      </c>
      <c r="O989" t="s">
        <v>146</v>
      </c>
      <c r="P989" t="s">
        <v>119</v>
      </c>
      <c r="Q989">
        <v>120</v>
      </c>
      <c r="R989">
        <v>5</v>
      </c>
      <c r="S989" t="s">
        <v>92</v>
      </c>
      <c r="T989" t="s">
        <v>93</v>
      </c>
      <c r="U989">
        <v>3</v>
      </c>
      <c r="V989">
        <v>3</v>
      </c>
      <c r="W989">
        <v>3</v>
      </c>
      <c r="X989">
        <v>3</v>
      </c>
      <c r="Y989">
        <v>1</v>
      </c>
      <c r="Z989">
        <v>3</v>
      </c>
      <c r="AA989">
        <v>3</v>
      </c>
      <c r="AB989">
        <v>9</v>
      </c>
      <c r="AC989" t="s">
        <v>1061</v>
      </c>
      <c r="AD989" t="s">
        <v>281</v>
      </c>
      <c r="AE989">
        <v>0</v>
      </c>
      <c r="AF989">
        <v>0</v>
      </c>
      <c r="AG989">
        <v>2</v>
      </c>
      <c r="AH989">
        <v>0</v>
      </c>
      <c r="AI989">
        <v>0</v>
      </c>
      <c r="AJ989">
        <v>0</v>
      </c>
      <c r="AK989">
        <v>1</v>
      </c>
      <c r="AL989">
        <v>0</v>
      </c>
      <c r="AM989">
        <v>0</v>
      </c>
      <c r="AN989">
        <v>0</v>
      </c>
      <c r="AO989">
        <v>3</v>
      </c>
      <c r="AP989">
        <v>0</v>
      </c>
      <c r="AQ989">
        <v>100</v>
      </c>
      <c r="AR989" s="2">
        <v>45885.375428240739</v>
      </c>
      <c r="AS989" s="2">
        <v>46016.182442129626</v>
      </c>
      <c r="AT989" t="s">
        <v>62</v>
      </c>
      <c r="AU989" t="s">
        <v>62</v>
      </c>
      <c r="AV989">
        <v>131</v>
      </c>
    </row>
    <row r="990" spans="1:48" x14ac:dyDescent="0.25">
      <c r="A990">
        <v>713</v>
      </c>
      <c r="B990" t="s">
        <v>3772</v>
      </c>
      <c r="C990" t="s">
        <v>3773</v>
      </c>
      <c r="D990" t="s">
        <v>855</v>
      </c>
      <c r="E990" t="s">
        <v>3774</v>
      </c>
      <c r="F990" t="s">
        <v>3775</v>
      </c>
      <c r="G990" t="s">
        <v>53</v>
      </c>
      <c r="H990" s="1">
        <v>37913</v>
      </c>
      <c r="I990">
        <v>23</v>
      </c>
      <c r="J990">
        <v>2003</v>
      </c>
      <c r="K990" s="1">
        <v>45777</v>
      </c>
      <c r="L990">
        <v>2025</v>
      </c>
      <c r="M990" t="s">
        <v>111</v>
      </c>
      <c r="N990">
        <v>14</v>
      </c>
      <c r="O990" t="s">
        <v>105</v>
      </c>
      <c r="P990" t="s">
        <v>56</v>
      </c>
      <c r="Q990">
        <v>36</v>
      </c>
      <c r="R990">
        <v>5</v>
      </c>
      <c r="S990" t="s">
        <v>92</v>
      </c>
      <c r="T990" t="s">
        <v>93</v>
      </c>
      <c r="U990">
        <v>3</v>
      </c>
      <c r="V990">
        <v>3</v>
      </c>
      <c r="W990">
        <v>3</v>
      </c>
      <c r="X990">
        <v>3</v>
      </c>
      <c r="Y990">
        <v>1</v>
      </c>
      <c r="Z990">
        <v>3</v>
      </c>
      <c r="AA990">
        <v>1.5</v>
      </c>
      <c r="AB990">
        <v>4.5</v>
      </c>
      <c r="AC990" t="s">
        <v>70</v>
      </c>
      <c r="AD990" t="s">
        <v>281</v>
      </c>
      <c r="AE990">
        <v>0</v>
      </c>
      <c r="AF990">
        <v>0</v>
      </c>
      <c r="AG990">
        <v>1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1</v>
      </c>
      <c r="AN990">
        <v>1</v>
      </c>
      <c r="AO990">
        <v>2</v>
      </c>
      <c r="AP990">
        <v>1</v>
      </c>
      <c r="AQ990">
        <v>66.666666666666003</v>
      </c>
      <c r="AR990" s="2">
        <v>45816.539351851854</v>
      </c>
      <c r="AS990" s="2">
        <v>46026.404710648145</v>
      </c>
      <c r="AT990" t="s">
        <v>62</v>
      </c>
      <c r="AU990" t="s">
        <v>62</v>
      </c>
      <c r="AV990">
        <v>210</v>
      </c>
    </row>
    <row r="991" spans="1:48" x14ac:dyDescent="0.25">
      <c r="A991">
        <v>255</v>
      </c>
      <c r="B991" t="s">
        <v>3776</v>
      </c>
      <c r="C991" t="s">
        <v>1276</v>
      </c>
      <c r="D991" t="s">
        <v>3777</v>
      </c>
      <c r="E991" t="s">
        <v>3778</v>
      </c>
      <c r="F991" t="s">
        <v>3779</v>
      </c>
      <c r="G991" t="s">
        <v>104</v>
      </c>
      <c r="H991" s="1">
        <v>39254</v>
      </c>
      <c r="I991">
        <v>19</v>
      </c>
      <c r="J991">
        <v>2007</v>
      </c>
      <c r="K991" s="1">
        <v>45823</v>
      </c>
      <c r="L991">
        <v>2025</v>
      </c>
      <c r="M991" t="s">
        <v>111</v>
      </c>
      <c r="N991">
        <v>12</v>
      </c>
      <c r="O991" t="s">
        <v>76</v>
      </c>
      <c r="P991" t="s">
        <v>69</v>
      </c>
      <c r="Q991">
        <v>60</v>
      </c>
      <c r="R991">
        <v>4</v>
      </c>
      <c r="S991" t="s">
        <v>77</v>
      </c>
      <c r="T991" t="s">
        <v>78</v>
      </c>
      <c r="U991">
        <v>3</v>
      </c>
      <c r="V991">
        <v>3</v>
      </c>
      <c r="W991">
        <v>3</v>
      </c>
      <c r="X991">
        <v>3</v>
      </c>
      <c r="Y991">
        <v>1</v>
      </c>
      <c r="Z991">
        <v>3</v>
      </c>
      <c r="AA991">
        <v>2.6666660000000002</v>
      </c>
      <c r="AB991">
        <v>8</v>
      </c>
      <c r="AC991" t="s">
        <v>540</v>
      </c>
      <c r="AD991" t="s">
        <v>281</v>
      </c>
      <c r="AE991">
        <v>0</v>
      </c>
      <c r="AF991">
        <v>0</v>
      </c>
      <c r="AG991">
        <v>1</v>
      </c>
      <c r="AH991">
        <v>0</v>
      </c>
      <c r="AI991">
        <v>0</v>
      </c>
      <c r="AJ991">
        <v>1</v>
      </c>
      <c r="AK991">
        <v>1</v>
      </c>
      <c r="AL991">
        <v>0</v>
      </c>
      <c r="AM991">
        <v>0</v>
      </c>
      <c r="AN991">
        <v>0</v>
      </c>
      <c r="AO991">
        <v>3</v>
      </c>
      <c r="AP991">
        <v>0</v>
      </c>
      <c r="AQ991">
        <v>100</v>
      </c>
      <c r="AR991" s="2">
        <v>45856.431921296295</v>
      </c>
      <c r="AS991" s="2">
        <v>45983.890833333331</v>
      </c>
      <c r="AT991" t="s">
        <v>61</v>
      </c>
      <c r="AU991" t="s">
        <v>61</v>
      </c>
      <c r="AV991">
        <v>127</v>
      </c>
    </row>
    <row r="992" spans="1:48" x14ac:dyDescent="0.25">
      <c r="A992">
        <v>603</v>
      </c>
      <c r="B992" t="s">
        <v>3780</v>
      </c>
      <c r="C992" t="s">
        <v>1571</v>
      </c>
      <c r="D992" t="s">
        <v>3781</v>
      </c>
      <c r="E992" t="s">
        <v>3782</v>
      </c>
      <c r="F992" t="s">
        <v>3783</v>
      </c>
      <c r="G992" t="s">
        <v>104</v>
      </c>
      <c r="H992" s="1">
        <v>35678</v>
      </c>
      <c r="I992">
        <v>29</v>
      </c>
      <c r="J992">
        <v>1997</v>
      </c>
      <c r="K992" s="1">
        <v>44668</v>
      </c>
      <c r="L992">
        <v>2022</v>
      </c>
      <c r="M992" t="s">
        <v>54</v>
      </c>
      <c r="N992">
        <v>6</v>
      </c>
      <c r="O992" t="s">
        <v>133</v>
      </c>
      <c r="P992" t="s">
        <v>69</v>
      </c>
      <c r="Q992">
        <v>60</v>
      </c>
      <c r="R992">
        <v>2</v>
      </c>
      <c r="S992" t="s">
        <v>85</v>
      </c>
      <c r="T992" t="s">
        <v>86</v>
      </c>
      <c r="U992">
        <v>3</v>
      </c>
      <c r="V992">
        <v>3</v>
      </c>
      <c r="W992">
        <v>3</v>
      </c>
      <c r="X992">
        <v>3</v>
      </c>
      <c r="Y992">
        <v>1</v>
      </c>
      <c r="Z992">
        <v>2</v>
      </c>
      <c r="AA992">
        <v>0</v>
      </c>
      <c r="AB992">
        <v>0</v>
      </c>
      <c r="AC992" t="s">
        <v>70</v>
      </c>
      <c r="AD992" t="s">
        <v>70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2</v>
      </c>
      <c r="AO992">
        <v>0</v>
      </c>
      <c r="AP992">
        <v>2</v>
      </c>
      <c r="AQ992">
        <v>0</v>
      </c>
      <c r="AR992" s="2">
        <v>45758.945960648147</v>
      </c>
      <c r="AS992" s="2">
        <v>46052.168171296296</v>
      </c>
      <c r="AT992" t="s">
        <v>1357</v>
      </c>
      <c r="AU992" t="s">
        <v>1357</v>
      </c>
      <c r="AV992">
        <v>294</v>
      </c>
    </row>
    <row r="993" spans="1:48" x14ac:dyDescent="0.25">
      <c r="A993">
        <v>496</v>
      </c>
      <c r="B993" t="s">
        <v>3784</v>
      </c>
      <c r="C993" t="s">
        <v>135</v>
      </c>
      <c r="D993" t="s">
        <v>1841</v>
      </c>
      <c r="E993" t="s">
        <v>3785</v>
      </c>
      <c r="F993" t="s">
        <v>3786</v>
      </c>
      <c r="G993" t="s">
        <v>53</v>
      </c>
      <c r="H993" s="1">
        <v>38080</v>
      </c>
      <c r="I993">
        <v>22</v>
      </c>
      <c r="J993">
        <v>2004</v>
      </c>
      <c r="K993" s="1">
        <v>44688</v>
      </c>
      <c r="L993">
        <v>2022</v>
      </c>
      <c r="M993" t="s">
        <v>111</v>
      </c>
      <c r="N993">
        <v>4</v>
      </c>
      <c r="O993" t="s">
        <v>215</v>
      </c>
      <c r="P993" t="s">
        <v>119</v>
      </c>
      <c r="Q993">
        <v>120</v>
      </c>
      <c r="R993">
        <v>2</v>
      </c>
      <c r="S993" t="s">
        <v>85</v>
      </c>
      <c r="T993" t="s">
        <v>86</v>
      </c>
      <c r="U993">
        <v>3</v>
      </c>
      <c r="V993">
        <v>3</v>
      </c>
      <c r="W993">
        <v>3</v>
      </c>
      <c r="X993">
        <v>3</v>
      </c>
      <c r="Y993">
        <v>1</v>
      </c>
      <c r="Z993">
        <v>3</v>
      </c>
      <c r="AA993">
        <v>1.666666</v>
      </c>
      <c r="AB993">
        <v>5</v>
      </c>
      <c r="AC993" t="s">
        <v>70</v>
      </c>
      <c r="AD993" t="s">
        <v>60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1</v>
      </c>
      <c r="AN993">
        <v>1</v>
      </c>
      <c r="AO993">
        <v>2</v>
      </c>
      <c r="AP993">
        <v>1</v>
      </c>
      <c r="AQ993">
        <v>66.666666666666003</v>
      </c>
      <c r="AR993" s="2">
        <v>45751.493726851855</v>
      </c>
      <c r="AS993" s="2">
        <v>46069.475439814814</v>
      </c>
      <c r="AT993" t="s">
        <v>62</v>
      </c>
      <c r="AU993" t="s">
        <v>62</v>
      </c>
      <c r="AV993">
        <v>318</v>
      </c>
    </row>
    <row r="994" spans="1:48" x14ac:dyDescent="0.25">
      <c r="A994">
        <v>797</v>
      </c>
      <c r="B994" t="s">
        <v>3787</v>
      </c>
      <c r="C994" t="s">
        <v>663</v>
      </c>
      <c r="D994" t="s">
        <v>1398</v>
      </c>
      <c r="E994" t="s">
        <v>3788</v>
      </c>
      <c r="F994" t="s">
        <v>3789</v>
      </c>
      <c r="G994" t="s">
        <v>104</v>
      </c>
      <c r="H994" s="1">
        <v>38904</v>
      </c>
      <c r="I994">
        <v>20</v>
      </c>
      <c r="J994">
        <v>2006</v>
      </c>
      <c r="K994" s="1">
        <v>45958</v>
      </c>
      <c r="L994">
        <v>2025</v>
      </c>
      <c r="M994" t="s">
        <v>225</v>
      </c>
      <c r="N994">
        <v>16</v>
      </c>
      <c r="O994" t="s">
        <v>280</v>
      </c>
      <c r="P994" t="s">
        <v>119</v>
      </c>
      <c r="Q994">
        <v>120</v>
      </c>
      <c r="R994">
        <v>6</v>
      </c>
      <c r="S994" t="s">
        <v>140</v>
      </c>
      <c r="T994" t="s">
        <v>141</v>
      </c>
      <c r="U994">
        <v>3</v>
      </c>
      <c r="V994">
        <v>3</v>
      </c>
      <c r="W994">
        <v>3</v>
      </c>
      <c r="X994">
        <v>3</v>
      </c>
      <c r="Y994">
        <v>1</v>
      </c>
      <c r="Z994">
        <v>0</v>
      </c>
      <c r="AA994" t="s">
        <v>3182</v>
      </c>
      <c r="AB994" t="s">
        <v>3182</v>
      </c>
      <c r="AC994" t="s">
        <v>3182</v>
      </c>
      <c r="AD994" t="s">
        <v>3182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 s="2">
        <v>45830.631435185183</v>
      </c>
      <c r="AS994" s="2">
        <v>45973.859016203707</v>
      </c>
      <c r="AT994" t="s">
        <v>1357</v>
      </c>
      <c r="AU994" t="s">
        <v>1357</v>
      </c>
      <c r="AV994">
        <v>143</v>
      </c>
    </row>
    <row r="995" spans="1:48" x14ac:dyDescent="0.25">
      <c r="A995">
        <v>921</v>
      </c>
      <c r="B995" t="s">
        <v>3790</v>
      </c>
      <c r="C995" t="s">
        <v>429</v>
      </c>
      <c r="D995" t="s">
        <v>843</v>
      </c>
      <c r="E995" t="s">
        <v>3791</v>
      </c>
      <c r="F995" t="s">
        <v>3792</v>
      </c>
      <c r="G995" t="s">
        <v>104</v>
      </c>
      <c r="H995" s="1">
        <v>36324</v>
      </c>
      <c r="I995">
        <v>27</v>
      </c>
      <c r="J995">
        <v>1999</v>
      </c>
      <c r="K995" s="1">
        <v>44983</v>
      </c>
      <c r="L995">
        <v>2023</v>
      </c>
      <c r="M995" t="s">
        <v>54</v>
      </c>
      <c r="N995">
        <v>4</v>
      </c>
      <c r="O995" t="s">
        <v>215</v>
      </c>
      <c r="P995" t="s">
        <v>119</v>
      </c>
      <c r="Q995">
        <v>120</v>
      </c>
      <c r="R995">
        <v>2</v>
      </c>
      <c r="S995" t="s">
        <v>85</v>
      </c>
      <c r="T995" t="s">
        <v>86</v>
      </c>
      <c r="U995">
        <v>3</v>
      </c>
      <c r="V995">
        <v>3</v>
      </c>
      <c r="W995">
        <v>3</v>
      </c>
      <c r="X995">
        <v>3</v>
      </c>
      <c r="Y995">
        <v>1</v>
      </c>
      <c r="Z995">
        <v>3</v>
      </c>
      <c r="AA995">
        <v>1</v>
      </c>
      <c r="AB995">
        <v>3</v>
      </c>
      <c r="AC995" t="s">
        <v>70</v>
      </c>
      <c r="AD995" t="s">
        <v>112</v>
      </c>
      <c r="AE995">
        <v>0</v>
      </c>
      <c r="AF995">
        <v>0</v>
      </c>
      <c r="AG995">
        <v>0</v>
      </c>
      <c r="AH995">
        <v>1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2</v>
      </c>
      <c r="AO995">
        <v>1</v>
      </c>
      <c r="AP995">
        <v>2</v>
      </c>
      <c r="AQ995">
        <v>33.333333333333002</v>
      </c>
      <c r="AR995" s="2">
        <v>45821.60974537037</v>
      </c>
      <c r="AS995" s="2">
        <v>46027.743101851855</v>
      </c>
      <c r="AT995" t="s">
        <v>62</v>
      </c>
      <c r="AU995" t="s">
        <v>62</v>
      </c>
      <c r="AV995">
        <v>206</v>
      </c>
    </row>
    <row r="996" spans="1:48" x14ac:dyDescent="0.25">
      <c r="A996">
        <v>955</v>
      </c>
      <c r="B996" t="s">
        <v>3793</v>
      </c>
      <c r="C996" t="s">
        <v>122</v>
      </c>
      <c r="D996" t="s">
        <v>144</v>
      </c>
      <c r="E996" t="s">
        <v>3794</v>
      </c>
      <c r="F996" t="s">
        <v>3795</v>
      </c>
      <c r="G996" t="s">
        <v>104</v>
      </c>
      <c r="H996" s="1">
        <v>35034</v>
      </c>
      <c r="I996">
        <v>31</v>
      </c>
      <c r="J996">
        <v>1995</v>
      </c>
      <c r="K996" s="1">
        <v>45546</v>
      </c>
      <c r="L996">
        <v>2024</v>
      </c>
      <c r="M996" t="s">
        <v>54</v>
      </c>
      <c r="N996">
        <v>2</v>
      </c>
      <c r="O996" t="s">
        <v>55</v>
      </c>
      <c r="P996" t="s">
        <v>56</v>
      </c>
      <c r="Q996">
        <v>36</v>
      </c>
      <c r="R996">
        <v>1</v>
      </c>
      <c r="S996" t="s">
        <v>57</v>
      </c>
      <c r="T996" t="s">
        <v>58</v>
      </c>
      <c r="U996">
        <v>3</v>
      </c>
      <c r="V996">
        <v>3</v>
      </c>
      <c r="W996">
        <v>3</v>
      </c>
      <c r="X996">
        <v>3</v>
      </c>
      <c r="Y996">
        <v>1</v>
      </c>
      <c r="Z996">
        <v>3</v>
      </c>
      <c r="AA996">
        <v>1.666666</v>
      </c>
      <c r="AB996">
        <v>5</v>
      </c>
      <c r="AC996" t="s">
        <v>70</v>
      </c>
      <c r="AD996" t="s">
        <v>112</v>
      </c>
      <c r="AE996">
        <v>0</v>
      </c>
      <c r="AF996">
        <v>0</v>
      </c>
      <c r="AG996">
        <v>0</v>
      </c>
      <c r="AH996">
        <v>1</v>
      </c>
      <c r="AI996">
        <v>0</v>
      </c>
      <c r="AJ996">
        <v>0</v>
      </c>
      <c r="AK996">
        <v>1</v>
      </c>
      <c r="AL996">
        <v>0</v>
      </c>
      <c r="AM996">
        <v>0</v>
      </c>
      <c r="AN996">
        <v>1</v>
      </c>
      <c r="AO996">
        <v>2</v>
      </c>
      <c r="AP996">
        <v>1</v>
      </c>
      <c r="AQ996">
        <v>66.666666666666003</v>
      </c>
      <c r="AR996" s="2">
        <v>45724.140173611115</v>
      </c>
      <c r="AS996" s="2">
        <v>46021.348263888889</v>
      </c>
      <c r="AT996" t="s">
        <v>61</v>
      </c>
      <c r="AU996" t="s">
        <v>61</v>
      </c>
      <c r="AV996">
        <v>297</v>
      </c>
    </row>
    <row r="997" spans="1:48" x14ac:dyDescent="0.25">
      <c r="A997">
        <v>155</v>
      </c>
      <c r="B997" t="s">
        <v>3796</v>
      </c>
      <c r="C997" t="s">
        <v>623</v>
      </c>
      <c r="D997" t="s">
        <v>311</v>
      </c>
      <c r="E997" t="s">
        <v>3797</v>
      </c>
      <c r="F997" t="s">
        <v>3798</v>
      </c>
      <c r="G997" t="s">
        <v>53</v>
      </c>
      <c r="H997" s="1">
        <v>37871</v>
      </c>
      <c r="I997">
        <v>23</v>
      </c>
      <c r="J997">
        <v>2003</v>
      </c>
      <c r="K997" s="1">
        <v>44990</v>
      </c>
      <c r="L997">
        <v>2023</v>
      </c>
      <c r="M997" t="s">
        <v>111</v>
      </c>
      <c r="N997">
        <v>14</v>
      </c>
      <c r="O997" t="s">
        <v>105</v>
      </c>
      <c r="P997" t="s">
        <v>56</v>
      </c>
      <c r="Q997">
        <v>36</v>
      </c>
      <c r="R997">
        <v>5</v>
      </c>
      <c r="S997" t="s">
        <v>92</v>
      </c>
      <c r="T997" t="s">
        <v>93</v>
      </c>
      <c r="U997">
        <v>3</v>
      </c>
      <c r="V997">
        <v>3</v>
      </c>
      <c r="W997">
        <v>3</v>
      </c>
      <c r="X997">
        <v>3</v>
      </c>
      <c r="Y997">
        <v>1</v>
      </c>
      <c r="Z997">
        <v>3</v>
      </c>
      <c r="AA997">
        <v>1.166666</v>
      </c>
      <c r="AB997">
        <v>3.5</v>
      </c>
      <c r="AC997" t="s">
        <v>70</v>
      </c>
      <c r="AD997" t="s">
        <v>540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</v>
      </c>
      <c r="AK997">
        <v>0</v>
      </c>
      <c r="AL997">
        <v>0</v>
      </c>
      <c r="AM997">
        <v>1</v>
      </c>
      <c r="AN997">
        <v>1</v>
      </c>
      <c r="AO997">
        <v>2</v>
      </c>
      <c r="AP997">
        <v>1</v>
      </c>
      <c r="AQ997">
        <v>66.666666666666003</v>
      </c>
      <c r="AR997" s="2">
        <v>45725.460196759261</v>
      </c>
      <c r="AS997" s="2">
        <v>45862.436064814814</v>
      </c>
      <c r="AT997" t="s">
        <v>62</v>
      </c>
      <c r="AU997" t="s">
        <v>62</v>
      </c>
      <c r="AV997">
        <v>137</v>
      </c>
    </row>
    <row r="998" spans="1:48" x14ac:dyDescent="0.25">
      <c r="A998">
        <v>579</v>
      </c>
      <c r="B998" t="s">
        <v>3799</v>
      </c>
      <c r="C998" t="s">
        <v>1276</v>
      </c>
      <c r="D998" t="s">
        <v>2628</v>
      </c>
      <c r="E998" t="s">
        <v>3800</v>
      </c>
      <c r="F998" t="s">
        <v>3801</v>
      </c>
      <c r="G998" t="s">
        <v>104</v>
      </c>
      <c r="H998" s="1">
        <v>35535</v>
      </c>
      <c r="I998">
        <v>29</v>
      </c>
      <c r="J998">
        <v>1997</v>
      </c>
      <c r="K998" s="1">
        <v>44780</v>
      </c>
      <c r="L998">
        <v>2022</v>
      </c>
      <c r="M998" t="s">
        <v>54</v>
      </c>
      <c r="N998">
        <v>1</v>
      </c>
      <c r="O998" t="s">
        <v>157</v>
      </c>
      <c r="P998" t="s">
        <v>119</v>
      </c>
      <c r="Q998">
        <v>120</v>
      </c>
      <c r="R998">
        <v>1</v>
      </c>
      <c r="S998" t="s">
        <v>57</v>
      </c>
      <c r="T998" t="s">
        <v>58</v>
      </c>
      <c r="U998">
        <v>3</v>
      </c>
      <c r="V998">
        <v>3</v>
      </c>
      <c r="W998">
        <v>3</v>
      </c>
      <c r="X998">
        <v>3</v>
      </c>
      <c r="Y998">
        <v>1</v>
      </c>
      <c r="Z998">
        <v>3</v>
      </c>
      <c r="AA998">
        <v>2.8333330000000001</v>
      </c>
      <c r="AB998">
        <v>8.5</v>
      </c>
      <c r="AC998" t="s">
        <v>1061</v>
      </c>
      <c r="AD998" t="s">
        <v>112</v>
      </c>
      <c r="AE998">
        <v>0</v>
      </c>
      <c r="AF998">
        <v>0</v>
      </c>
      <c r="AG998">
        <v>1</v>
      </c>
      <c r="AH998">
        <v>1</v>
      </c>
      <c r="AI998">
        <v>0</v>
      </c>
      <c r="AJ998">
        <v>0</v>
      </c>
      <c r="AK998">
        <v>1</v>
      </c>
      <c r="AL998">
        <v>0</v>
      </c>
      <c r="AM998">
        <v>0</v>
      </c>
      <c r="AN998">
        <v>0</v>
      </c>
      <c r="AO998">
        <v>3</v>
      </c>
      <c r="AP998">
        <v>0</v>
      </c>
      <c r="AQ998">
        <v>100</v>
      </c>
      <c r="AR998" s="2">
        <v>45922.101388888892</v>
      </c>
      <c r="AS998" s="2">
        <v>46072.393287037034</v>
      </c>
      <c r="AT998" t="s">
        <v>62</v>
      </c>
      <c r="AU998" t="s">
        <v>62</v>
      </c>
      <c r="AV998">
        <v>150</v>
      </c>
    </row>
    <row r="999" spans="1:48" x14ac:dyDescent="0.25">
      <c r="A999">
        <v>915</v>
      </c>
      <c r="B999" t="s">
        <v>3802</v>
      </c>
      <c r="C999" t="s">
        <v>3765</v>
      </c>
      <c r="D999" t="s">
        <v>311</v>
      </c>
      <c r="E999" t="s">
        <v>3803</v>
      </c>
      <c r="F999" t="s">
        <v>3804</v>
      </c>
      <c r="G999" t="s">
        <v>104</v>
      </c>
      <c r="H999" s="1">
        <v>38890</v>
      </c>
      <c r="I999">
        <v>20</v>
      </c>
      <c r="J999">
        <v>2006</v>
      </c>
      <c r="K999" s="1">
        <v>44864</v>
      </c>
      <c r="L999">
        <v>2022</v>
      </c>
      <c r="M999" t="s">
        <v>54</v>
      </c>
      <c r="N999">
        <v>2</v>
      </c>
      <c r="O999" t="s">
        <v>55</v>
      </c>
      <c r="P999" t="s">
        <v>56</v>
      </c>
      <c r="Q999">
        <v>36</v>
      </c>
      <c r="R999">
        <v>1</v>
      </c>
      <c r="S999" t="s">
        <v>57</v>
      </c>
      <c r="T999" t="s">
        <v>58</v>
      </c>
      <c r="U999">
        <v>3</v>
      </c>
      <c r="V999">
        <v>3</v>
      </c>
      <c r="W999">
        <v>3</v>
      </c>
      <c r="X999">
        <v>2</v>
      </c>
      <c r="Y999">
        <v>1</v>
      </c>
      <c r="Z999">
        <v>1</v>
      </c>
      <c r="AA999">
        <v>3.5</v>
      </c>
      <c r="AB999">
        <v>3.5</v>
      </c>
      <c r="AC999" t="s">
        <v>281</v>
      </c>
      <c r="AD999" t="s">
        <v>281</v>
      </c>
      <c r="AE999">
        <v>0</v>
      </c>
      <c r="AF999">
        <v>0</v>
      </c>
      <c r="AG999">
        <v>1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1</v>
      </c>
      <c r="AP999">
        <v>0</v>
      </c>
      <c r="AQ999">
        <v>100</v>
      </c>
      <c r="AR999" s="2">
        <v>45782.443703703706</v>
      </c>
      <c r="AS999" s="2">
        <v>45847.154479166667</v>
      </c>
      <c r="AT999" t="s">
        <v>1357</v>
      </c>
      <c r="AU999" t="s">
        <v>1357</v>
      </c>
      <c r="AV999">
        <v>65</v>
      </c>
    </row>
    <row r="1000" spans="1:48" x14ac:dyDescent="0.25">
      <c r="A1000">
        <v>917</v>
      </c>
      <c r="B1000" t="s">
        <v>3805</v>
      </c>
      <c r="C1000" t="s">
        <v>1169</v>
      </c>
      <c r="D1000" t="s">
        <v>2763</v>
      </c>
      <c r="E1000" t="s">
        <v>3806</v>
      </c>
      <c r="F1000" t="s">
        <v>3807</v>
      </c>
      <c r="G1000" t="s">
        <v>53</v>
      </c>
      <c r="H1000" s="1">
        <v>36923</v>
      </c>
      <c r="I1000">
        <v>25</v>
      </c>
      <c r="J1000">
        <v>2001</v>
      </c>
      <c r="K1000" s="1">
        <v>45675</v>
      </c>
      <c r="L1000">
        <v>2025</v>
      </c>
      <c r="M1000" t="s">
        <v>54</v>
      </c>
      <c r="N1000">
        <v>1</v>
      </c>
      <c r="O1000" t="s">
        <v>157</v>
      </c>
      <c r="P1000" t="s">
        <v>119</v>
      </c>
      <c r="Q1000">
        <v>120</v>
      </c>
      <c r="R1000">
        <v>1</v>
      </c>
      <c r="S1000" t="s">
        <v>57</v>
      </c>
      <c r="T1000" t="s">
        <v>58</v>
      </c>
      <c r="U1000">
        <v>3</v>
      </c>
      <c r="V1000">
        <v>3</v>
      </c>
      <c r="W1000">
        <v>3</v>
      </c>
      <c r="X1000">
        <v>3</v>
      </c>
      <c r="Y1000">
        <v>1</v>
      </c>
      <c r="Z1000">
        <v>3</v>
      </c>
      <c r="AA1000">
        <v>2.3333330000000001</v>
      </c>
      <c r="AB1000">
        <v>7</v>
      </c>
      <c r="AC1000" t="s">
        <v>59</v>
      </c>
      <c r="AD1000" t="s">
        <v>281</v>
      </c>
      <c r="AE1000">
        <v>0</v>
      </c>
      <c r="AF1000">
        <v>0</v>
      </c>
      <c r="AG1000">
        <v>1</v>
      </c>
      <c r="AH1000">
        <v>0</v>
      </c>
      <c r="AI1000">
        <v>0</v>
      </c>
      <c r="AJ1000">
        <v>1</v>
      </c>
      <c r="AK1000">
        <v>0</v>
      </c>
      <c r="AL1000">
        <v>0</v>
      </c>
      <c r="AM1000">
        <v>1</v>
      </c>
      <c r="AN1000">
        <v>0</v>
      </c>
      <c r="AO1000">
        <v>3</v>
      </c>
      <c r="AP1000">
        <v>0</v>
      </c>
      <c r="AQ1000">
        <v>100</v>
      </c>
      <c r="AR1000" s="2">
        <v>45876.930613425924</v>
      </c>
      <c r="AS1000" s="2">
        <v>46053.671365740738</v>
      </c>
      <c r="AT1000" t="s">
        <v>1357</v>
      </c>
      <c r="AU1000" t="s">
        <v>1357</v>
      </c>
      <c r="AV1000">
        <v>177</v>
      </c>
    </row>
    <row r="1001" spans="1:48" x14ac:dyDescent="0.25">
      <c r="A1001">
        <v>867</v>
      </c>
      <c r="B1001" t="s">
        <v>3808</v>
      </c>
      <c r="C1001" t="s">
        <v>741</v>
      </c>
      <c r="D1001" t="s">
        <v>3740</v>
      </c>
      <c r="E1001" t="s">
        <v>3809</v>
      </c>
      <c r="F1001">
        <v>8872182749</v>
      </c>
      <c r="G1001" t="s">
        <v>104</v>
      </c>
      <c r="H1001" s="1">
        <v>35965</v>
      </c>
      <c r="I1001">
        <v>28</v>
      </c>
      <c r="J1001">
        <v>1998</v>
      </c>
      <c r="K1001" s="1">
        <v>44796</v>
      </c>
      <c r="L1001">
        <v>2022</v>
      </c>
      <c r="M1001" t="s">
        <v>54</v>
      </c>
      <c r="N1001">
        <v>3</v>
      </c>
      <c r="O1001" t="s">
        <v>68</v>
      </c>
      <c r="P1001" t="s">
        <v>69</v>
      </c>
      <c r="Q1001">
        <v>60</v>
      </c>
      <c r="R1001">
        <v>1</v>
      </c>
      <c r="S1001" t="s">
        <v>57</v>
      </c>
      <c r="T1001" t="s">
        <v>58</v>
      </c>
      <c r="U1001">
        <v>3</v>
      </c>
      <c r="V1001">
        <v>3</v>
      </c>
      <c r="W1001">
        <v>3</v>
      </c>
      <c r="X1001">
        <v>3</v>
      </c>
      <c r="Y1001">
        <v>1</v>
      </c>
      <c r="Z1001">
        <v>0</v>
      </c>
      <c r="AA1001" t="s">
        <v>3182</v>
      </c>
      <c r="AB1001" t="s">
        <v>3182</v>
      </c>
      <c r="AC1001" t="s">
        <v>3182</v>
      </c>
      <c r="AD1001" t="s">
        <v>3182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 s="2">
        <v>45747.702557870369</v>
      </c>
      <c r="AS1001" s="2">
        <v>46016.714074074072</v>
      </c>
      <c r="AT1001" t="s">
        <v>1357</v>
      </c>
      <c r="AU1001" t="s">
        <v>1357</v>
      </c>
      <c r="AV1001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ba7r</dc:creator>
  <cp:lastModifiedBy>mohamed ba7r</cp:lastModifiedBy>
  <dcterms:created xsi:type="dcterms:W3CDTF">2026-03-10T12:49:52Z</dcterms:created>
  <dcterms:modified xsi:type="dcterms:W3CDTF">2026-04-25T17:32:34Z</dcterms:modified>
</cp:coreProperties>
</file>